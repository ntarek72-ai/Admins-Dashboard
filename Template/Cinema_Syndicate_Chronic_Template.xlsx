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Line'!$A$1:$AQ$1001</definedName>
    <definedName name="_xlnm._FilterDatabase" localSheetId="3" hidden="1">'Per Invoice'!$A$1:$Z$301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808080"/>
    </font>
    <font>
      <color rgb="FF0000FF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CINEMA SYNDICATE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A-O, Q-Z, AE-AL (same order as the system export).</t>
        </is>
      </c>
    </row>
    <row r="6">
      <c r="A6" s="3" t="inlineStr">
        <is>
          <t>3. Green columns (P, AA, AB, AC, AD) and the grey helper columns (AM-AQ)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(12%) if Local is TRUE, otherwise Imported rate (3%).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1,000 lines and 300 invoices per month. A line with an empty Order # is ignored.</t>
        </is>
      </c>
    </row>
    <row r="21">
      <c r="A21" s="3" t="inlineStr">
        <is>
          <t>Max Limit rule (as in the old sheet): if an invoice's Grand Total is above its Max Limit, Co val = Co Payment x Max Limit / 100 + (Grand Total - Max Limit). Per Line keeps the plain Co val, so 'Settings' shows the difference as 'Max Limit adjustment'.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CINEMA SYNDICATE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Cinema professions syndicate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0.12</v>
      </c>
      <c r="D6" t="inlineStr">
        <is>
          <t>Source: Sep sheet (Rebates = 12 on Local lines, 0 on Special Rebates = Yes).</t>
        </is>
      </c>
    </row>
    <row r="7">
      <c r="B7" t="inlineStr">
        <is>
          <t>Imported (IMP) products rebate %</t>
        </is>
      </c>
      <c r="C7" s="5" t="n">
        <v>0.03</v>
      </c>
      <c r="D7" t="inlineStr">
        <is>
          <t>Source: Sep sheet (Rebates = 3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Line'!$D$2:$D$1001)</f>
        <v/>
      </c>
    </row>
    <row r="11">
      <c r="B11" t="inlineStr">
        <is>
          <t>Invoices (unique Order #)</t>
        </is>
      </c>
      <c r="C11">
        <f>MAX('Per Line'!$AN$2:$AN$1001)</f>
        <v/>
      </c>
    </row>
    <row r="12">
      <c r="B12" t="inlineStr">
        <is>
          <t>Invoices shown in Per Invoice</t>
        </is>
      </c>
      <c r="C12">
        <f>SUMPRODUCT(--('Per Invoice'!$B$2:$B$301&lt;&gt;""))</f>
        <v/>
      </c>
    </row>
    <row r="13">
      <c r="B13" t="inlineStr">
        <is>
          <t>Grand Total - Per Line (Product Total)</t>
        </is>
      </c>
      <c r="C13" s="7">
        <f>SUM('Per Line'!$X$2:$X$1001)</f>
        <v/>
      </c>
    </row>
    <row r="14">
      <c r="B14" t="inlineStr">
        <is>
          <t>Grand Total - Per Invoice</t>
        </is>
      </c>
      <c r="C14" s="7">
        <f>SUM('Per Invoice'!$W$2:$W$301)</f>
        <v/>
      </c>
    </row>
    <row r="15">
      <c r="B15" t="inlineStr">
        <is>
          <t>Discount - Per Line</t>
        </is>
      </c>
      <c r="C15" s="7">
        <f>SUM('Per Line'!$AB$2:$AB$1001)</f>
        <v/>
      </c>
    </row>
    <row r="16">
      <c r="B16" t="inlineStr">
        <is>
          <t>Discount - Per Invoice</t>
        </is>
      </c>
      <c r="C16" s="7">
        <f>SUM('Per Invoice'!$U$2:$U$301)</f>
        <v/>
      </c>
    </row>
    <row r="17">
      <c r="B17" t="inlineStr">
        <is>
          <t>Co val - Per Line</t>
        </is>
      </c>
      <c r="C17" s="7">
        <f>SUM('Per Line'!$P$2:$P$1001)</f>
        <v/>
      </c>
    </row>
    <row r="18">
      <c r="B18" t="inlineStr">
        <is>
          <t>Co val - Per Invoice</t>
        </is>
      </c>
      <c r="C18" s="7">
        <f>SUM('Per Invoice'!$J$2:$J$301)</f>
        <v/>
      </c>
    </row>
    <row r="19">
      <c r="B19" t="inlineStr">
        <is>
          <t>Net - Per Line</t>
        </is>
      </c>
      <c r="C19" s="7">
        <f>SUM('Per Line'!$AD$2:$AD$1001)</f>
        <v/>
      </c>
    </row>
    <row r="20">
      <c r="B20" t="inlineStr">
        <is>
          <t>Net - Per Invoice</t>
        </is>
      </c>
      <c r="C20" s="7">
        <f>SUM('Per Invoice'!$X$2:$X$301)</f>
        <v/>
      </c>
    </row>
    <row r="21">
      <c r="B21" t="inlineStr">
        <is>
          <t>Max Limit adjustment (Co val, Per Invoice only)</t>
        </is>
      </c>
      <c r="C21" s="7">
        <f>SUM('Per Invoice'!$Z$2:$Z$301)</f>
        <v/>
      </c>
      <c r="D21" t="inlineStr">
        <is>
          <t>Invoices whose Grand Total is above the Max Limit: Co val = Co% x Max Limit / 100 + (Grand Total - Max Limit). This difference exists only in Per Invoice, as in the old sheet.</t>
        </is>
      </c>
    </row>
    <row r="23">
      <c r="B23" s="6" t="inlineStr">
        <is>
          <t>STATUS</t>
        </is>
      </c>
      <c r="C23" s="6">
        <f>IF(C10=0,"No data loaded",IF(COUNTA('Per Line'!$D:$D)-1&gt;1000,"TOO MANY LINES - extend template",IF(C11&gt;300,"TOO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12" customWidth="1" min="15" max="15"/>
    <col width="11" customWidth="1" min="16" max="16"/>
    <col width="12" customWidth="1" min="17" max="17"/>
    <col width="12" customWidth="1" min="18" max="18"/>
    <col width="44" customWidth="1" min="19" max="19"/>
    <col width="12" customWidth="1" min="20" max="20"/>
    <col width="20" customWidth="1" min="21" max="21"/>
    <col width="12" customWidth="1" min="22" max="22"/>
    <col width="12" customWidth="1" min="23" max="23"/>
    <col width="12" customWidth="1" min="24" max="24"/>
    <col width="36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32" customHeight="1">
      <c r="A1" s="8" t="inlineStr">
        <is>
          <t>Ticket #</t>
        </is>
      </c>
      <c r="B1" s="8" t="inlineStr">
        <is>
          <t>Stage</t>
        </is>
      </c>
      <c r="C1" s="8" t="inlineStr">
        <is>
          <t>Approval Ref</t>
        </is>
      </c>
      <c r="D1" s="8" t="inlineStr">
        <is>
          <t>Order #</t>
        </is>
      </c>
      <c r="E1" s="8" t="inlineStr">
        <is>
          <t>Channel</t>
        </is>
      </c>
      <c r="F1" s="8" t="inlineStr">
        <is>
          <t>Create At</t>
        </is>
      </c>
      <c r="G1" s="8" t="inlineStr">
        <is>
          <t>Insurance Company</t>
        </is>
      </c>
      <c r="H1" s="8" t="inlineStr">
        <is>
          <t>Country Portal ID</t>
        </is>
      </c>
      <c r="I1" s="8" t="inlineStr">
        <is>
          <t>Corporate</t>
        </is>
      </c>
      <c r="J1" s="8" t="inlineStr">
        <is>
          <t>Card</t>
        </is>
      </c>
      <c r="K1" s="8" t="inlineStr">
        <is>
          <t>Name</t>
        </is>
      </c>
      <c r="L1" s="8" t="inlineStr">
        <is>
          <t>Status</t>
        </is>
      </c>
      <c r="M1" s="8" t="inlineStr">
        <is>
          <t>Local Rebates</t>
        </is>
      </c>
      <c r="N1" s="8" t="inlineStr">
        <is>
          <t>Imported Rebates</t>
        </is>
      </c>
      <c r="O1" s="8" t="inlineStr">
        <is>
          <t>Order Co Payment</t>
        </is>
      </c>
      <c r="P1" s="9" t="inlineStr">
        <is>
          <t>Co val</t>
        </is>
      </c>
      <c r="Q1" s="8" t="inlineStr">
        <is>
          <t>By Patient</t>
        </is>
      </c>
      <c r="R1" s="8" t="inlineStr">
        <is>
          <t>heisenberg id</t>
        </is>
      </c>
      <c r="S1" s="8" t="inlineStr">
        <is>
          <t>Product Name</t>
        </is>
      </c>
      <c r="T1" s="8" t="inlineStr">
        <is>
          <t>Local</t>
        </is>
      </c>
      <c r="U1" s="8" t="inlineStr">
        <is>
          <t>Unit</t>
        </is>
      </c>
      <c r="V1" s="8" t="inlineStr">
        <is>
          <t>Quantity</t>
        </is>
      </c>
      <c r="W1" s="8" t="inlineStr">
        <is>
          <t>Unit Price</t>
        </is>
      </c>
      <c r="X1" s="8" t="inlineStr">
        <is>
          <t>Product Total</t>
        </is>
      </c>
      <c r="Y1" s="8" t="inlineStr">
        <is>
          <t>ERX ID</t>
        </is>
      </c>
      <c r="Z1" s="8" t="inlineStr">
        <is>
          <t>Special Rebates?</t>
        </is>
      </c>
      <c r="AA1" s="9" t="inlineStr">
        <is>
          <t>Rebates</t>
        </is>
      </c>
      <c r="AB1" s="9" t="inlineStr">
        <is>
          <t>Discount</t>
        </is>
      </c>
      <c r="AC1" s="9" t="inlineStr">
        <is>
          <t>Subtotal</t>
        </is>
      </c>
      <c r="AD1" s="9" t="inlineStr">
        <is>
          <t>Net</t>
        </is>
      </c>
      <c r="AE1" s="8" t="inlineStr">
        <is>
          <t>Approval Type</t>
        </is>
      </c>
      <c r="AF1" s="8" t="inlineStr">
        <is>
          <t>Max Limit</t>
        </is>
      </c>
      <c r="AG1" s="8" t="inlineStr">
        <is>
          <t>Exceeding Limit</t>
        </is>
      </c>
      <c r="AH1" s="8" t="inlineStr">
        <is>
          <t>Amount collected from customer</t>
        </is>
      </c>
      <c r="AI1" s="8" t="inlineStr">
        <is>
          <t>By Patient (Delivered)</t>
        </is>
      </c>
      <c r="AJ1" s="8" t="inlineStr">
        <is>
          <t>Dispense Number</t>
        </is>
      </c>
      <c r="AK1" s="8" t="inlineStr">
        <is>
          <t>Dispense Date</t>
        </is>
      </c>
      <c r="AL1" s="8" t="inlineStr">
        <is>
          <t>Has OTP?</t>
        </is>
      </c>
      <c r="AM1" s="10" t="inlineStr">
        <is>
          <t>Order 1st Row (helper)</t>
        </is>
      </c>
      <c r="AN1" s="10" t="inlineStr">
        <is>
          <t>Invoice # (helper)</t>
        </is>
      </c>
      <c r="AO1" s="10" t="inlineStr">
        <is>
          <t>Is Local (helper)</t>
        </is>
      </c>
      <c r="AP1" s="10" t="inlineStr">
        <is>
          <t>Is Special (helper)</t>
        </is>
      </c>
      <c r="AQ1" s="10" t="inlineStr">
        <is>
          <t>Sort Key (helper)</t>
        </is>
      </c>
    </row>
    <row r="2">
      <c r="F2" s="11" t="n"/>
      <c r="P2" s="7">
        <f>IF($D2="","",O2*X2/100)</f>
        <v/>
      </c>
      <c r="Q2" s="7" t="n"/>
      <c r="W2" s="7" t="n"/>
      <c r="X2" s="7" t="n"/>
      <c r="AA2">
        <f>IF($D2="","",IF($AP2=1,0,IF($AO2=1,Settings!$C$6,Settings!$C$7))*100)</f>
        <v/>
      </c>
      <c r="AB2" s="7">
        <f>IF($D2="","",X2*AA2/100)</f>
        <v/>
      </c>
      <c r="AC2" s="7">
        <f>IF($D2="","",X2-AB2)</f>
        <v/>
      </c>
      <c r="AD2" s="7">
        <f>IF($D2="","",AC2-P2)</f>
        <v/>
      </c>
      <c r="AH2" s="7" t="n"/>
      <c r="AK2" s="11" t="n"/>
      <c r="AM2">
        <f>IF($D2="","",IF(COUNTIF($D$2:$D2,$D2)=1,1,0))</f>
        <v/>
      </c>
      <c r="AN2">
        <f>IF($AM2=1,SUMPRODUCT(--($AQ$2:$AQ$1001&lt;$AQ2))+1,"")</f>
        <v/>
      </c>
      <c r="AO2">
        <f>IF($D2="","",IF(OR($T2=TRUE(),$T2="TRUE"),1,0))</f>
        <v/>
      </c>
      <c r="AP2">
        <f>IF($D2="","",IF($Z2="Yes",1,0))</f>
        <v/>
      </c>
      <c r="AQ2">
        <f>IF($AM2=1,IFERROR(IF(VALUE($D2)&lt;100000000,VALUE($D2),1000000000),IFERROR(IF(VALUE(MID($D2,2,20))&lt;100000000,VALUE(MID($D2,2,20)),1000000000),1000000000))+ROW()/100000,"")</f>
        <v/>
      </c>
    </row>
    <row r="3">
      <c r="F3" s="11" t="n"/>
      <c r="P3" s="7">
        <f>IF($D3="","",O3*X3/100)</f>
        <v/>
      </c>
      <c r="Q3" s="7" t="n"/>
      <c r="W3" s="7" t="n"/>
      <c r="X3" s="7" t="n"/>
      <c r="AA3">
        <f>IF($D3="","",IF($AP3=1,0,IF($AO3=1,Settings!$C$6,Settings!$C$7))*100)</f>
        <v/>
      </c>
      <c r="AB3" s="7">
        <f>IF($D3="","",X3*AA3/100)</f>
        <v/>
      </c>
      <c r="AC3" s="7">
        <f>IF($D3="","",X3-AB3)</f>
        <v/>
      </c>
      <c r="AD3" s="7">
        <f>IF($D3="","",AC3-P3)</f>
        <v/>
      </c>
      <c r="AH3" s="7" t="n"/>
      <c r="AK3" s="11" t="n"/>
      <c r="AM3">
        <f>IF($D3="","",IF(COUNTIF($D$2:$D3,$D3)=1,1,0))</f>
        <v/>
      </c>
      <c r="AN3">
        <f>IF($AM3=1,SUMPRODUCT(--($AQ$2:$AQ$1001&lt;$AQ3))+1,"")</f>
        <v/>
      </c>
      <c r="AO3">
        <f>IF($D3="","",IF(OR($T3=TRUE(),$T3="TRUE"),1,0))</f>
        <v/>
      </c>
      <c r="AP3">
        <f>IF($D3="","",IF($Z3="Yes",1,0))</f>
        <v/>
      </c>
      <c r="AQ3">
        <f>IF($AM3=1,IFERROR(IF(VALUE($D3)&lt;100000000,VALUE($D3),1000000000),IFERROR(IF(VALUE(MID($D3,2,20))&lt;100000000,VALUE(MID($D3,2,20)),1000000000),1000000000))+ROW()/100000,"")</f>
        <v/>
      </c>
    </row>
    <row r="4">
      <c r="F4" s="11" t="n"/>
      <c r="P4" s="7">
        <f>IF($D4="","",O4*X4/100)</f>
        <v/>
      </c>
      <c r="Q4" s="7" t="n"/>
      <c r="W4" s="7" t="n"/>
      <c r="X4" s="7" t="n"/>
      <c r="AA4">
        <f>IF($D4="","",IF($AP4=1,0,IF($AO4=1,Settings!$C$6,Settings!$C$7))*100)</f>
        <v/>
      </c>
      <c r="AB4" s="7">
        <f>IF($D4="","",X4*AA4/100)</f>
        <v/>
      </c>
      <c r="AC4" s="7">
        <f>IF($D4="","",X4-AB4)</f>
        <v/>
      </c>
      <c r="AD4" s="7">
        <f>IF($D4="","",AC4-P4)</f>
        <v/>
      </c>
      <c r="AH4" s="7" t="n"/>
      <c r="AK4" s="11" t="n"/>
      <c r="AM4">
        <f>IF($D4="","",IF(COUNTIF($D$2:$D4,$D4)=1,1,0))</f>
        <v/>
      </c>
      <c r="AN4">
        <f>IF($AM4=1,SUMPRODUCT(--($AQ$2:$AQ$1001&lt;$AQ4))+1,"")</f>
        <v/>
      </c>
      <c r="AO4">
        <f>IF($D4="","",IF(OR($T4=TRUE(),$T4="TRUE"),1,0))</f>
        <v/>
      </c>
      <c r="AP4">
        <f>IF($D4="","",IF($Z4="Yes",1,0))</f>
        <v/>
      </c>
      <c r="AQ4">
        <f>IF($AM4=1,IFERROR(IF(VALUE($D4)&lt;100000000,VALUE($D4),1000000000),IFERROR(IF(VALUE(MID($D4,2,20))&lt;100000000,VALUE(MID($D4,2,20)),1000000000),1000000000))+ROW()/100000,"")</f>
        <v/>
      </c>
    </row>
    <row r="5">
      <c r="F5" s="11" t="n"/>
      <c r="P5" s="7">
        <f>IF($D5="","",O5*X5/100)</f>
        <v/>
      </c>
      <c r="Q5" s="7" t="n"/>
      <c r="W5" s="7" t="n"/>
      <c r="X5" s="7" t="n"/>
      <c r="AA5">
        <f>IF($D5="","",IF($AP5=1,0,IF($AO5=1,Settings!$C$6,Settings!$C$7))*100)</f>
        <v/>
      </c>
      <c r="AB5" s="7">
        <f>IF($D5="","",X5*AA5/100)</f>
        <v/>
      </c>
      <c r="AC5" s="7">
        <f>IF($D5="","",X5-AB5)</f>
        <v/>
      </c>
      <c r="AD5" s="7">
        <f>IF($D5="","",AC5-P5)</f>
        <v/>
      </c>
      <c r="AH5" s="7" t="n"/>
      <c r="AK5" s="11" t="n"/>
      <c r="AM5">
        <f>IF($D5="","",IF(COUNTIF($D$2:$D5,$D5)=1,1,0))</f>
        <v/>
      </c>
      <c r="AN5">
        <f>IF($AM5=1,SUMPRODUCT(--($AQ$2:$AQ$1001&lt;$AQ5))+1,"")</f>
        <v/>
      </c>
      <c r="AO5">
        <f>IF($D5="","",IF(OR($T5=TRUE(),$T5="TRUE"),1,0))</f>
        <v/>
      </c>
      <c r="AP5">
        <f>IF($D5="","",IF($Z5="Yes",1,0))</f>
        <v/>
      </c>
      <c r="AQ5">
        <f>IF($AM5=1,IFERROR(IF(VALUE($D5)&lt;100000000,VALUE($D5),1000000000),IFERROR(IF(VALUE(MID($D5,2,20))&lt;100000000,VALUE(MID($D5,2,20)),1000000000),1000000000))+ROW()/100000,"")</f>
        <v/>
      </c>
    </row>
    <row r="6">
      <c r="F6" s="11" t="n"/>
      <c r="P6" s="7">
        <f>IF($D6="","",O6*X6/100)</f>
        <v/>
      </c>
      <c r="Q6" s="7" t="n"/>
      <c r="W6" s="7" t="n"/>
      <c r="X6" s="7" t="n"/>
      <c r="AA6">
        <f>IF($D6="","",IF($AP6=1,0,IF($AO6=1,Settings!$C$6,Settings!$C$7))*100)</f>
        <v/>
      </c>
      <c r="AB6" s="7">
        <f>IF($D6="","",X6*AA6/100)</f>
        <v/>
      </c>
      <c r="AC6" s="7">
        <f>IF($D6="","",X6-AB6)</f>
        <v/>
      </c>
      <c r="AD6" s="7">
        <f>IF($D6="","",AC6-P6)</f>
        <v/>
      </c>
      <c r="AH6" s="7" t="n"/>
      <c r="AK6" s="11" t="n"/>
      <c r="AM6">
        <f>IF($D6="","",IF(COUNTIF($D$2:$D6,$D6)=1,1,0))</f>
        <v/>
      </c>
      <c r="AN6">
        <f>IF($AM6=1,SUMPRODUCT(--($AQ$2:$AQ$1001&lt;$AQ6))+1,"")</f>
        <v/>
      </c>
      <c r="AO6">
        <f>IF($D6="","",IF(OR($T6=TRUE(),$T6="TRUE"),1,0))</f>
        <v/>
      </c>
      <c r="AP6">
        <f>IF($D6="","",IF($Z6="Yes",1,0))</f>
        <v/>
      </c>
      <c r="AQ6">
        <f>IF($AM6=1,IFERROR(IF(VALUE($D6)&lt;100000000,VALUE($D6),1000000000),IFERROR(IF(VALUE(MID($D6,2,20))&lt;100000000,VALUE(MID($D6,2,20)),1000000000),1000000000))+ROW()/100000,"")</f>
        <v/>
      </c>
    </row>
    <row r="7">
      <c r="F7" s="11" t="n"/>
      <c r="P7" s="7">
        <f>IF($D7="","",O7*X7/100)</f>
        <v/>
      </c>
      <c r="Q7" s="7" t="n"/>
      <c r="W7" s="7" t="n"/>
      <c r="X7" s="7" t="n"/>
      <c r="AA7">
        <f>IF($D7="","",IF($AP7=1,0,IF($AO7=1,Settings!$C$6,Settings!$C$7))*100)</f>
        <v/>
      </c>
      <c r="AB7" s="7">
        <f>IF($D7="","",X7*AA7/100)</f>
        <v/>
      </c>
      <c r="AC7" s="7">
        <f>IF($D7="","",X7-AB7)</f>
        <v/>
      </c>
      <c r="AD7" s="7">
        <f>IF($D7="","",AC7-P7)</f>
        <v/>
      </c>
      <c r="AH7" s="7" t="n"/>
      <c r="AK7" s="11" t="n"/>
      <c r="AM7">
        <f>IF($D7="","",IF(COUNTIF($D$2:$D7,$D7)=1,1,0))</f>
        <v/>
      </c>
      <c r="AN7">
        <f>IF($AM7=1,SUMPRODUCT(--($AQ$2:$AQ$1001&lt;$AQ7))+1,"")</f>
        <v/>
      </c>
      <c r="AO7">
        <f>IF($D7="","",IF(OR($T7=TRUE(),$T7="TRUE"),1,0))</f>
        <v/>
      </c>
      <c r="AP7">
        <f>IF($D7="","",IF($Z7="Yes",1,0))</f>
        <v/>
      </c>
      <c r="AQ7">
        <f>IF($AM7=1,IFERROR(IF(VALUE($D7)&lt;100000000,VALUE($D7),1000000000),IFERROR(IF(VALUE(MID($D7,2,20))&lt;100000000,VALUE(MID($D7,2,20)),1000000000),1000000000))+ROW()/100000,"")</f>
        <v/>
      </c>
    </row>
    <row r="8">
      <c r="F8" s="11" t="n"/>
      <c r="P8" s="7">
        <f>IF($D8="","",O8*X8/100)</f>
        <v/>
      </c>
      <c r="Q8" s="7" t="n"/>
      <c r="W8" s="7" t="n"/>
      <c r="X8" s="7" t="n"/>
      <c r="AA8">
        <f>IF($D8="","",IF($AP8=1,0,IF($AO8=1,Settings!$C$6,Settings!$C$7))*100)</f>
        <v/>
      </c>
      <c r="AB8" s="7">
        <f>IF($D8="","",X8*AA8/100)</f>
        <v/>
      </c>
      <c r="AC8" s="7">
        <f>IF($D8="","",X8-AB8)</f>
        <v/>
      </c>
      <c r="AD8" s="7">
        <f>IF($D8="","",AC8-P8)</f>
        <v/>
      </c>
      <c r="AH8" s="7" t="n"/>
      <c r="AK8" s="11" t="n"/>
      <c r="AM8">
        <f>IF($D8="","",IF(COUNTIF($D$2:$D8,$D8)=1,1,0))</f>
        <v/>
      </c>
      <c r="AN8">
        <f>IF($AM8=1,SUMPRODUCT(--($AQ$2:$AQ$1001&lt;$AQ8))+1,"")</f>
        <v/>
      </c>
      <c r="AO8">
        <f>IF($D8="","",IF(OR($T8=TRUE(),$T8="TRUE"),1,0))</f>
        <v/>
      </c>
      <c r="AP8">
        <f>IF($D8="","",IF($Z8="Yes",1,0))</f>
        <v/>
      </c>
      <c r="AQ8">
        <f>IF($AM8=1,IFERROR(IF(VALUE($D8)&lt;100000000,VALUE($D8),1000000000),IFERROR(IF(VALUE(MID($D8,2,20))&lt;100000000,VALUE(MID($D8,2,20)),1000000000),1000000000))+ROW()/100000,"")</f>
        <v/>
      </c>
    </row>
    <row r="9">
      <c r="F9" s="11" t="n"/>
      <c r="P9" s="7">
        <f>IF($D9="","",O9*X9/100)</f>
        <v/>
      </c>
      <c r="Q9" s="7" t="n"/>
      <c r="W9" s="7" t="n"/>
      <c r="X9" s="7" t="n"/>
      <c r="AA9">
        <f>IF($D9="","",IF($AP9=1,0,IF($AO9=1,Settings!$C$6,Settings!$C$7))*100)</f>
        <v/>
      </c>
      <c r="AB9" s="7">
        <f>IF($D9="","",X9*AA9/100)</f>
        <v/>
      </c>
      <c r="AC9" s="7">
        <f>IF($D9="","",X9-AB9)</f>
        <v/>
      </c>
      <c r="AD9" s="7">
        <f>IF($D9="","",AC9-P9)</f>
        <v/>
      </c>
      <c r="AH9" s="7" t="n"/>
      <c r="AK9" s="11" t="n"/>
      <c r="AM9">
        <f>IF($D9="","",IF(COUNTIF($D$2:$D9,$D9)=1,1,0))</f>
        <v/>
      </c>
      <c r="AN9">
        <f>IF($AM9=1,SUMPRODUCT(--($AQ$2:$AQ$1001&lt;$AQ9))+1,"")</f>
        <v/>
      </c>
      <c r="AO9">
        <f>IF($D9="","",IF(OR($T9=TRUE(),$T9="TRUE"),1,0))</f>
        <v/>
      </c>
      <c r="AP9">
        <f>IF($D9="","",IF($Z9="Yes",1,0))</f>
        <v/>
      </c>
      <c r="AQ9">
        <f>IF($AM9=1,IFERROR(IF(VALUE($D9)&lt;100000000,VALUE($D9),1000000000),IFERROR(IF(VALUE(MID($D9,2,20))&lt;100000000,VALUE(MID($D9,2,20)),1000000000),1000000000))+ROW()/100000,"")</f>
        <v/>
      </c>
    </row>
    <row r="10">
      <c r="F10" s="11" t="n"/>
      <c r="P10" s="7">
        <f>IF($D10="","",O10*X10/100)</f>
        <v/>
      </c>
      <c r="Q10" s="7" t="n"/>
      <c r="W10" s="7" t="n"/>
      <c r="X10" s="7" t="n"/>
      <c r="AA10">
        <f>IF($D10="","",IF($AP10=1,0,IF($AO10=1,Settings!$C$6,Settings!$C$7))*100)</f>
        <v/>
      </c>
      <c r="AB10" s="7">
        <f>IF($D10="","",X10*AA10/100)</f>
        <v/>
      </c>
      <c r="AC10" s="7">
        <f>IF($D10="","",X10-AB10)</f>
        <v/>
      </c>
      <c r="AD10" s="7">
        <f>IF($D10="","",AC10-P10)</f>
        <v/>
      </c>
      <c r="AH10" s="7" t="n"/>
      <c r="AK10" s="11" t="n"/>
      <c r="AM10">
        <f>IF($D10="","",IF(COUNTIF($D$2:$D10,$D10)=1,1,0))</f>
        <v/>
      </c>
      <c r="AN10">
        <f>IF($AM10=1,SUMPRODUCT(--($AQ$2:$AQ$1001&lt;$AQ10))+1,"")</f>
        <v/>
      </c>
      <c r="AO10">
        <f>IF($D10="","",IF(OR($T10=TRUE(),$T10="TRUE"),1,0))</f>
        <v/>
      </c>
      <c r="AP10">
        <f>IF($D10="","",IF($Z10="Yes",1,0))</f>
        <v/>
      </c>
      <c r="AQ10">
        <f>IF($AM10=1,IFERROR(IF(VALUE($D10)&lt;100000000,VALUE($D10),1000000000),IFERROR(IF(VALUE(MID($D10,2,20))&lt;100000000,VALUE(MID($D10,2,20)),1000000000),1000000000))+ROW()/100000,"")</f>
        <v/>
      </c>
    </row>
    <row r="11">
      <c r="F11" s="11" t="n"/>
      <c r="P11" s="7">
        <f>IF($D11="","",O11*X11/100)</f>
        <v/>
      </c>
      <c r="Q11" s="7" t="n"/>
      <c r="W11" s="7" t="n"/>
      <c r="X11" s="7" t="n"/>
      <c r="AA11">
        <f>IF($D11="","",IF($AP11=1,0,IF($AO11=1,Settings!$C$6,Settings!$C$7))*100)</f>
        <v/>
      </c>
      <c r="AB11" s="7">
        <f>IF($D11="","",X11*AA11/100)</f>
        <v/>
      </c>
      <c r="AC11" s="7">
        <f>IF($D11="","",X11-AB11)</f>
        <v/>
      </c>
      <c r="AD11" s="7">
        <f>IF($D11="","",AC11-P11)</f>
        <v/>
      </c>
      <c r="AH11" s="7" t="n"/>
      <c r="AK11" s="11" t="n"/>
      <c r="AM11">
        <f>IF($D11="","",IF(COUNTIF($D$2:$D11,$D11)=1,1,0))</f>
        <v/>
      </c>
      <c r="AN11">
        <f>IF($AM11=1,SUMPRODUCT(--($AQ$2:$AQ$1001&lt;$AQ11))+1,"")</f>
        <v/>
      </c>
      <c r="AO11">
        <f>IF($D11="","",IF(OR($T11=TRUE(),$T11="TRUE"),1,0))</f>
        <v/>
      </c>
      <c r="AP11">
        <f>IF($D11="","",IF($Z11="Yes",1,0))</f>
        <v/>
      </c>
      <c r="AQ11">
        <f>IF($AM11=1,IFERROR(IF(VALUE($D11)&lt;100000000,VALUE($D11),1000000000),IFERROR(IF(VALUE(MID($D11,2,20))&lt;100000000,VALUE(MID($D11,2,20)),1000000000),1000000000))+ROW()/100000,"")</f>
        <v/>
      </c>
    </row>
    <row r="12">
      <c r="F12" s="11" t="n"/>
      <c r="P12" s="7">
        <f>IF($D12="","",O12*X12/100)</f>
        <v/>
      </c>
      <c r="Q12" s="7" t="n"/>
      <c r="W12" s="7" t="n"/>
      <c r="X12" s="7" t="n"/>
      <c r="AA12">
        <f>IF($D12="","",IF($AP12=1,0,IF($AO12=1,Settings!$C$6,Settings!$C$7))*100)</f>
        <v/>
      </c>
      <c r="AB12" s="7">
        <f>IF($D12="","",X12*AA12/100)</f>
        <v/>
      </c>
      <c r="AC12" s="7">
        <f>IF($D12="","",X12-AB12)</f>
        <v/>
      </c>
      <c r="AD12" s="7">
        <f>IF($D12="","",AC12-P12)</f>
        <v/>
      </c>
      <c r="AH12" s="7" t="n"/>
      <c r="AK12" s="11" t="n"/>
      <c r="AM12">
        <f>IF($D12="","",IF(COUNTIF($D$2:$D12,$D12)=1,1,0))</f>
        <v/>
      </c>
      <c r="AN12">
        <f>IF($AM12=1,SUMPRODUCT(--($AQ$2:$AQ$1001&lt;$AQ12))+1,"")</f>
        <v/>
      </c>
      <c r="AO12">
        <f>IF($D12="","",IF(OR($T12=TRUE(),$T12="TRUE"),1,0))</f>
        <v/>
      </c>
      <c r="AP12">
        <f>IF($D12="","",IF($Z12="Yes",1,0))</f>
        <v/>
      </c>
      <c r="AQ12">
        <f>IF($AM12=1,IFERROR(IF(VALUE($D12)&lt;100000000,VALUE($D12),1000000000),IFERROR(IF(VALUE(MID($D12,2,20))&lt;100000000,VALUE(MID($D12,2,20)),1000000000),1000000000))+ROW()/100000,"")</f>
        <v/>
      </c>
    </row>
    <row r="13">
      <c r="F13" s="11" t="n"/>
      <c r="P13" s="7">
        <f>IF($D13="","",O13*X13/100)</f>
        <v/>
      </c>
      <c r="Q13" s="7" t="n"/>
      <c r="W13" s="7" t="n"/>
      <c r="X13" s="7" t="n"/>
      <c r="AA13">
        <f>IF($D13="","",IF($AP13=1,0,IF($AO13=1,Settings!$C$6,Settings!$C$7))*100)</f>
        <v/>
      </c>
      <c r="AB13" s="7">
        <f>IF($D13="","",X13*AA13/100)</f>
        <v/>
      </c>
      <c r="AC13" s="7">
        <f>IF($D13="","",X13-AB13)</f>
        <v/>
      </c>
      <c r="AD13" s="7">
        <f>IF($D13="","",AC13-P13)</f>
        <v/>
      </c>
      <c r="AH13" s="7" t="n"/>
      <c r="AK13" s="11" t="n"/>
      <c r="AM13">
        <f>IF($D13="","",IF(COUNTIF($D$2:$D13,$D13)=1,1,0))</f>
        <v/>
      </c>
      <c r="AN13">
        <f>IF($AM13=1,SUMPRODUCT(--($AQ$2:$AQ$1001&lt;$AQ13))+1,"")</f>
        <v/>
      </c>
      <c r="AO13">
        <f>IF($D13="","",IF(OR($T13=TRUE(),$T13="TRUE"),1,0))</f>
        <v/>
      </c>
      <c r="AP13">
        <f>IF($D13="","",IF($Z13="Yes",1,0))</f>
        <v/>
      </c>
      <c r="AQ13">
        <f>IF($AM13=1,IFERROR(IF(VALUE($D13)&lt;100000000,VALUE($D13),1000000000),IFERROR(IF(VALUE(MID($D13,2,20))&lt;100000000,VALUE(MID($D13,2,20)),1000000000),1000000000))+ROW()/100000,"")</f>
        <v/>
      </c>
    </row>
    <row r="14">
      <c r="F14" s="11" t="n"/>
      <c r="P14" s="7">
        <f>IF($D14="","",O14*X14/100)</f>
        <v/>
      </c>
      <c r="Q14" s="7" t="n"/>
      <c r="W14" s="7" t="n"/>
      <c r="X14" s="7" t="n"/>
      <c r="AA14">
        <f>IF($D14="","",IF($AP14=1,0,IF($AO14=1,Settings!$C$6,Settings!$C$7))*100)</f>
        <v/>
      </c>
      <c r="AB14" s="7">
        <f>IF($D14="","",X14*AA14/100)</f>
        <v/>
      </c>
      <c r="AC14" s="7">
        <f>IF($D14="","",X14-AB14)</f>
        <v/>
      </c>
      <c r="AD14" s="7">
        <f>IF($D14="","",AC14-P14)</f>
        <v/>
      </c>
      <c r="AH14" s="7" t="n"/>
      <c r="AK14" s="11" t="n"/>
      <c r="AM14">
        <f>IF($D14="","",IF(COUNTIF($D$2:$D14,$D14)=1,1,0))</f>
        <v/>
      </c>
      <c r="AN14">
        <f>IF($AM14=1,SUMPRODUCT(--($AQ$2:$AQ$1001&lt;$AQ14))+1,"")</f>
        <v/>
      </c>
      <c r="AO14">
        <f>IF($D14="","",IF(OR($T14=TRUE(),$T14="TRUE"),1,0))</f>
        <v/>
      </c>
      <c r="AP14">
        <f>IF($D14="","",IF($Z14="Yes",1,0))</f>
        <v/>
      </c>
      <c r="AQ14">
        <f>IF($AM14=1,IFERROR(IF(VALUE($D14)&lt;100000000,VALUE($D14),1000000000),IFERROR(IF(VALUE(MID($D14,2,20))&lt;100000000,VALUE(MID($D14,2,20)),1000000000),1000000000))+ROW()/100000,"")</f>
        <v/>
      </c>
    </row>
    <row r="15">
      <c r="F15" s="11" t="n"/>
      <c r="P15" s="7">
        <f>IF($D15="","",O15*X15/100)</f>
        <v/>
      </c>
      <c r="Q15" s="7" t="n"/>
      <c r="W15" s="7" t="n"/>
      <c r="X15" s="7" t="n"/>
      <c r="AA15">
        <f>IF($D15="","",IF($AP15=1,0,IF($AO15=1,Settings!$C$6,Settings!$C$7))*100)</f>
        <v/>
      </c>
      <c r="AB15" s="7">
        <f>IF($D15="","",X15*AA15/100)</f>
        <v/>
      </c>
      <c r="AC15" s="7">
        <f>IF($D15="","",X15-AB15)</f>
        <v/>
      </c>
      <c r="AD15" s="7">
        <f>IF($D15="","",AC15-P15)</f>
        <v/>
      </c>
      <c r="AH15" s="7" t="n"/>
      <c r="AK15" s="11" t="n"/>
      <c r="AM15">
        <f>IF($D15="","",IF(COUNTIF($D$2:$D15,$D15)=1,1,0))</f>
        <v/>
      </c>
      <c r="AN15">
        <f>IF($AM15=1,SUMPRODUCT(--($AQ$2:$AQ$1001&lt;$AQ15))+1,"")</f>
        <v/>
      </c>
      <c r="AO15">
        <f>IF($D15="","",IF(OR($T15=TRUE(),$T15="TRUE"),1,0))</f>
        <v/>
      </c>
      <c r="AP15">
        <f>IF($D15="","",IF($Z15="Yes",1,0))</f>
        <v/>
      </c>
      <c r="AQ15">
        <f>IF($AM15=1,IFERROR(IF(VALUE($D15)&lt;100000000,VALUE($D15),1000000000),IFERROR(IF(VALUE(MID($D15,2,20))&lt;100000000,VALUE(MID($D15,2,20)),1000000000),1000000000))+ROW()/100000,"")</f>
        <v/>
      </c>
    </row>
    <row r="16">
      <c r="F16" s="11" t="n"/>
      <c r="P16" s="7">
        <f>IF($D16="","",O16*X16/100)</f>
        <v/>
      </c>
      <c r="Q16" s="7" t="n"/>
      <c r="W16" s="7" t="n"/>
      <c r="X16" s="7" t="n"/>
      <c r="AA16">
        <f>IF($D16="","",IF($AP16=1,0,IF($AO16=1,Settings!$C$6,Settings!$C$7))*100)</f>
        <v/>
      </c>
      <c r="AB16" s="7">
        <f>IF($D16="","",X16*AA16/100)</f>
        <v/>
      </c>
      <c r="AC16" s="7">
        <f>IF($D16="","",X16-AB16)</f>
        <v/>
      </c>
      <c r="AD16" s="7">
        <f>IF($D16="","",AC16-P16)</f>
        <v/>
      </c>
      <c r="AH16" s="7" t="n"/>
      <c r="AK16" s="11" t="n"/>
      <c r="AM16">
        <f>IF($D16="","",IF(COUNTIF($D$2:$D16,$D16)=1,1,0))</f>
        <v/>
      </c>
      <c r="AN16">
        <f>IF($AM16=1,SUMPRODUCT(--($AQ$2:$AQ$1001&lt;$AQ16))+1,"")</f>
        <v/>
      </c>
      <c r="AO16">
        <f>IF($D16="","",IF(OR($T16=TRUE(),$T16="TRUE"),1,0))</f>
        <v/>
      </c>
      <c r="AP16">
        <f>IF($D16="","",IF($Z16="Yes",1,0))</f>
        <v/>
      </c>
      <c r="AQ16">
        <f>IF($AM16=1,IFERROR(IF(VALUE($D16)&lt;100000000,VALUE($D16),1000000000),IFERROR(IF(VALUE(MID($D16,2,20))&lt;100000000,VALUE(MID($D16,2,20)),1000000000),1000000000))+ROW()/100000,"")</f>
        <v/>
      </c>
    </row>
    <row r="17">
      <c r="F17" s="11" t="n"/>
      <c r="P17" s="7">
        <f>IF($D17="","",O17*X17/100)</f>
        <v/>
      </c>
      <c r="Q17" s="7" t="n"/>
      <c r="W17" s="7" t="n"/>
      <c r="X17" s="7" t="n"/>
      <c r="AA17">
        <f>IF($D17="","",IF($AP17=1,0,IF($AO17=1,Settings!$C$6,Settings!$C$7))*100)</f>
        <v/>
      </c>
      <c r="AB17" s="7">
        <f>IF($D17="","",X17*AA17/100)</f>
        <v/>
      </c>
      <c r="AC17" s="7">
        <f>IF($D17="","",X17-AB17)</f>
        <v/>
      </c>
      <c r="AD17" s="7">
        <f>IF($D17="","",AC17-P17)</f>
        <v/>
      </c>
      <c r="AH17" s="7" t="n"/>
      <c r="AK17" s="11" t="n"/>
      <c r="AM17">
        <f>IF($D17="","",IF(COUNTIF($D$2:$D17,$D17)=1,1,0))</f>
        <v/>
      </c>
      <c r="AN17">
        <f>IF($AM17=1,SUMPRODUCT(--($AQ$2:$AQ$1001&lt;$AQ17))+1,"")</f>
        <v/>
      </c>
      <c r="AO17">
        <f>IF($D17="","",IF(OR($T17=TRUE(),$T17="TRUE"),1,0))</f>
        <v/>
      </c>
      <c r="AP17">
        <f>IF($D17="","",IF($Z17="Yes",1,0))</f>
        <v/>
      </c>
      <c r="AQ17">
        <f>IF($AM17=1,IFERROR(IF(VALUE($D17)&lt;100000000,VALUE($D17),1000000000),IFERROR(IF(VALUE(MID($D17,2,20))&lt;100000000,VALUE(MID($D17,2,20)),1000000000),1000000000))+ROW()/100000,"")</f>
        <v/>
      </c>
    </row>
    <row r="18">
      <c r="F18" s="11" t="n"/>
      <c r="P18" s="7">
        <f>IF($D18="","",O18*X18/100)</f>
        <v/>
      </c>
      <c r="Q18" s="7" t="n"/>
      <c r="W18" s="7" t="n"/>
      <c r="X18" s="7" t="n"/>
      <c r="AA18">
        <f>IF($D18="","",IF($AP18=1,0,IF($AO18=1,Settings!$C$6,Settings!$C$7))*100)</f>
        <v/>
      </c>
      <c r="AB18" s="7">
        <f>IF($D18="","",X18*AA18/100)</f>
        <v/>
      </c>
      <c r="AC18" s="7">
        <f>IF($D18="","",X18-AB18)</f>
        <v/>
      </c>
      <c r="AD18" s="7">
        <f>IF($D18="","",AC18-P18)</f>
        <v/>
      </c>
      <c r="AH18" s="7" t="n"/>
      <c r="AK18" s="11" t="n"/>
      <c r="AM18">
        <f>IF($D18="","",IF(COUNTIF($D$2:$D18,$D18)=1,1,0))</f>
        <v/>
      </c>
      <c r="AN18">
        <f>IF($AM18=1,SUMPRODUCT(--($AQ$2:$AQ$1001&lt;$AQ18))+1,"")</f>
        <v/>
      </c>
      <c r="AO18">
        <f>IF($D18="","",IF(OR($T18=TRUE(),$T18="TRUE"),1,0))</f>
        <v/>
      </c>
      <c r="AP18">
        <f>IF($D18="","",IF($Z18="Yes",1,0))</f>
        <v/>
      </c>
      <c r="AQ18">
        <f>IF($AM18=1,IFERROR(IF(VALUE($D18)&lt;100000000,VALUE($D18),1000000000),IFERROR(IF(VALUE(MID($D18,2,20))&lt;100000000,VALUE(MID($D18,2,20)),1000000000),1000000000))+ROW()/100000,"")</f>
        <v/>
      </c>
    </row>
    <row r="19">
      <c r="F19" s="11" t="n"/>
      <c r="P19" s="7">
        <f>IF($D19="","",O19*X19/100)</f>
        <v/>
      </c>
      <c r="Q19" s="7" t="n"/>
      <c r="W19" s="7" t="n"/>
      <c r="X19" s="7" t="n"/>
      <c r="AA19">
        <f>IF($D19="","",IF($AP19=1,0,IF($AO19=1,Settings!$C$6,Settings!$C$7))*100)</f>
        <v/>
      </c>
      <c r="AB19" s="7">
        <f>IF($D19="","",X19*AA19/100)</f>
        <v/>
      </c>
      <c r="AC19" s="7">
        <f>IF($D19="","",X19-AB19)</f>
        <v/>
      </c>
      <c r="AD19" s="7">
        <f>IF($D19="","",AC19-P19)</f>
        <v/>
      </c>
      <c r="AH19" s="7" t="n"/>
      <c r="AK19" s="11" t="n"/>
      <c r="AM19">
        <f>IF($D19="","",IF(COUNTIF($D$2:$D19,$D19)=1,1,0))</f>
        <v/>
      </c>
      <c r="AN19">
        <f>IF($AM19=1,SUMPRODUCT(--($AQ$2:$AQ$1001&lt;$AQ19))+1,"")</f>
        <v/>
      </c>
      <c r="AO19">
        <f>IF($D19="","",IF(OR($T19=TRUE(),$T19="TRUE"),1,0))</f>
        <v/>
      </c>
      <c r="AP19">
        <f>IF($D19="","",IF($Z19="Yes",1,0))</f>
        <v/>
      </c>
      <c r="AQ19">
        <f>IF($AM19=1,IFERROR(IF(VALUE($D19)&lt;100000000,VALUE($D19),1000000000),IFERROR(IF(VALUE(MID($D19,2,20))&lt;100000000,VALUE(MID($D19,2,20)),1000000000),1000000000))+ROW()/100000,"")</f>
        <v/>
      </c>
    </row>
    <row r="20">
      <c r="F20" s="11" t="n"/>
      <c r="P20" s="7">
        <f>IF($D20="","",O20*X20/100)</f>
        <v/>
      </c>
      <c r="Q20" s="7" t="n"/>
      <c r="W20" s="7" t="n"/>
      <c r="X20" s="7" t="n"/>
      <c r="AA20">
        <f>IF($D20="","",IF($AP20=1,0,IF($AO20=1,Settings!$C$6,Settings!$C$7))*100)</f>
        <v/>
      </c>
      <c r="AB20" s="7">
        <f>IF($D20="","",X20*AA20/100)</f>
        <v/>
      </c>
      <c r="AC20" s="7">
        <f>IF($D20="","",X20-AB20)</f>
        <v/>
      </c>
      <c r="AD20" s="7">
        <f>IF($D20="","",AC20-P20)</f>
        <v/>
      </c>
      <c r="AH20" s="7" t="n"/>
      <c r="AK20" s="11" t="n"/>
      <c r="AM20">
        <f>IF($D20="","",IF(COUNTIF($D$2:$D20,$D20)=1,1,0))</f>
        <v/>
      </c>
      <c r="AN20">
        <f>IF($AM20=1,SUMPRODUCT(--($AQ$2:$AQ$1001&lt;$AQ20))+1,"")</f>
        <v/>
      </c>
      <c r="AO20">
        <f>IF($D20="","",IF(OR($T20=TRUE(),$T20="TRUE"),1,0))</f>
        <v/>
      </c>
      <c r="AP20">
        <f>IF($D20="","",IF($Z20="Yes",1,0))</f>
        <v/>
      </c>
      <c r="AQ20">
        <f>IF($AM20=1,IFERROR(IF(VALUE($D20)&lt;100000000,VALUE($D20),1000000000),IFERROR(IF(VALUE(MID($D20,2,20))&lt;100000000,VALUE(MID($D20,2,20)),1000000000),1000000000))+ROW()/100000,"")</f>
        <v/>
      </c>
    </row>
    <row r="21">
      <c r="F21" s="11" t="n"/>
      <c r="P21" s="7">
        <f>IF($D21="","",O21*X21/100)</f>
        <v/>
      </c>
      <c r="Q21" s="7" t="n"/>
      <c r="W21" s="7" t="n"/>
      <c r="X21" s="7" t="n"/>
      <c r="AA21">
        <f>IF($D21="","",IF($AP21=1,0,IF($AO21=1,Settings!$C$6,Settings!$C$7))*100)</f>
        <v/>
      </c>
      <c r="AB21" s="7">
        <f>IF($D21="","",X21*AA21/100)</f>
        <v/>
      </c>
      <c r="AC21" s="7">
        <f>IF($D21="","",X21-AB21)</f>
        <v/>
      </c>
      <c r="AD21" s="7">
        <f>IF($D21="","",AC21-P21)</f>
        <v/>
      </c>
      <c r="AH21" s="7" t="n"/>
      <c r="AK21" s="11" t="n"/>
      <c r="AM21">
        <f>IF($D21="","",IF(COUNTIF($D$2:$D21,$D21)=1,1,0))</f>
        <v/>
      </c>
      <c r="AN21">
        <f>IF($AM21=1,SUMPRODUCT(--($AQ$2:$AQ$1001&lt;$AQ21))+1,"")</f>
        <v/>
      </c>
      <c r="AO21">
        <f>IF($D21="","",IF(OR($T21=TRUE(),$T21="TRUE"),1,0))</f>
        <v/>
      </c>
      <c r="AP21">
        <f>IF($D21="","",IF($Z21="Yes",1,0))</f>
        <v/>
      </c>
      <c r="AQ21">
        <f>IF($AM21=1,IFERROR(IF(VALUE($D21)&lt;100000000,VALUE($D21),1000000000),IFERROR(IF(VALUE(MID($D21,2,20))&lt;100000000,VALUE(MID($D21,2,20)),1000000000),1000000000))+ROW()/100000,"")</f>
        <v/>
      </c>
    </row>
    <row r="22">
      <c r="F22" s="11" t="n"/>
      <c r="P22" s="7">
        <f>IF($D22="","",O22*X22/100)</f>
        <v/>
      </c>
      <c r="Q22" s="7" t="n"/>
      <c r="W22" s="7" t="n"/>
      <c r="X22" s="7" t="n"/>
      <c r="AA22">
        <f>IF($D22="","",IF($AP22=1,0,IF($AO22=1,Settings!$C$6,Settings!$C$7))*100)</f>
        <v/>
      </c>
      <c r="AB22" s="7">
        <f>IF($D22="","",X22*AA22/100)</f>
        <v/>
      </c>
      <c r="AC22" s="7">
        <f>IF($D22="","",X22-AB22)</f>
        <v/>
      </c>
      <c r="AD22" s="7">
        <f>IF($D22="","",AC22-P22)</f>
        <v/>
      </c>
      <c r="AH22" s="7" t="n"/>
      <c r="AK22" s="11" t="n"/>
      <c r="AM22">
        <f>IF($D22="","",IF(COUNTIF($D$2:$D22,$D22)=1,1,0))</f>
        <v/>
      </c>
      <c r="AN22">
        <f>IF($AM22=1,SUMPRODUCT(--($AQ$2:$AQ$1001&lt;$AQ22))+1,"")</f>
        <v/>
      </c>
      <c r="AO22">
        <f>IF($D22="","",IF(OR($T22=TRUE(),$T22="TRUE"),1,0))</f>
        <v/>
      </c>
      <c r="AP22">
        <f>IF($D22="","",IF($Z22="Yes",1,0))</f>
        <v/>
      </c>
      <c r="AQ22">
        <f>IF($AM22=1,IFERROR(IF(VALUE($D22)&lt;100000000,VALUE($D22),1000000000),IFERROR(IF(VALUE(MID($D22,2,20))&lt;100000000,VALUE(MID($D22,2,20)),1000000000),1000000000))+ROW()/100000,"")</f>
        <v/>
      </c>
    </row>
    <row r="23">
      <c r="F23" s="11" t="n"/>
      <c r="P23" s="7">
        <f>IF($D23="","",O23*X23/100)</f>
        <v/>
      </c>
      <c r="Q23" s="7" t="n"/>
      <c r="W23" s="7" t="n"/>
      <c r="X23" s="7" t="n"/>
      <c r="AA23">
        <f>IF($D23="","",IF($AP23=1,0,IF($AO23=1,Settings!$C$6,Settings!$C$7))*100)</f>
        <v/>
      </c>
      <c r="AB23" s="7">
        <f>IF($D23="","",X23*AA23/100)</f>
        <v/>
      </c>
      <c r="AC23" s="7">
        <f>IF($D23="","",X23-AB23)</f>
        <v/>
      </c>
      <c r="AD23" s="7">
        <f>IF($D23="","",AC23-P23)</f>
        <v/>
      </c>
      <c r="AH23" s="7" t="n"/>
      <c r="AK23" s="11" t="n"/>
      <c r="AM23">
        <f>IF($D23="","",IF(COUNTIF($D$2:$D23,$D23)=1,1,0))</f>
        <v/>
      </c>
      <c r="AN23">
        <f>IF($AM23=1,SUMPRODUCT(--($AQ$2:$AQ$1001&lt;$AQ23))+1,"")</f>
        <v/>
      </c>
      <c r="AO23">
        <f>IF($D23="","",IF(OR($T23=TRUE(),$T23="TRUE"),1,0))</f>
        <v/>
      </c>
      <c r="AP23">
        <f>IF($D23="","",IF($Z23="Yes",1,0))</f>
        <v/>
      </c>
      <c r="AQ23">
        <f>IF($AM23=1,IFERROR(IF(VALUE($D23)&lt;100000000,VALUE($D23),1000000000),IFERROR(IF(VALUE(MID($D23,2,20))&lt;100000000,VALUE(MID($D23,2,20)),1000000000),1000000000))+ROW()/100000,"")</f>
        <v/>
      </c>
    </row>
    <row r="24">
      <c r="F24" s="11" t="n"/>
      <c r="P24" s="7">
        <f>IF($D24="","",O24*X24/100)</f>
        <v/>
      </c>
      <c r="Q24" s="7" t="n"/>
      <c r="W24" s="7" t="n"/>
      <c r="X24" s="7" t="n"/>
      <c r="AA24">
        <f>IF($D24="","",IF($AP24=1,0,IF($AO24=1,Settings!$C$6,Settings!$C$7))*100)</f>
        <v/>
      </c>
      <c r="AB24" s="7">
        <f>IF($D24="","",X24*AA24/100)</f>
        <v/>
      </c>
      <c r="AC24" s="7">
        <f>IF($D24="","",X24-AB24)</f>
        <v/>
      </c>
      <c r="AD24" s="7">
        <f>IF($D24="","",AC24-P24)</f>
        <v/>
      </c>
      <c r="AH24" s="7" t="n"/>
      <c r="AK24" s="11" t="n"/>
      <c r="AM24">
        <f>IF($D24="","",IF(COUNTIF($D$2:$D24,$D24)=1,1,0))</f>
        <v/>
      </c>
      <c r="AN24">
        <f>IF($AM24=1,SUMPRODUCT(--($AQ$2:$AQ$1001&lt;$AQ24))+1,"")</f>
        <v/>
      </c>
      <c r="AO24">
        <f>IF($D24="","",IF(OR($T24=TRUE(),$T24="TRUE"),1,0))</f>
        <v/>
      </c>
      <c r="AP24">
        <f>IF($D24="","",IF($Z24="Yes",1,0))</f>
        <v/>
      </c>
      <c r="AQ24">
        <f>IF($AM24=1,IFERROR(IF(VALUE($D24)&lt;100000000,VALUE($D24),1000000000),IFERROR(IF(VALUE(MID($D24,2,20))&lt;100000000,VALUE(MID($D24,2,20)),1000000000),1000000000))+ROW()/100000,"")</f>
        <v/>
      </c>
    </row>
    <row r="25">
      <c r="F25" s="11" t="n"/>
      <c r="P25" s="7">
        <f>IF($D25="","",O25*X25/100)</f>
        <v/>
      </c>
      <c r="Q25" s="7" t="n"/>
      <c r="W25" s="7" t="n"/>
      <c r="X25" s="7" t="n"/>
      <c r="AA25">
        <f>IF($D25="","",IF($AP25=1,0,IF($AO25=1,Settings!$C$6,Settings!$C$7))*100)</f>
        <v/>
      </c>
      <c r="AB25" s="7">
        <f>IF($D25="","",X25*AA25/100)</f>
        <v/>
      </c>
      <c r="AC25" s="7">
        <f>IF($D25="","",X25-AB25)</f>
        <v/>
      </c>
      <c r="AD25" s="7">
        <f>IF($D25="","",AC25-P25)</f>
        <v/>
      </c>
      <c r="AH25" s="7" t="n"/>
      <c r="AK25" s="11" t="n"/>
      <c r="AM25">
        <f>IF($D25="","",IF(COUNTIF($D$2:$D25,$D25)=1,1,0))</f>
        <v/>
      </c>
      <c r="AN25">
        <f>IF($AM25=1,SUMPRODUCT(--($AQ$2:$AQ$1001&lt;$AQ25))+1,"")</f>
        <v/>
      </c>
      <c r="AO25">
        <f>IF($D25="","",IF(OR($T25=TRUE(),$T25="TRUE"),1,0))</f>
        <v/>
      </c>
      <c r="AP25">
        <f>IF($D25="","",IF($Z25="Yes",1,0))</f>
        <v/>
      </c>
      <c r="AQ25">
        <f>IF($AM25=1,IFERROR(IF(VALUE($D25)&lt;100000000,VALUE($D25),1000000000),IFERROR(IF(VALUE(MID($D25,2,20))&lt;100000000,VALUE(MID($D25,2,20)),1000000000),1000000000))+ROW()/100000,"")</f>
        <v/>
      </c>
    </row>
    <row r="26">
      <c r="F26" s="11" t="n"/>
      <c r="P26" s="7">
        <f>IF($D26="","",O26*X26/100)</f>
        <v/>
      </c>
      <c r="Q26" s="7" t="n"/>
      <c r="W26" s="7" t="n"/>
      <c r="X26" s="7" t="n"/>
      <c r="AA26">
        <f>IF($D26="","",IF($AP26=1,0,IF($AO26=1,Settings!$C$6,Settings!$C$7))*100)</f>
        <v/>
      </c>
      <c r="AB26" s="7">
        <f>IF($D26="","",X26*AA26/100)</f>
        <v/>
      </c>
      <c r="AC26" s="7">
        <f>IF($D26="","",X26-AB26)</f>
        <v/>
      </c>
      <c r="AD26" s="7">
        <f>IF($D26="","",AC26-P26)</f>
        <v/>
      </c>
      <c r="AH26" s="7" t="n"/>
      <c r="AK26" s="11" t="n"/>
      <c r="AM26">
        <f>IF($D26="","",IF(COUNTIF($D$2:$D26,$D26)=1,1,0))</f>
        <v/>
      </c>
      <c r="AN26">
        <f>IF($AM26=1,SUMPRODUCT(--($AQ$2:$AQ$1001&lt;$AQ26))+1,"")</f>
        <v/>
      </c>
      <c r="AO26">
        <f>IF($D26="","",IF(OR($T26=TRUE(),$T26="TRUE"),1,0))</f>
        <v/>
      </c>
      <c r="AP26">
        <f>IF($D26="","",IF($Z26="Yes",1,0))</f>
        <v/>
      </c>
      <c r="AQ26">
        <f>IF($AM26=1,IFERROR(IF(VALUE($D26)&lt;100000000,VALUE($D26),1000000000),IFERROR(IF(VALUE(MID($D26,2,20))&lt;100000000,VALUE(MID($D26,2,20)),1000000000),1000000000))+ROW()/100000,"")</f>
        <v/>
      </c>
    </row>
    <row r="27">
      <c r="F27" s="11" t="n"/>
      <c r="P27" s="7">
        <f>IF($D27="","",O27*X27/100)</f>
        <v/>
      </c>
      <c r="Q27" s="7" t="n"/>
      <c r="W27" s="7" t="n"/>
      <c r="X27" s="7" t="n"/>
      <c r="AA27">
        <f>IF($D27="","",IF($AP27=1,0,IF($AO27=1,Settings!$C$6,Settings!$C$7))*100)</f>
        <v/>
      </c>
      <c r="AB27" s="7">
        <f>IF($D27="","",X27*AA27/100)</f>
        <v/>
      </c>
      <c r="AC27" s="7">
        <f>IF($D27="","",X27-AB27)</f>
        <v/>
      </c>
      <c r="AD27" s="7">
        <f>IF($D27="","",AC27-P27)</f>
        <v/>
      </c>
      <c r="AH27" s="7" t="n"/>
      <c r="AK27" s="11" t="n"/>
      <c r="AM27">
        <f>IF($D27="","",IF(COUNTIF($D$2:$D27,$D27)=1,1,0))</f>
        <v/>
      </c>
      <c r="AN27">
        <f>IF($AM27=1,SUMPRODUCT(--($AQ$2:$AQ$1001&lt;$AQ27))+1,"")</f>
        <v/>
      </c>
      <c r="AO27">
        <f>IF($D27="","",IF(OR($T27=TRUE(),$T27="TRUE"),1,0))</f>
        <v/>
      </c>
      <c r="AP27">
        <f>IF($D27="","",IF($Z27="Yes",1,0))</f>
        <v/>
      </c>
      <c r="AQ27">
        <f>IF($AM27=1,IFERROR(IF(VALUE($D27)&lt;100000000,VALUE($D27),1000000000),IFERROR(IF(VALUE(MID($D27,2,20))&lt;100000000,VALUE(MID($D27,2,20)),1000000000),1000000000))+ROW()/100000,"")</f>
        <v/>
      </c>
    </row>
    <row r="28">
      <c r="F28" s="11" t="n"/>
      <c r="P28" s="7">
        <f>IF($D28="","",O28*X28/100)</f>
        <v/>
      </c>
      <c r="Q28" s="7" t="n"/>
      <c r="W28" s="7" t="n"/>
      <c r="X28" s="7" t="n"/>
      <c r="AA28">
        <f>IF($D28="","",IF($AP28=1,0,IF($AO28=1,Settings!$C$6,Settings!$C$7))*100)</f>
        <v/>
      </c>
      <c r="AB28" s="7">
        <f>IF($D28="","",X28*AA28/100)</f>
        <v/>
      </c>
      <c r="AC28" s="7">
        <f>IF($D28="","",X28-AB28)</f>
        <v/>
      </c>
      <c r="AD28" s="7">
        <f>IF($D28="","",AC28-P28)</f>
        <v/>
      </c>
      <c r="AH28" s="7" t="n"/>
      <c r="AK28" s="11" t="n"/>
      <c r="AM28">
        <f>IF($D28="","",IF(COUNTIF($D$2:$D28,$D28)=1,1,0))</f>
        <v/>
      </c>
      <c r="AN28">
        <f>IF($AM28=1,SUMPRODUCT(--($AQ$2:$AQ$1001&lt;$AQ28))+1,"")</f>
        <v/>
      </c>
      <c r="AO28">
        <f>IF($D28="","",IF(OR($T28=TRUE(),$T28="TRUE"),1,0))</f>
        <v/>
      </c>
      <c r="AP28">
        <f>IF($D28="","",IF($Z28="Yes",1,0))</f>
        <v/>
      </c>
      <c r="AQ28">
        <f>IF($AM28=1,IFERROR(IF(VALUE($D28)&lt;100000000,VALUE($D28),1000000000),IFERROR(IF(VALUE(MID($D28,2,20))&lt;100000000,VALUE(MID($D28,2,20)),1000000000),1000000000))+ROW()/100000,"")</f>
        <v/>
      </c>
    </row>
    <row r="29">
      <c r="F29" s="11" t="n"/>
      <c r="P29" s="7">
        <f>IF($D29="","",O29*X29/100)</f>
        <v/>
      </c>
      <c r="Q29" s="7" t="n"/>
      <c r="W29" s="7" t="n"/>
      <c r="X29" s="7" t="n"/>
      <c r="AA29">
        <f>IF($D29="","",IF($AP29=1,0,IF($AO29=1,Settings!$C$6,Settings!$C$7))*100)</f>
        <v/>
      </c>
      <c r="AB29" s="7">
        <f>IF($D29="","",X29*AA29/100)</f>
        <v/>
      </c>
      <c r="AC29" s="7">
        <f>IF($D29="","",X29-AB29)</f>
        <v/>
      </c>
      <c r="AD29" s="7">
        <f>IF($D29="","",AC29-P29)</f>
        <v/>
      </c>
      <c r="AH29" s="7" t="n"/>
      <c r="AK29" s="11" t="n"/>
      <c r="AM29">
        <f>IF($D29="","",IF(COUNTIF($D$2:$D29,$D29)=1,1,0))</f>
        <v/>
      </c>
      <c r="AN29">
        <f>IF($AM29=1,SUMPRODUCT(--($AQ$2:$AQ$1001&lt;$AQ29))+1,"")</f>
        <v/>
      </c>
      <c r="AO29">
        <f>IF($D29="","",IF(OR($T29=TRUE(),$T29="TRUE"),1,0))</f>
        <v/>
      </c>
      <c r="AP29">
        <f>IF($D29="","",IF($Z29="Yes",1,0))</f>
        <v/>
      </c>
      <c r="AQ29">
        <f>IF($AM29=1,IFERROR(IF(VALUE($D29)&lt;100000000,VALUE($D29),1000000000),IFERROR(IF(VALUE(MID($D29,2,20))&lt;100000000,VALUE(MID($D29,2,20)),1000000000),1000000000))+ROW()/100000,"")</f>
        <v/>
      </c>
    </row>
    <row r="30">
      <c r="F30" s="11" t="n"/>
      <c r="P30" s="7">
        <f>IF($D30="","",O30*X30/100)</f>
        <v/>
      </c>
      <c r="Q30" s="7" t="n"/>
      <c r="W30" s="7" t="n"/>
      <c r="X30" s="7" t="n"/>
      <c r="AA30">
        <f>IF($D30="","",IF($AP30=1,0,IF($AO30=1,Settings!$C$6,Settings!$C$7))*100)</f>
        <v/>
      </c>
      <c r="AB30" s="7">
        <f>IF($D30="","",X30*AA30/100)</f>
        <v/>
      </c>
      <c r="AC30" s="7">
        <f>IF($D30="","",X30-AB30)</f>
        <v/>
      </c>
      <c r="AD30" s="7">
        <f>IF($D30="","",AC30-P30)</f>
        <v/>
      </c>
      <c r="AH30" s="7" t="n"/>
      <c r="AK30" s="11" t="n"/>
      <c r="AM30">
        <f>IF($D30="","",IF(COUNTIF($D$2:$D30,$D30)=1,1,0))</f>
        <v/>
      </c>
      <c r="AN30">
        <f>IF($AM30=1,SUMPRODUCT(--($AQ$2:$AQ$1001&lt;$AQ30))+1,"")</f>
        <v/>
      </c>
      <c r="AO30">
        <f>IF($D30="","",IF(OR($T30=TRUE(),$T30="TRUE"),1,0))</f>
        <v/>
      </c>
      <c r="AP30">
        <f>IF($D30="","",IF($Z30="Yes",1,0))</f>
        <v/>
      </c>
      <c r="AQ30">
        <f>IF($AM30=1,IFERROR(IF(VALUE($D30)&lt;100000000,VALUE($D30),1000000000),IFERROR(IF(VALUE(MID($D30,2,20))&lt;100000000,VALUE(MID($D30,2,20)),1000000000),1000000000))+ROW()/100000,"")</f>
        <v/>
      </c>
    </row>
    <row r="31">
      <c r="F31" s="11" t="n"/>
      <c r="P31" s="7">
        <f>IF($D31="","",O31*X31/100)</f>
        <v/>
      </c>
      <c r="Q31" s="7" t="n"/>
      <c r="W31" s="7" t="n"/>
      <c r="X31" s="7" t="n"/>
      <c r="AA31">
        <f>IF($D31="","",IF($AP31=1,0,IF($AO31=1,Settings!$C$6,Settings!$C$7))*100)</f>
        <v/>
      </c>
      <c r="AB31" s="7">
        <f>IF($D31="","",X31*AA31/100)</f>
        <v/>
      </c>
      <c r="AC31" s="7">
        <f>IF($D31="","",X31-AB31)</f>
        <v/>
      </c>
      <c r="AD31" s="7">
        <f>IF($D31="","",AC31-P31)</f>
        <v/>
      </c>
      <c r="AH31" s="7" t="n"/>
      <c r="AK31" s="11" t="n"/>
      <c r="AM31">
        <f>IF($D31="","",IF(COUNTIF($D$2:$D31,$D31)=1,1,0))</f>
        <v/>
      </c>
      <c r="AN31">
        <f>IF($AM31=1,SUMPRODUCT(--($AQ$2:$AQ$1001&lt;$AQ31))+1,"")</f>
        <v/>
      </c>
      <c r="AO31">
        <f>IF($D31="","",IF(OR($T31=TRUE(),$T31="TRUE"),1,0))</f>
        <v/>
      </c>
      <c r="AP31">
        <f>IF($D31="","",IF($Z31="Yes",1,0))</f>
        <v/>
      </c>
      <c r="AQ31">
        <f>IF($AM31=1,IFERROR(IF(VALUE($D31)&lt;100000000,VALUE($D31),1000000000),IFERROR(IF(VALUE(MID($D31,2,20))&lt;100000000,VALUE(MID($D31,2,20)),1000000000),1000000000))+ROW()/100000,"")</f>
        <v/>
      </c>
    </row>
    <row r="32">
      <c r="F32" s="11" t="n"/>
      <c r="P32" s="7">
        <f>IF($D32="","",O32*X32/100)</f>
        <v/>
      </c>
      <c r="Q32" s="7" t="n"/>
      <c r="W32" s="7" t="n"/>
      <c r="X32" s="7" t="n"/>
      <c r="AA32">
        <f>IF($D32="","",IF($AP32=1,0,IF($AO32=1,Settings!$C$6,Settings!$C$7))*100)</f>
        <v/>
      </c>
      <c r="AB32" s="7">
        <f>IF($D32="","",X32*AA32/100)</f>
        <v/>
      </c>
      <c r="AC32" s="7">
        <f>IF($D32="","",X32-AB32)</f>
        <v/>
      </c>
      <c r="AD32" s="7">
        <f>IF($D32="","",AC32-P32)</f>
        <v/>
      </c>
      <c r="AH32" s="7" t="n"/>
      <c r="AK32" s="11" t="n"/>
      <c r="AM32">
        <f>IF($D32="","",IF(COUNTIF($D$2:$D32,$D32)=1,1,0))</f>
        <v/>
      </c>
      <c r="AN32">
        <f>IF($AM32=1,SUMPRODUCT(--($AQ$2:$AQ$1001&lt;$AQ32))+1,"")</f>
        <v/>
      </c>
      <c r="AO32">
        <f>IF($D32="","",IF(OR($T32=TRUE(),$T32="TRUE"),1,0))</f>
        <v/>
      </c>
      <c r="AP32">
        <f>IF($D32="","",IF($Z32="Yes",1,0))</f>
        <v/>
      </c>
      <c r="AQ32">
        <f>IF($AM32=1,IFERROR(IF(VALUE($D32)&lt;100000000,VALUE($D32),1000000000),IFERROR(IF(VALUE(MID($D32,2,20))&lt;100000000,VALUE(MID($D32,2,20)),1000000000),1000000000))+ROW()/100000,"")</f>
        <v/>
      </c>
    </row>
    <row r="33">
      <c r="F33" s="11" t="n"/>
      <c r="P33" s="7">
        <f>IF($D33="","",O33*X33/100)</f>
        <v/>
      </c>
      <c r="Q33" s="7" t="n"/>
      <c r="W33" s="7" t="n"/>
      <c r="X33" s="7" t="n"/>
      <c r="AA33">
        <f>IF($D33="","",IF($AP33=1,0,IF($AO33=1,Settings!$C$6,Settings!$C$7))*100)</f>
        <v/>
      </c>
      <c r="AB33" s="7">
        <f>IF($D33="","",X33*AA33/100)</f>
        <v/>
      </c>
      <c r="AC33" s="7">
        <f>IF($D33="","",X33-AB33)</f>
        <v/>
      </c>
      <c r="AD33" s="7">
        <f>IF($D33="","",AC33-P33)</f>
        <v/>
      </c>
      <c r="AH33" s="7" t="n"/>
      <c r="AK33" s="11" t="n"/>
      <c r="AM33">
        <f>IF($D33="","",IF(COUNTIF($D$2:$D33,$D33)=1,1,0))</f>
        <v/>
      </c>
      <c r="AN33">
        <f>IF($AM33=1,SUMPRODUCT(--($AQ$2:$AQ$1001&lt;$AQ33))+1,"")</f>
        <v/>
      </c>
      <c r="AO33">
        <f>IF($D33="","",IF(OR($T33=TRUE(),$T33="TRUE"),1,0))</f>
        <v/>
      </c>
      <c r="AP33">
        <f>IF($D33="","",IF($Z33="Yes",1,0))</f>
        <v/>
      </c>
      <c r="AQ33">
        <f>IF($AM33=1,IFERROR(IF(VALUE($D33)&lt;100000000,VALUE($D33),1000000000),IFERROR(IF(VALUE(MID($D33,2,20))&lt;100000000,VALUE(MID($D33,2,20)),1000000000),1000000000))+ROW()/100000,"")</f>
        <v/>
      </c>
    </row>
    <row r="34">
      <c r="F34" s="11" t="n"/>
      <c r="P34" s="7">
        <f>IF($D34="","",O34*X34/100)</f>
        <v/>
      </c>
      <c r="Q34" s="7" t="n"/>
      <c r="W34" s="7" t="n"/>
      <c r="X34" s="7" t="n"/>
      <c r="AA34">
        <f>IF($D34="","",IF($AP34=1,0,IF($AO34=1,Settings!$C$6,Settings!$C$7))*100)</f>
        <v/>
      </c>
      <c r="AB34" s="7">
        <f>IF($D34="","",X34*AA34/100)</f>
        <v/>
      </c>
      <c r="AC34" s="7">
        <f>IF($D34="","",X34-AB34)</f>
        <v/>
      </c>
      <c r="AD34" s="7">
        <f>IF($D34="","",AC34-P34)</f>
        <v/>
      </c>
      <c r="AH34" s="7" t="n"/>
      <c r="AK34" s="11" t="n"/>
      <c r="AM34">
        <f>IF($D34="","",IF(COUNTIF($D$2:$D34,$D34)=1,1,0))</f>
        <v/>
      </c>
      <c r="AN34">
        <f>IF($AM34=1,SUMPRODUCT(--($AQ$2:$AQ$1001&lt;$AQ34))+1,"")</f>
        <v/>
      </c>
      <c r="AO34">
        <f>IF($D34="","",IF(OR($T34=TRUE(),$T34="TRUE"),1,0))</f>
        <v/>
      </c>
      <c r="AP34">
        <f>IF($D34="","",IF($Z34="Yes",1,0))</f>
        <v/>
      </c>
      <c r="AQ34">
        <f>IF($AM34=1,IFERROR(IF(VALUE($D34)&lt;100000000,VALUE($D34),1000000000),IFERROR(IF(VALUE(MID($D34,2,20))&lt;100000000,VALUE(MID($D34,2,20)),1000000000),1000000000))+ROW()/100000,"")</f>
        <v/>
      </c>
    </row>
    <row r="35">
      <c r="F35" s="11" t="n"/>
      <c r="P35" s="7">
        <f>IF($D35="","",O35*X35/100)</f>
        <v/>
      </c>
      <c r="Q35" s="7" t="n"/>
      <c r="W35" s="7" t="n"/>
      <c r="X35" s="7" t="n"/>
      <c r="AA35">
        <f>IF($D35="","",IF($AP35=1,0,IF($AO35=1,Settings!$C$6,Settings!$C$7))*100)</f>
        <v/>
      </c>
      <c r="AB35" s="7">
        <f>IF($D35="","",X35*AA35/100)</f>
        <v/>
      </c>
      <c r="AC35" s="7">
        <f>IF($D35="","",X35-AB35)</f>
        <v/>
      </c>
      <c r="AD35" s="7">
        <f>IF($D35="","",AC35-P35)</f>
        <v/>
      </c>
      <c r="AH35" s="7" t="n"/>
      <c r="AK35" s="11" t="n"/>
      <c r="AM35">
        <f>IF($D35="","",IF(COUNTIF($D$2:$D35,$D35)=1,1,0))</f>
        <v/>
      </c>
      <c r="AN35">
        <f>IF($AM35=1,SUMPRODUCT(--($AQ$2:$AQ$1001&lt;$AQ35))+1,"")</f>
        <v/>
      </c>
      <c r="AO35">
        <f>IF($D35="","",IF(OR($T35=TRUE(),$T35="TRUE"),1,0))</f>
        <v/>
      </c>
      <c r="AP35">
        <f>IF($D35="","",IF($Z35="Yes",1,0))</f>
        <v/>
      </c>
      <c r="AQ35">
        <f>IF($AM35=1,IFERROR(IF(VALUE($D35)&lt;100000000,VALUE($D35),1000000000),IFERROR(IF(VALUE(MID($D35,2,20))&lt;100000000,VALUE(MID($D35,2,20)),1000000000),1000000000))+ROW()/100000,"")</f>
        <v/>
      </c>
    </row>
    <row r="36">
      <c r="F36" s="11" t="n"/>
      <c r="P36" s="7">
        <f>IF($D36="","",O36*X36/100)</f>
        <v/>
      </c>
      <c r="Q36" s="7" t="n"/>
      <c r="W36" s="7" t="n"/>
      <c r="X36" s="7" t="n"/>
      <c r="AA36">
        <f>IF($D36="","",IF($AP36=1,0,IF($AO36=1,Settings!$C$6,Settings!$C$7))*100)</f>
        <v/>
      </c>
      <c r="AB36" s="7">
        <f>IF($D36="","",X36*AA36/100)</f>
        <v/>
      </c>
      <c r="AC36" s="7">
        <f>IF($D36="","",X36-AB36)</f>
        <v/>
      </c>
      <c r="AD36" s="7">
        <f>IF($D36="","",AC36-P36)</f>
        <v/>
      </c>
      <c r="AH36" s="7" t="n"/>
      <c r="AK36" s="11" t="n"/>
      <c r="AM36">
        <f>IF($D36="","",IF(COUNTIF($D$2:$D36,$D36)=1,1,0))</f>
        <v/>
      </c>
      <c r="AN36">
        <f>IF($AM36=1,SUMPRODUCT(--($AQ$2:$AQ$1001&lt;$AQ36))+1,"")</f>
        <v/>
      </c>
      <c r="AO36">
        <f>IF($D36="","",IF(OR($T36=TRUE(),$T36="TRUE"),1,0))</f>
        <v/>
      </c>
      <c r="AP36">
        <f>IF($D36="","",IF($Z36="Yes",1,0))</f>
        <v/>
      </c>
      <c r="AQ36">
        <f>IF($AM36=1,IFERROR(IF(VALUE($D36)&lt;100000000,VALUE($D36),1000000000),IFERROR(IF(VALUE(MID($D36,2,20))&lt;100000000,VALUE(MID($D36,2,20)),1000000000),1000000000))+ROW()/100000,"")</f>
        <v/>
      </c>
    </row>
    <row r="37">
      <c r="F37" s="11" t="n"/>
      <c r="P37" s="7">
        <f>IF($D37="","",O37*X37/100)</f>
        <v/>
      </c>
      <c r="Q37" s="7" t="n"/>
      <c r="W37" s="7" t="n"/>
      <c r="X37" s="7" t="n"/>
      <c r="AA37">
        <f>IF($D37="","",IF($AP37=1,0,IF($AO37=1,Settings!$C$6,Settings!$C$7))*100)</f>
        <v/>
      </c>
      <c r="AB37" s="7">
        <f>IF($D37="","",X37*AA37/100)</f>
        <v/>
      </c>
      <c r="AC37" s="7">
        <f>IF($D37="","",X37-AB37)</f>
        <v/>
      </c>
      <c r="AD37" s="7">
        <f>IF($D37="","",AC37-P37)</f>
        <v/>
      </c>
      <c r="AH37" s="7" t="n"/>
      <c r="AK37" s="11" t="n"/>
      <c r="AM37">
        <f>IF($D37="","",IF(COUNTIF($D$2:$D37,$D37)=1,1,0))</f>
        <v/>
      </c>
      <c r="AN37">
        <f>IF($AM37=1,SUMPRODUCT(--($AQ$2:$AQ$1001&lt;$AQ37))+1,"")</f>
        <v/>
      </c>
      <c r="AO37">
        <f>IF($D37="","",IF(OR($T37=TRUE(),$T37="TRUE"),1,0))</f>
        <v/>
      </c>
      <c r="AP37">
        <f>IF($D37="","",IF($Z37="Yes",1,0))</f>
        <v/>
      </c>
      <c r="AQ37">
        <f>IF($AM37=1,IFERROR(IF(VALUE($D37)&lt;100000000,VALUE($D37),1000000000),IFERROR(IF(VALUE(MID($D37,2,20))&lt;100000000,VALUE(MID($D37,2,20)),1000000000),1000000000))+ROW()/100000,"")</f>
        <v/>
      </c>
    </row>
    <row r="38">
      <c r="F38" s="11" t="n"/>
      <c r="P38" s="7">
        <f>IF($D38="","",O38*X38/100)</f>
        <v/>
      </c>
      <c r="Q38" s="7" t="n"/>
      <c r="W38" s="7" t="n"/>
      <c r="X38" s="7" t="n"/>
      <c r="AA38">
        <f>IF($D38="","",IF($AP38=1,0,IF($AO38=1,Settings!$C$6,Settings!$C$7))*100)</f>
        <v/>
      </c>
      <c r="AB38" s="7">
        <f>IF($D38="","",X38*AA38/100)</f>
        <v/>
      </c>
      <c r="AC38" s="7">
        <f>IF($D38="","",X38-AB38)</f>
        <v/>
      </c>
      <c r="AD38" s="7">
        <f>IF($D38="","",AC38-P38)</f>
        <v/>
      </c>
      <c r="AH38" s="7" t="n"/>
      <c r="AK38" s="11" t="n"/>
      <c r="AM38">
        <f>IF($D38="","",IF(COUNTIF($D$2:$D38,$D38)=1,1,0))</f>
        <v/>
      </c>
      <c r="AN38">
        <f>IF($AM38=1,SUMPRODUCT(--($AQ$2:$AQ$1001&lt;$AQ38))+1,"")</f>
        <v/>
      </c>
      <c r="AO38">
        <f>IF($D38="","",IF(OR($T38=TRUE(),$T38="TRUE"),1,0))</f>
        <v/>
      </c>
      <c r="AP38">
        <f>IF($D38="","",IF($Z38="Yes",1,0))</f>
        <v/>
      </c>
      <c r="AQ38">
        <f>IF($AM38=1,IFERROR(IF(VALUE($D38)&lt;100000000,VALUE($D38),1000000000),IFERROR(IF(VALUE(MID($D38,2,20))&lt;100000000,VALUE(MID($D38,2,20)),1000000000),1000000000))+ROW()/100000,"")</f>
        <v/>
      </c>
    </row>
    <row r="39">
      <c r="F39" s="11" t="n"/>
      <c r="P39" s="7">
        <f>IF($D39="","",O39*X39/100)</f>
        <v/>
      </c>
      <c r="Q39" s="7" t="n"/>
      <c r="W39" s="7" t="n"/>
      <c r="X39" s="7" t="n"/>
      <c r="AA39">
        <f>IF($D39="","",IF($AP39=1,0,IF($AO39=1,Settings!$C$6,Settings!$C$7))*100)</f>
        <v/>
      </c>
      <c r="AB39" s="7">
        <f>IF($D39="","",X39*AA39/100)</f>
        <v/>
      </c>
      <c r="AC39" s="7">
        <f>IF($D39="","",X39-AB39)</f>
        <v/>
      </c>
      <c r="AD39" s="7">
        <f>IF($D39="","",AC39-P39)</f>
        <v/>
      </c>
      <c r="AH39" s="7" t="n"/>
      <c r="AK39" s="11" t="n"/>
      <c r="AM39">
        <f>IF($D39="","",IF(COUNTIF($D$2:$D39,$D39)=1,1,0))</f>
        <v/>
      </c>
      <c r="AN39">
        <f>IF($AM39=1,SUMPRODUCT(--($AQ$2:$AQ$1001&lt;$AQ39))+1,"")</f>
        <v/>
      </c>
      <c r="AO39">
        <f>IF($D39="","",IF(OR($T39=TRUE(),$T39="TRUE"),1,0))</f>
        <v/>
      </c>
      <c r="AP39">
        <f>IF($D39="","",IF($Z39="Yes",1,0))</f>
        <v/>
      </c>
      <c r="AQ39">
        <f>IF($AM39=1,IFERROR(IF(VALUE($D39)&lt;100000000,VALUE($D39),1000000000),IFERROR(IF(VALUE(MID($D39,2,20))&lt;100000000,VALUE(MID($D39,2,20)),1000000000),1000000000))+ROW()/100000,"")</f>
        <v/>
      </c>
    </row>
    <row r="40">
      <c r="F40" s="11" t="n"/>
      <c r="P40" s="7">
        <f>IF($D40="","",O40*X40/100)</f>
        <v/>
      </c>
      <c r="Q40" s="7" t="n"/>
      <c r="W40" s="7" t="n"/>
      <c r="X40" s="7" t="n"/>
      <c r="AA40">
        <f>IF($D40="","",IF($AP40=1,0,IF($AO40=1,Settings!$C$6,Settings!$C$7))*100)</f>
        <v/>
      </c>
      <c r="AB40" s="7">
        <f>IF($D40="","",X40*AA40/100)</f>
        <v/>
      </c>
      <c r="AC40" s="7">
        <f>IF($D40="","",X40-AB40)</f>
        <v/>
      </c>
      <c r="AD40" s="7">
        <f>IF($D40="","",AC40-P40)</f>
        <v/>
      </c>
      <c r="AH40" s="7" t="n"/>
      <c r="AK40" s="11" t="n"/>
      <c r="AM40">
        <f>IF($D40="","",IF(COUNTIF($D$2:$D40,$D40)=1,1,0))</f>
        <v/>
      </c>
      <c r="AN40">
        <f>IF($AM40=1,SUMPRODUCT(--($AQ$2:$AQ$1001&lt;$AQ40))+1,"")</f>
        <v/>
      </c>
      <c r="AO40">
        <f>IF($D40="","",IF(OR($T40=TRUE(),$T40="TRUE"),1,0))</f>
        <v/>
      </c>
      <c r="AP40">
        <f>IF($D40="","",IF($Z40="Yes",1,0))</f>
        <v/>
      </c>
      <c r="AQ40">
        <f>IF($AM40=1,IFERROR(IF(VALUE($D40)&lt;100000000,VALUE($D40),1000000000),IFERROR(IF(VALUE(MID($D40,2,20))&lt;100000000,VALUE(MID($D40,2,20)),1000000000),1000000000))+ROW()/100000,"")</f>
        <v/>
      </c>
    </row>
    <row r="41">
      <c r="F41" s="11" t="n"/>
      <c r="P41" s="7">
        <f>IF($D41="","",O41*X41/100)</f>
        <v/>
      </c>
      <c r="Q41" s="7" t="n"/>
      <c r="W41" s="7" t="n"/>
      <c r="X41" s="7" t="n"/>
      <c r="AA41">
        <f>IF($D41="","",IF($AP41=1,0,IF($AO41=1,Settings!$C$6,Settings!$C$7))*100)</f>
        <v/>
      </c>
      <c r="AB41" s="7">
        <f>IF($D41="","",X41*AA41/100)</f>
        <v/>
      </c>
      <c r="AC41" s="7">
        <f>IF($D41="","",X41-AB41)</f>
        <v/>
      </c>
      <c r="AD41" s="7">
        <f>IF($D41="","",AC41-P41)</f>
        <v/>
      </c>
      <c r="AH41" s="7" t="n"/>
      <c r="AK41" s="11" t="n"/>
      <c r="AM41">
        <f>IF($D41="","",IF(COUNTIF($D$2:$D41,$D41)=1,1,0))</f>
        <v/>
      </c>
      <c r="AN41">
        <f>IF($AM41=1,SUMPRODUCT(--($AQ$2:$AQ$1001&lt;$AQ41))+1,"")</f>
        <v/>
      </c>
      <c r="AO41">
        <f>IF($D41="","",IF(OR($T41=TRUE(),$T41="TRUE"),1,0))</f>
        <v/>
      </c>
      <c r="AP41">
        <f>IF($D41="","",IF($Z41="Yes",1,0))</f>
        <v/>
      </c>
      <c r="AQ41">
        <f>IF($AM41=1,IFERROR(IF(VALUE($D41)&lt;100000000,VALUE($D41),1000000000),IFERROR(IF(VALUE(MID($D41,2,20))&lt;100000000,VALUE(MID($D41,2,20)),1000000000),1000000000))+ROW()/100000,"")</f>
        <v/>
      </c>
    </row>
    <row r="42">
      <c r="F42" s="11" t="n"/>
      <c r="P42" s="7">
        <f>IF($D42="","",O42*X42/100)</f>
        <v/>
      </c>
      <c r="Q42" s="7" t="n"/>
      <c r="W42" s="7" t="n"/>
      <c r="X42" s="7" t="n"/>
      <c r="AA42">
        <f>IF($D42="","",IF($AP42=1,0,IF($AO42=1,Settings!$C$6,Settings!$C$7))*100)</f>
        <v/>
      </c>
      <c r="AB42" s="7">
        <f>IF($D42="","",X42*AA42/100)</f>
        <v/>
      </c>
      <c r="AC42" s="7">
        <f>IF($D42="","",X42-AB42)</f>
        <v/>
      </c>
      <c r="AD42" s="7">
        <f>IF($D42="","",AC42-P42)</f>
        <v/>
      </c>
      <c r="AH42" s="7" t="n"/>
      <c r="AK42" s="11" t="n"/>
      <c r="AM42">
        <f>IF($D42="","",IF(COUNTIF($D$2:$D42,$D42)=1,1,0))</f>
        <v/>
      </c>
      <c r="AN42">
        <f>IF($AM42=1,SUMPRODUCT(--($AQ$2:$AQ$1001&lt;$AQ42))+1,"")</f>
        <v/>
      </c>
      <c r="AO42">
        <f>IF($D42="","",IF(OR($T42=TRUE(),$T42="TRUE"),1,0))</f>
        <v/>
      </c>
      <c r="AP42">
        <f>IF($D42="","",IF($Z42="Yes",1,0))</f>
        <v/>
      </c>
      <c r="AQ42">
        <f>IF($AM42=1,IFERROR(IF(VALUE($D42)&lt;100000000,VALUE($D42),1000000000),IFERROR(IF(VALUE(MID($D42,2,20))&lt;100000000,VALUE(MID($D42,2,20)),1000000000),1000000000))+ROW()/100000,"")</f>
        <v/>
      </c>
    </row>
    <row r="43">
      <c r="F43" s="11" t="n"/>
      <c r="P43" s="7">
        <f>IF($D43="","",O43*X43/100)</f>
        <v/>
      </c>
      <c r="Q43" s="7" t="n"/>
      <c r="W43" s="7" t="n"/>
      <c r="X43" s="7" t="n"/>
      <c r="AA43">
        <f>IF($D43="","",IF($AP43=1,0,IF($AO43=1,Settings!$C$6,Settings!$C$7))*100)</f>
        <v/>
      </c>
      <c r="AB43" s="7">
        <f>IF($D43="","",X43*AA43/100)</f>
        <v/>
      </c>
      <c r="AC43" s="7">
        <f>IF($D43="","",X43-AB43)</f>
        <v/>
      </c>
      <c r="AD43" s="7">
        <f>IF($D43="","",AC43-P43)</f>
        <v/>
      </c>
      <c r="AH43" s="7" t="n"/>
      <c r="AK43" s="11" t="n"/>
      <c r="AM43">
        <f>IF($D43="","",IF(COUNTIF($D$2:$D43,$D43)=1,1,0))</f>
        <v/>
      </c>
      <c r="AN43">
        <f>IF($AM43=1,SUMPRODUCT(--($AQ$2:$AQ$1001&lt;$AQ43))+1,"")</f>
        <v/>
      </c>
      <c r="AO43">
        <f>IF($D43="","",IF(OR($T43=TRUE(),$T43="TRUE"),1,0))</f>
        <v/>
      </c>
      <c r="AP43">
        <f>IF($D43="","",IF($Z43="Yes",1,0))</f>
        <v/>
      </c>
      <c r="AQ43">
        <f>IF($AM43=1,IFERROR(IF(VALUE($D43)&lt;100000000,VALUE($D43),1000000000),IFERROR(IF(VALUE(MID($D43,2,20))&lt;100000000,VALUE(MID($D43,2,20)),1000000000),1000000000))+ROW()/100000,"")</f>
        <v/>
      </c>
    </row>
    <row r="44">
      <c r="F44" s="11" t="n"/>
      <c r="P44" s="7">
        <f>IF($D44="","",O44*X44/100)</f>
        <v/>
      </c>
      <c r="Q44" s="7" t="n"/>
      <c r="W44" s="7" t="n"/>
      <c r="X44" s="7" t="n"/>
      <c r="AA44">
        <f>IF($D44="","",IF($AP44=1,0,IF($AO44=1,Settings!$C$6,Settings!$C$7))*100)</f>
        <v/>
      </c>
      <c r="AB44" s="7">
        <f>IF($D44="","",X44*AA44/100)</f>
        <v/>
      </c>
      <c r="AC44" s="7">
        <f>IF($D44="","",X44-AB44)</f>
        <v/>
      </c>
      <c r="AD44" s="7">
        <f>IF($D44="","",AC44-P44)</f>
        <v/>
      </c>
      <c r="AH44" s="7" t="n"/>
      <c r="AK44" s="11" t="n"/>
      <c r="AM44">
        <f>IF($D44="","",IF(COUNTIF($D$2:$D44,$D44)=1,1,0))</f>
        <v/>
      </c>
      <c r="AN44">
        <f>IF($AM44=1,SUMPRODUCT(--($AQ$2:$AQ$1001&lt;$AQ44))+1,"")</f>
        <v/>
      </c>
      <c r="AO44">
        <f>IF($D44="","",IF(OR($T44=TRUE(),$T44="TRUE"),1,0))</f>
        <v/>
      </c>
      <c r="AP44">
        <f>IF($D44="","",IF($Z44="Yes",1,0))</f>
        <v/>
      </c>
      <c r="AQ44">
        <f>IF($AM44=1,IFERROR(IF(VALUE($D44)&lt;100000000,VALUE($D44),1000000000),IFERROR(IF(VALUE(MID($D44,2,20))&lt;100000000,VALUE(MID($D44,2,20)),1000000000),1000000000))+ROW()/100000,"")</f>
        <v/>
      </c>
    </row>
    <row r="45">
      <c r="F45" s="11" t="n"/>
      <c r="P45" s="7">
        <f>IF($D45="","",O45*X45/100)</f>
        <v/>
      </c>
      <c r="Q45" s="7" t="n"/>
      <c r="W45" s="7" t="n"/>
      <c r="X45" s="7" t="n"/>
      <c r="AA45">
        <f>IF($D45="","",IF($AP45=1,0,IF($AO45=1,Settings!$C$6,Settings!$C$7))*100)</f>
        <v/>
      </c>
      <c r="AB45" s="7">
        <f>IF($D45="","",X45*AA45/100)</f>
        <v/>
      </c>
      <c r="AC45" s="7">
        <f>IF($D45="","",X45-AB45)</f>
        <v/>
      </c>
      <c r="AD45" s="7">
        <f>IF($D45="","",AC45-P45)</f>
        <v/>
      </c>
      <c r="AH45" s="7" t="n"/>
      <c r="AK45" s="11" t="n"/>
      <c r="AM45">
        <f>IF($D45="","",IF(COUNTIF($D$2:$D45,$D45)=1,1,0))</f>
        <v/>
      </c>
      <c r="AN45">
        <f>IF($AM45=1,SUMPRODUCT(--($AQ$2:$AQ$1001&lt;$AQ45))+1,"")</f>
        <v/>
      </c>
      <c r="AO45">
        <f>IF($D45="","",IF(OR($T45=TRUE(),$T45="TRUE"),1,0))</f>
        <v/>
      </c>
      <c r="AP45">
        <f>IF($D45="","",IF($Z45="Yes",1,0))</f>
        <v/>
      </c>
      <c r="AQ45">
        <f>IF($AM45=1,IFERROR(IF(VALUE($D45)&lt;100000000,VALUE($D45),1000000000),IFERROR(IF(VALUE(MID($D45,2,20))&lt;100000000,VALUE(MID($D45,2,20)),1000000000),1000000000))+ROW()/100000,"")</f>
        <v/>
      </c>
    </row>
    <row r="46">
      <c r="F46" s="11" t="n"/>
      <c r="P46" s="7">
        <f>IF($D46="","",O46*X46/100)</f>
        <v/>
      </c>
      <c r="Q46" s="7" t="n"/>
      <c r="W46" s="7" t="n"/>
      <c r="X46" s="7" t="n"/>
      <c r="AA46">
        <f>IF($D46="","",IF($AP46=1,0,IF($AO46=1,Settings!$C$6,Settings!$C$7))*100)</f>
        <v/>
      </c>
      <c r="AB46" s="7">
        <f>IF($D46="","",X46*AA46/100)</f>
        <v/>
      </c>
      <c r="AC46" s="7">
        <f>IF($D46="","",X46-AB46)</f>
        <v/>
      </c>
      <c r="AD46" s="7">
        <f>IF($D46="","",AC46-P46)</f>
        <v/>
      </c>
      <c r="AH46" s="7" t="n"/>
      <c r="AK46" s="11" t="n"/>
      <c r="AM46">
        <f>IF($D46="","",IF(COUNTIF($D$2:$D46,$D46)=1,1,0))</f>
        <v/>
      </c>
      <c r="AN46">
        <f>IF($AM46=1,SUMPRODUCT(--($AQ$2:$AQ$1001&lt;$AQ46))+1,"")</f>
        <v/>
      </c>
      <c r="AO46">
        <f>IF($D46="","",IF(OR($T46=TRUE(),$T46="TRUE"),1,0))</f>
        <v/>
      </c>
      <c r="AP46">
        <f>IF($D46="","",IF($Z46="Yes",1,0))</f>
        <v/>
      </c>
      <c r="AQ46">
        <f>IF($AM46=1,IFERROR(IF(VALUE($D46)&lt;100000000,VALUE($D46),1000000000),IFERROR(IF(VALUE(MID($D46,2,20))&lt;100000000,VALUE(MID($D46,2,20)),1000000000),1000000000))+ROW()/100000,"")</f>
        <v/>
      </c>
    </row>
    <row r="47">
      <c r="F47" s="11" t="n"/>
      <c r="P47" s="7">
        <f>IF($D47="","",O47*X47/100)</f>
        <v/>
      </c>
      <c r="Q47" s="7" t="n"/>
      <c r="W47" s="7" t="n"/>
      <c r="X47" s="7" t="n"/>
      <c r="AA47">
        <f>IF($D47="","",IF($AP47=1,0,IF($AO47=1,Settings!$C$6,Settings!$C$7))*100)</f>
        <v/>
      </c>
      <c r="AB47" s="7">
        <f>IF($D47="","",X47*AA47/100)</f>
        <v/>
      </c>
      <c r="AC47" s="7">
        <f>IF($D47="","",X47-AB47)</f>
        <v/>
      </c>
      <c r="AD47" s="7">
        <f>IF($D47="","",AC47-P47)</f>
        <v/>
      </c>
      <c r="AH47" s="7" t="n"/>
      <c r="AK47" s="11" t="n"/>
      <c r="AM47">
        <f>IF($D47="","",IF(COUNTIF($D$2:$D47,$D47)=1,1,0))</f>
        <v/>
      </c>
      <c r="AN47">
        <f>IF($AM47=1,SUMPRODUCT(--($AQ$2:$AQ$1001&lt;$AQ47))+1,"")</f>
        <v/>
      </c>
      <c r="AO47">
        <f>IF($D47="","",IF(OR($T47=TRUE(),$T47="TRUE"),1,0))</f>
        <v/>
      </c>
      <c r="AP47">
        <f>IF($D47="","",IF($Z47="Yes",1,0))</f>
        <v/>
      </c>
      <c r="AQ47">
        <f>IF($AM47=1,IFERROR(IF(VALUE($D47)&lt;100000000,VALUE($D47),1000000000),IFERROR(IF(VALUE(MID($D47,2,20))&lt;100000000,VALUE(MID($D47,2,20)),1000000000),1000000000))+ROW()/100000,"")</f>
        <v/>
      </c>
    </row>
    <row r="48">
      <c r="F48" s="11" t="n"/>
      <c r="P48" s="7">
        <f>IF($D48="","",O48*X48/100)</f>
        <v/>
      </c>
      <c r="Q48" s="7" t="n"/>
      <c r="W48" s="7" t="n"/>
      <c r="X48" s="7" t="n"/>
      <c r="AA48">
        <f>IF($D48="","",IF($AP48=1,0,IF($AO48=1,Settings!$C$6,Settings!$C$7))*100)</f>
        <v/>
      </c>
      <c r="AB48" s="7">
        <f>IF($D48="","",X48*AA48/100)</f>
        <v/>
      </c>
      <c r="AC48" s="7">
        <f>IF($D48="","",X48-AB48)</f>
        <v/>
      </c>
      <c r="AD48" s="7">
        <f>IF($D48="","",AC48-P48)</f>
        <v/>
      </c>
      <c r="AH48" s="7" t="n"/>
      <c r="AK48" s="11" t="n"/>
      <c r="AM48">
        <f>IF($D48="","",IF(COUNTIF($D$2:$D48,$D48)=1,1,0))</f>
        <v/>
      </c>
      <c r="AN48">
        <f>IF($AM48=1,SUMPRODUCT(--($AQ$2:$AQ$1001&lt;$AQ48))+1,"")</f>
        <v/>
      </c>
      <c r="AO48">
        <f>IF($D48="","",IF(OR($T48=TRUE(),$T48="TRUE"),1,0))</f>
        <v/>
      </c>
      <c r="AP48">
        <f>IF($D48="","",IF($Z48="Yes",1,0))</f>
        <v/>
      </c>
      <c r="AQ48">
        <f>IF($AM48=1,IFERROR(IF(VALUE($D48)&lt;100000000,VALUE($D48),1000000000),IFERROR(IF(VALUE(MID($D48,2,20))&lt;100000000,VALUE(MID($D48,2,20)),1000000000),1000000000))+ROW()/100000,"")</f>
        <v/>
      </c>
    </row>
    <row r="49">
      <c r="F49" s="11" t="n"/>
      <c r="P49" s="7">
        <f>IF($D49="","",O49*X49/100)</f>
        <v/>
      </c>
      <c r="Q49" s="7" t="n"/>
      <c r="W49" s="7" t="n"/>
      <c r="X49" s="7" t="n"/>
      <c r="AA49">
        <f>IF($D49="","",IF($AP49=1,0,IF($AO49=1,Settings!$C$6,Settings!$C$7))*100)</f>
        <v/>
      </c>
      <c r="AB49" s="7">
        <f>IF($D49="","",X49*AA49/100)</f>
        <v/>
      </c>
      <c r="AC49" s="7">
        <f>IF($D49="","",X49-AB49)</f>
        <v/>
      </c>
      <c r="AD49" s="7">
        <f>IF($D49="","",AC49-P49)</f>
        <v/>
      </c>
      <c r="AH49" s="7" t="n"/>
      <c r="AK49" s="11" t="n"/>
      <c r="AM49">
        <f>IF($D49="","",IF(COUNTIF($D$2:$D49,$D49)=1,1,0))</f>
        <v/>
      </c>
      <c r="AN49">
        <f>IF($AM49=1,SUMPRODUCT(--($AQ$2:$AQ$1001&lt;$AQ49))+1,"")</f>
        <v/>
      </c>
      <c r="AO49">
        <f>IF($D49="","",IF(OR($T49=TRUE(),$T49="TRUE"),1,0))</f>
        <v/>
      </c>
      <c r="AP49">
        <f>IF($D49="","",IF($Z49="Yes",1,0))</f>
        <v/>
      </c>
      <c r="AQ49">
        <f>IF($AM49=1,IFERROR(IF(VALUE($D49)&lt;100000000,VALUE($D49),1000000000),IFERROR(IF(VALUE(MID($D49,2,20))&lt;100000000,VALUE(MID($D49,2,20)),1000000000),1000000000))+ROW()/100000,"")</f>
        <v/>
      </c>
    </row>
    <row r="50">
      <c r="F50" s="11" t="n"/>
      <c r="P50" s="7">
        <f>IF($D50="","",O50*X50/100)</f>
        <v/>
      </c>
      <c r="Q50" s="7" t="n"/>
      <c r="W50" s="7" t="n"/>
      <c r="X50" s="7" t="n"/>
      <c r="AA50">
        <f>IF($D50="","",IF($AP50=1,0,IF($AO50=1,Settings!$C$6,Settings!$C$7))*100)</f>
        <v/>
      </c>
      <c r="AB50" s="7">
        <f>IF($D50="","",X50*AA50/100)</f>
        <v/>
      </c>
      <c r="AC50" s="7">
        <f>IF($D50="","",X50-AB50)</f>
        <v/>
      </c>
      <c r="AD50" s="7">
        <f>IF($D50="","",AC50-P50)</f>
        <v/>
      </c>
      <c r="AH50" s="7" t="n"/>
      <c r="AK50" s="11" t="n"/>
      <c r="AM50">
        <f>IF($D50="","",IF(COUNTIF($D$2:$D50,$D50)=1,1,0))</f>
        <v/>
      </c>
      <c r="AN50">
        <f>IF($AM50=1,SUMPRODUCT(--($AQ$2:$AQ$1001&lt;$AQ50))+1,"")</f>
        <v/>
      </c>
      <c r="AO50">
        <f>IF($D50="","",IF(OR($T50=TRUE(),$T50="TRUE"),1,0))</f>
        <v/>
      </c>
      <c r="AP50">
        <f>IF($D50="","",IF($Z50="Yes",1,0))</f>
        <v/>
      </c>
      <c r="AQ50">
        <f>IF($AM50=1,IFERROR(IF(VALUE($D50)&lt;100000000,VALUE($D50),1000000000),IFERROR(IF(VALUE(MID($D50,2,20))&lt;100000000,VALUE(MID($D50,2,20)),1000000000),1000000000))+ROW()/100000,"")</f>
        <v/>
      </c>
    </row>
    <row r="51">
      <c r="F51" s="11" t="n"/>
      <c r="P51" s="7">
        <f>IF($D51="","",O51*X51/100)</f>
        <v/>
      </c>
      <c r="Q51" s="7" t="n"/>
      <c r="W51" s="7" t="n"/>
      <c r="X51" s="7" t="n"/>
      <c r="AA51">
        <f>IF($D51="","",IF($AP51=1,0,IF($AO51=1,Settings!$C$6,Settings!$C$7))*100)</f>
        <v/>
      </c>
      <c r="AB51" s="7">
        <f>IF($D51="","",X51*AA51/100)</f>
        <v/>
      </c>
      <c r="AC51" s="7">
        <f>IF($D51="","",X51-AB51)</f>
        <v/>
      </c>
      <c r="AD51" s="7">
        <f>IF($D51="","",AC51-P51)</f>
        <v/>
      </c>
      <c r="AH51" s="7" t="n"/>
      <c r="AK51" s="11" t="n"/>
      <c r="AM51">
        <f>IF($D51="","",IF(COUNTIF($D$2:$D51,$D51)=1,1,0))</f>
        <v/>
      </c>
      <c r="AN51">
        <f>IF($AM51=1,SUMPRODUCT(--($AQ$2:$AQ$1001&lt;$AQ51))+1,"")</f>
        <v/>
      </c>
      <c r="AO51">
        <f>IF($D51="","",IF(OR($T51=TRUE(),$T51="TRUE"),1,0))</f>
        <v/>
      </c>
      <c r="AP51">
        <f>IF($D51="","",IF($Z51="Yes",1,0))</f>
        <v/>
      </c>
      <c r="AQ51">
        <f>IF($AM51=1,IFERROR(IF(VALUE($D51)&lt;100000000,VALUE($D51),1000000000),IFERROR(IF(VALUE(MID($D51,2,20))&lt;100000000,VALUE(MID($D51,2,20)),1000000000),1000000000))+ROW()/100000,"")</f>
        <v/>
      </c>
    </row>
    <row r="52">
      <c r="F52" s="11" t="n"/>
      <c r="P52" s="7">
        <f>IF($D52="","",O52*X52/100)</f>
        <v/>
      </c>
      <c r="Q52" s="7" t="n"/>
      <c r="W52" s="7" t="n"/>
      <c r="X52" s="7" t="n"/>
      <c r="AA52">
        <f>IF($D52="","",IF($AP52=1,0,IF($AO52=1,Settings!$C$6,Settings!$C$7))*100)</f>
        <v/>
      </c>
      <c r="AB52" s="7">
        <f>IF($D52="","",X52*AA52/100)</f>
        <v/>
      </c>
      <c r="AC52" s="7">
        <f>IF($D52="","",X52-AB52)</f>
        <v/>
      </c>
      <c r="AD52" s="7">
        <f>IF($D52="","",AC52-P52)</f>
        <v/>
      </c>
      <c r="AH52" s="7" t="n"/>
      <c r="AK52" s="11" t="n"/>
      <c r="AM52">
        <f>IF($D52="","",IF(COUNTIF($D$2:$D52,$D52)=1,1,0))</f>
        <v/>
      </c>
      <c r="AN52">
        <f>IF($AM52=1,SUMPRODUCT(--($AQ$2:$AQ$1001&lt;$AQ52))+1,"")</f>
        <v/>
      </c>
      <c r="AO52">
        <f>IF($D52="","",IF(OR($T52=TRUE(),$T52="TRUE"),1,0))</f>
        <v/>
      </c>
      <c r="AP52">
        <f>IF($D52="","",IF($Z52="Yes",1,0))</f>
        <v/>
      </c>
      <c r="AQ52">
        <f>IF($AM52=1,IFERROR(IF(VALUE($D52)&lt;100000000,VALUE($D52),1000000000),IFERROR(IF(VALUE(MID($D52,2,20))&lt;100000000,VALUE(MID($D52,2,20)),1000000000),1000000000))+ROW()/100000,"")</f>
        <v/>
      </c>
    </row>
    <row r="53">
      <c r="F53" s="11" t="n"/>
      <c r="P53" s="7">
        <f>IF($D53="","",O53*X53/100)</f>
        <v/>
      </c>
      <c r="Q53" s="7" t="n"/>
      <c r="W53" s="7" t="n"/>
      <c r="X53" s="7" t="n"/>
      <c r="AA53">
        <f>IF($D53="","",IF($AP53=1,0,IF($AO53=1,Settings!$C$6,Settings!$C$7))*100)</f>
        <v/>
      </c>
      <c r="AB53" s="7">
        <f>IF($D53="","",X53*AA53/100)</f>
        <v/>
      </c>
      <c r="AC53" s="7">
        <f>IF($D53="","",X53-AB53)</f>
        <v/>
      </c>
      <c r="AD53" s="7">
        <f>IF($D53="","",AC53-P53)</f>
        <v/>
      </c>
      <c r="AH53" s="7" t="n"/>
      <c r="AK53" s="11" t="n"/>
      <c r="AM53">
        <f>IF($D53="","",IF(COUNTIF($D$2:$D53,$D53)=1,1,0))</f>
        <v/>
      </c>
      <c r="AN53">
        <f>IF($AM53=1,SUMPRODUCT(--($AQ$2:$AQ$1001&lt;$AQ53))+1,"")</f>
        <v/>
      </c>
      <c r="AO53">
        <f>IF($D53="","",IF(OR($T53=TRUE(),$T53="TRUE"),1,0))</f>
        <v/>
      </c>
      <c r="AP53">
        <f>IF($D53="","",IF($Z53="Yes",1,0))</f>
        <v/>
      </c>
      <c r="AQ53">
        <f>IF($AM53=1,IFERROR(IF(VALUE($D53)&lt;100000000,VALUE($D53),1000000000),IFERROR(IF(VALUE(MID($D53,2,20))&lt;100000000,VALUE(MID($D53,2,20)),1000000000),1000000000))+ROW()/100000,"")</f>
        <v/>
      </c>
    </row>
    <row r="54">
      <c r="F54" s="11" t="n"/>
      <c r="P54" s="7">
        <f>IF($D54="","",O54*X54/100)</f>
        <v/>
      </c>
      <c r="Q54" s="7" t="n"/>
      <c r="W54" s="7" t="n"/>
      <c r="X54" s="7" t="n"/>
      <c r="AA54">
        <f>IF($D54="","",IF($AP54=1,0,IF($AO54=1,Settings!$C$6,Settings!$C$7))*100)</f>
        <v/>
      </c>
      <c r="AB54" s="7">
        <f>IF($D54="","",X54*AA54/100)</f>
        <v/>
      </c>
      <c r="AC54" s="7">
        <f>IF($D54="","",X54-AB54)</f>
        <v/>
      </c>
      <c r="AD54" s="7">
        <f>IF($D54="","",AC54-P54)</f>
        <v/>
      </c>
      <c r="AH54" s="7" t="n"/>
      <c r="AK54" s="11" t="n"/>
      <c r="AM54">
        <f>IF($D54="","",IF(COUNTIF($D$2:$D54,$D54)=1,1,0))</f>
        <v/>
      </c>
      <c r="AN54">
        <f>IF($AM54=1,SUMPRODUCT(--($AQ$2:$AQ$1001&lt;$AQ54))+1,"")</f>
        <v/>
      </c>
      <c r="AO54">
        <f>IF($D54="","",IF(OR($T54=TRUE(),$T54="TRUE"),1,0))</f>
        <v/>
      </c>
      <c r="AP54">
        <f>IF($D54="","",IF($Z54="Yes",1,0))</f>
        <v/>
      </c>
      <c r="AQ54">
        <f>IF($AM54=1,IFERROR(IF(VALUE($D54)&lt;100000000,VALUE($D54),1000000000),IFERROR(IF(VALUE(MID($D54,2,20))&lt;100000000,VALUE(MID($D54,2,20)),1000000000),1000000000))+ROW()/100000,"")</f>
        <v/>
      </c>
    </row>
    <row r="55">
      <c r="F55" s="11" t="n"/>
      <c r="P55" s="7">
        <f>IF($D55="","",O55*X55/100)</f>
        <v/>
      </c>
      <c r="Q55" s="7" t="n"/>
      <c r="W55" s="7" t="n"/>
      <c r="X55" s="7" t="n"/>
      <c r="AA55">
        <f>IF($D55="","",IF($AP55=1,0,IF($AO55=1,Settings!$C$6,Settings!$C$7))*100)</f>
        <v/>
      </c>
      <c r="AB55" s="7">
        <f>IF($D55="","",X55*AA55/100)</f>
        <v/>
      </c>
      <c r="AC55" s="7">
        <f>IF($D55="","",X55-AB55)</f>
        <v/>
      </c>
      <c r="AD55" s="7">
        <f>IF($D55="","",AC55-P55)</f>
        <v/>
      </c>
      <c r="AH55" s="7" t="n"/>
      <c r="AK55" s="11" t="n"/>
      <c r="AM55">
        <f>IF($D55="","",IF(COUNTIF($D$2:$D55,$D55)=1,1,0))</f>
        <v/>
      </c>
      <c r="AN55">
        <f>IF($AM55=1,SUMPRODUCT(--($AQ$2:$AQ$1001&lt;$AQ55))+1,"")</f>
        <v/>
      </c>
      <c r="AO55">
        <f>IF($D55="","",IF(OR($T55=TRUE(),$T55="TRUE"),1,0))</f>
        <v/>
      </c>
      <c r="AP55">
        <f>IF($D55="","",IF($Z55="Yes",1,0))</f>
        <v/>
      </c>
      <c r="AQ55">
        <f>IF($AM55=1,IFERROR(IF(VALUE($D55)&lt;100000000,VALUE($D55),1000000000),IFERROR(IF(VALUE(MID($D55,2,20))&lt;100000000,VALUE(MID($D55,2,20)),1000000000),1000000000))+ROW()/100000,"")</f>
        <v/>
      </c>
    </row>
    <row r="56">
      <c r="F56" s="11" t="n"/>
      <c r="P56" s="7">
        <f>IF($D56="","",O56*X56/100)</f>
        <v/>
      </c>
      <c r="Q56" s="7" t="n"/>
      <c r="W56" s="7" t="n"/>
      <c r="X56" s="7" t="n"/>
      <c r="AA56">
        <f>IF($D56="","",IF($AP56=1,0,IF($AO56=1,Settings!$C$6,Settings!$C$7))*100)</f>
        <v/>
      </c>
      <c r="AB56" s="7">
        <f>IF($D56="","",X56*AA56/100)</f>
        <v/>
      </c>
      <c r="AC56" s="7">
        <f>IF($D56="","",X56-AB56)</f>
        <v/>
      </c>
      <c r="AD56" s="7">
        <f>IF($D56="","",AC56-P56)</f>
        <v/>
      </c>
      <c r="AH56" s="7" t="n"/>
      <c r="AK56" s="11" t="n"/>
      <c r="AM56">
        <f>IF($D56="","",IF(COUNTIF($D$2:$D56,$D56)=1,1,0))</f>
        <v/>
      </c>
      <c r="AN56">
        <f>IF($AM56=1,SUMPRODUCT(--($AQ$2:$AQ$1001&lt;$AQ56))+1,"")</f>
        <v/>
      </c>
      <c r="AO56">
        <f>IF($D56="","",IF(OR($T56=TRUE(),$T56="TRUE"),1,0))</f>
        <v/>
      </c>
      <c r="AP56">
        <f>IF($D56="","",IF($Z56="Yes",1,0))</f>
        <v/>
      </c>
      <c r="AQ56">
        <f>IF($AM56=1,IFERROR(IF(VALUE($D56)&lt;100000000,VALUE($D56),1000000000),IFERROR(IF(VALUE(MID($D56,2,20))&lt;100000000,VALUE(MID($D56,2,20)),1000000000),1000000000))+ROW()/100000,"")</f>
        <v/>
      </c>
    </row>
    <row r="57">
      <c r="F57" s="11" t="n"/>
      <c r="P57" s="7">
        <f>IF($D57="","",O57*X57/100)</f>
        <v/>
      </c>
      <c r="Q57" s="7" t="n"/>
      <c r="W57" s="7" t="n"/>
      <c r="X57" s="7" t="n"/>
      <c r="AA57">
        <f>IF($D57="","",IF($AP57=1,0,IF($AO57=1,Settings!$C$6,Settings!$C$7))*100)</f>
        <v/>
      </c>
      <c r="AB57" s="7">
        <f>IF($D57="","",X57*AA57/100)</f>
        <v/>
      </c>
      <c r="AC57" s="7">
        <f>IF($D57="","",X57-AB57)</f>
        <v/>
      </c>
      <c r="AD57" s="7">
        <f>IF($D57="","",AC57-P57)</f>
        <v/>
      </c>
      <c r="AH57" s="7" t="n"/>
      <c r="AK57" s="11" t="n"/>
      <c r="AM57">
        <f>IF($D57="","",IF(COUNTIF($D$2:$D57,$D57)=1,1,0))</f>
        <v/>
      </c>
      <c r="AN57">
        <f>IF($AM57=1,SUMPRODUCT(--($AQ$2:$AQ$1001&lt;$AQ57))+1,"")</f>
        <v/>
      </c>
      <c r="AO57">
        <f>IF($D57="","",IF(OR($T57=TRUE(),$T57="TRUE"),1,0))</f>
        <v/>
      </c>
      <c r="AP57">
        <f>IF($D57="","",IF($Z57="Yes",1,0))</f>
        <v/>
      </c>
      <c r="AQ57">
        <f>IF($AM57=1,IFERROR(IF(VALUE($D57)&lt;100000000,VALUE($D57),1000000000),IFERROR(IF(VALUE(MID($D57,2,20))&lt;100000000,VALUE(MID($D57,2,20)),1000000000),1000000000))+ROW()/100000,"")</f>
        <v/>
      </c>
    </row>
    <row r="58">
      <c r="F58" s="11" t="n"/>
      <c r="P58" s="7">
        <f>IF($D58="","",O58*X58/100)</f>
        <v/>
      </c>
      <c r="Q58" s="7" t="n"/>
      <c r="W58" s="7" t="n"/>
      <c r="X58" s="7" t="n"/>
      <c r="AA58">
        <f>IF($D58="","",IF($AP58=1,0,IF($AO58=1,Settings!$C$6,Settings!$C$7))*100)</f>
        <v/>
      </c>
      <c r="AB58" s="7">
        <f>IF($D58="","",X58*AA58/100)</f>
        <v/>
      </c>
      <c r="AC58" s="7">
        <f>IF($D58="","",X58-AB58)</f>
        <v/>
      </c>
      <c r="AD58" s="7">
        <f>IF($D58="","",AC58-P58)</f>
        <v/>
      </c>
      <c r="AH58" s="7" t="n"/>
      <c r="AK58" s="11" t="n"/>
      <c r="AM58">
        <f>IF($D58="","",IF(COUNTIF($D$2:$D58,$D58)=1,1,0))</f>
        <v/>
      </c>
      <c r="AN58">
        <f>IF($AM58=1,SUMPRODUCT(--($AQ$2:$AQ$1001&lt;$AQ58))+1,"")</f>
        <v/>
      </c>
      <c r="AO58">
        <f>IF($D58="","",IF(OR($T58=TRUE(),$T58="TRUE"),1,0))</f>
        <v/>
      </c>
      <c r="AP58">
        <f>IF($D58="","",IF($Z58="Yes",1,0))</f>
        <v/>
      </c>
      <c r="AQ58">
        <f>IF($AM58=1,IFERROR(IF(VALUE($D58)&lt;100000000,VALUE($D58),1000000000),IFERROR(IF(VALUE(MID($D58,2,20))&lt;100000000,VALUE(MID($D58,2,20)),1000000000),1000000000))+ROW()/100000,"")</f>
        <v/>
      </c>
    </row>
    <row r="59">
      <c r="F59" s="11" t="n"/>
      <c r="P59" s="7">
        <f>IF($D59="","",O59*X59/100)</f>
        <v/>
      </c>
      <c r="Q59" s="7" t="n"/>
      <c r="W59" s="7" t="n"/>
      <c r="X59" s="7" t="n"/>
      <c r="AA59">
        <f>IF($D59="","",IF($AP59=1,0,IF($AO59=1,Settings!$C$6,Settings!$C$7))*100)</f>
        <v/>
      </c>
      <c r="AB59" s="7">
        <f>IF($D59="","",X59*AA59/100)</f>
        <v/>
      </c>
      <c r="AC59" s="7">
        <f>IF($D59="","",X59-AB59)</f>
        <v/>
      </c>
      <c r="AD59" s="7">
        <f>IF($D59="","",AC59-P59)</f>
        <v/>
      </c>
      <c r="AH59" s="7" t="n"/>
      <c r="AK59" s="11" t="n"/>
      <c r="AM59">
        <f>IF($D59="","",IF(COUNTIF($D$2:$D59,$D59)=1,1,0))</f>
        <v/>
      </c>
      <c r="AN59">
        <f>IF($AM59=1,SUMPRODUCT(--($AQ$2:$AQ$1001&lt;$AQ59))+1,"")</f>
        <v/>
      </c>
      <c r="AO59">
        <f>IF($D59="","",IF(OR($T59=TRUE(),$T59="TRUE"),1,0))</f>
        <v/>
      </c>
      <c r="AP59">
        <f>IF($D59="","",IF($Z59="Yes",1,0))</f>
        <v/>
      </c>
      <c r="AQ59">
        <f>IF($AM59=1,IFERROR(IF(VALUE($D59)&lt;100000000,VALUE($D59),1000000000),IFERROR(IF(VALUE(MID($D59,2,20))&lt;100000000,VALUE(MID($D59,2,20)),1000000000),1000000000))+ROW()/100000,"")</f>
        <v/>
      </c>
    </row>
    <row r="60">
      <c r="F60" s="11" t="n"/>
      <c r="P60" s="7">
        <f>IF($D60="","",O60*X60/100)</f>
        <v/>
      </c>
      <c r="Q60" s="7" t="n"/>
      <c r="W60" s="7" t="n"/>
      <c r="X60" s="7" t="n"/>
      <c r="AA60">
        <f>IF($D60="","",IF($AP60=1,0,IF($AO60=1,Settings!$C$6,Settings!$C$7))*100)</f>
        <v/>
      </c>
      <c r="AB60" s="7">
        <f>IF($D60="","",X60*AA60/100)</f>
        <v/>
      </c>
      <c r="AC60" s="7">
        <f>IF($D60="","",X60-AB60)</f>
        <v/>
      </c>
      <c r="AD60" s="7">
        <f>IF($D60="","",AC60-P60)</f>
        <v/>
      </c>
      <c r="AH60" s="7" t="n"/>
      <c r="AK60" s="11" t="n"/>
      <c r="AM60">
        <f>IF($D60="","",IF(COUNTIF($D$2:$D60,$D60)=1,1,0))</f>
        <v/>
      </c>
      <c r="AN60">
        <f>IF($AM60=1,SUMPRODUCT(--($AQ$2:$AQ$1001&lt;$AQ60))+1,"")</f>
        <v/>
      </c>
      <c r="AO60">
        <f>IF($D60="","",IF(OR($T60=TRUE(),$T60="TRUE"),1,0))</f>
        <v/>
      </c>
      <c r="AP60">
        <f>IF($D60="","",IF($Z60="Yes",1,0))</f>
        <v/>
      </c>
      <c r="AQ60">
        <f>IF($AM60=1,IFERROR(IF(VALUE($D60)&lt;100000000,VALUE($D60),1000000000),IFERROR(IF(VALUE(MID($D60,2,20))&lt;100000000,VALUE(MID($D60,2,20)),1000000000),1000000000))+ROW()/100000,"")</f>
        <v/>
      </c>
    </row>
    <row r="61">
      <c r="F61" s="11" t="n"/>
      <c r="P61" s="7">
        <f>IF($D61="","",O61*X61/100)</f>
        <v/>
      </c>
      <c r="Q61" s="7" t="n"/>
      <c r="W61" s="7" t="n"/>
      <c r="X61" s="7" t="n"/>
      <c r="AA61">
        <f>IF($D61="","",IF($AP61=1,0,IF($AO61=1,Settings!$C$6,Settings!$C$7))*100)</f>
        <v/>
      </c>
      <c r="AB61" s="7">
        <f>IF($D61="","",X61*AA61/100)</f>
        <v/>
      </c>
      <c r="AC61" s="7">
        <f>IF($D61="","",X61-AB61)</f>
        <v/>
      </c>
      <c r="AD61" s="7">
        <f>IF($D61="","",AC61-P61)</f>
        <v/>
      </c>
      <c r="AH61" s="7" t="n"/>
      <c r="AK61" s="11" t="n"/>
      <c r="AM61">
        <f>IF($D61="","",IF(COUNTIF($D$2:$D61,$D61)=1,1,0))</f>
        <v/>
      </c>
      <c r="AN61">
        <f>IF($AM61=1,SUMPRODUCT(--($AQ$2:$AQ$1001&lt;$AQ61))+1,"")</f>
        <v/>
      </c>
      <c r="AO61">
        <f>IF($D61="","",IF(OR($T61=TRUE(),$T61="TRUE"),1,0))</f>
        <v/>
      </c>
      <c r="AP61">
        <f>IF($D61="","",IF($Z61="Yes",1,0))</f>
        <v/>
      </c>
      <c r="AQ61">
        <f>IF($AM61=1,IFERROR(IF(VALUE($D61)&lt;100000000,VALUE($D61),1000000000),IFERROR(IF(VALUE(MID($D61,2,20))&lt;100000000,VALUE(MID($D61,2,20)),1000000000),1000000000))+ROW()/100000,"")</f>
        <v/>
      </c>
    </row>
    <row r="62">
      <c r="F62" s="11" t="n"/>
      <c r="P62" s="7">
        <f>IF($D62="","",O62*X62/100)</f>
        <v/>
      </c>
      <c r="Q62" s="7" t="n"/>
      <c r="W62" s="7" t="n"/>
      <c r="X62" s="7" t="n"/>
      <c r="AA62">
        <f>IF($D62="","",IF($AP62=1,0,IF($AO62=1,Settings!$C$6,Settings!$C$7))*100)</f>
        <v/>
      </c>
      <c r="AB62" s="7">
        <f>IF($D62="","",X62*AA62/100)</f>
        <v/>
      </c>
      <c r="AC62" s="7">
        <f>IF($D62="","",X62-AB62)</f>
        <v/>
      </c>
      <c r="AD62" s="7">
        <f>IF($D62="","",AC62-P62)</f>
        <v/>
      </c>
      <c r="AH62" s="7" t="n"/>
      <c r="AK62" s="11" t="n"/>
      <c r="AM62">
        <f>IF($D62="","",IF(COUNTIF($D$2:$D62,$D62)=1,1,0))</f>
        <v/>
      </c>
      <c r="AN62">
        <f>IF($AM62=1,SUMPRODUCT(--($AQ$2:$AQ$1001&lt;$AQ62))+1,"")</f>
        <v/>
      </c>
      <c r="AO62">
        <f>IF($D62="","",IF(OR($T62=TRUE(),$T62="TRUE"),1,0))</f>
        <v/>
      </c>
      <c r="AP62">
        <f>IF($D62="","",IF($Z62="Yes",1,0))</f>
        <v/>
      </c>
      <c r="AQ62">
        <f>IF($AM62=1,IFERROR(IF(VALUE($D62)&lt;100000000,VALUE($D62),1000000000),IFERROR(IF(VALUE(MID($D62,2,20))&lt;100000000,VALUE(MID($D62,2,20)),1000000000),1000000000))+ROW()/100000,"")</f>
        <v/>
      </c>
    </row>
    <row r="63">
      <c r="F63" s="11" t="n"/>
      <c r="P63" s="7">
        <f>IF($D63="","",O63*X63/100)</f>
        <v/>
      </c>
      <c r="Q63" s="7" t="n"/>
      <c r="W63" s="7" t="n"/>
      <c r="X63" s="7" t="n"/>
      <c r="AA63">
        <f>IF($D63="","",IF($AP63=1,0,IF($AO63=1,Settings!$C$6,Settings!$C$7))*100)</f>
        <v/>
      </c>
      <c r="AB63" s="7">
        <f>IF($D63="","",X63*AA63/100)</f>
        <v/>
      </c>
      <c r="AC63" s="7">
        <f>IF($D63="","",X63-AB63)</f>
        <v/>
      </c>
      <c r="AD63" s="7">
        <f>IF($D63="","",AC63-P63)</f>
        <v/>
      </c>
      <c r="AH63" s="7" t="n"/>
      <c r="AK63" s="11" t="n"/>
      <c r="AM63">
        <f>IF($D63="","",IF(COUNTIF($D$2:$D63,$D63)=1,1,0))</f>
        <v/>
      </c>
      <c r="AN63">
        <f>IF($AM63=1,SUMPRODUCT(--($AQ$2:$AQ$1001&lt;$AQ63))+1,"")</f>
        <v/>
      </c>
      <c r="AO63">
        <f>IF($D63="","",IF(OR($T63=TRUE(),$T63="TRUE"),1,0))</f>
        <v/>
      </c>
      <c r="AP63">
        <f>IF($D63="","",IF($Z63="Yes",1,0))</f>
        <v/>
      </c>
      <c r="AQ63">
        <f>IF($AM63=1,IFERROR(IF(VALUE($D63)&lt;100000000,VALUE($D63),1000000000),IFERROR(IF(VALUE(MID($D63,2,20))&lt;100000000,VALUE(MID($D63,2,20)),1000000000),1000000000))+ROW()/100000,"")</f>
        <v/>
      </c>
    </row>
    <row r="64">
      <c r="F64" s="11" t="n"/>
      <c r="P64" s="7">
        <f>IF($D64="","",O64*X64/100)</f>
        <v/>
      </c>
      <c r="Q64" s="7" t="n"/>
      <c r="W64" s="7" t="n"/>
      <c r="X64" s="7" t="n"/>
      <c r="AA64">
        <f>IF($D64="","",IF($AP64=1,0,IF($AO64=1,Settings!$C$6,Settings!$C$7))*100)</f>
        <v/>
      </c>
      <c r="AB64" s="7">
        <f>IF($D64="","",X64*AA64/100)</f>
        <v/>
      </c>
      <c r="AC64" s="7">
        <f>IF($D64="","",X64-AB64)</f>
        <v/>
      </c>
      <c r="AD64" s="7">
        <f>IF($D64="","",AC64-P64)</f>
        <v/>
      </c>
      <c r="AH64" s="7" t="n"/>
      <c r="AK64" s="11" t="n"/>
      <c r="AM64">
        <f>IF($D64="","",IF(COUNTIF($D$2:$D64,$D64)=1,1,0))</f>
        <v/>
      </c>
      <c r="AN64">
        <f>IF($AM64=1,SUMPRODUCT(--($AQ$2:$AQ$1001&lt;$AQ64))+1,"")</f>
        <v/>
      </c>
      <c r="AO64">
        <f>IF($D64="","",IF(OR($T64=TRUE(),$T64="TRUE"),1,0))</f>
        <v/>
      </c>
      <c r="AP64">
        <f>IF($D64="","",IF($Z64="Yes",1,0))</f>
        <v/>
      </c>
      <c r="AQ64">
        <f>IF($AM64=1,IFERROR(IF(VALUE($D64)&lt;100000000,VALUE($D64),1000000000),IFERROR(IF(VALUE(MID($D64,2,20))&lt;100000000,VALUE(MID($D64,2,20)),1000000000),1000000000))+ROW()/100000,"")</f>
        <v/>
      </c>
    </row>
    <row r="65">
      <c r="F65" s="11" t="n"/>
      <c r="P65" s="7">
        <f>IF($D65="","",O65*X65/100)</f>
        <v/>
      </c>
      <c r="Q65" s="7" t="n"/>
      <c r="W65" s="7" t="n"/>
      <c r="X65" s="7" t="n"/>
      <c r="AA65">
        <f>IF($D65="","",IF($AP65=1,0,IF($AO65=1,Settings!$C$6,Settings!$C$7))*100)</f>
        <v/>
      </c>
      <c r="AB65" s="7">
        <f>IF($D65="","",X65*AA65/100)</f>
        <v/>
      </c>
      <c r="AC65" s="7">
        <f>IF($D65="","",X65-AB65)</f>
        <v/>
      </c>
      <c r="AD65" s="7">
        <f>IF($D65="","",AC65-P65)</f>
        <v/>
      </c>
      <c r="AH65" s="7" t="n"/>
      <c r="AK65" s="11" t="n"/>
      <c r="AM65">
        <f>IF($D65="","",IF(COUNTIF($D$2:$D65,$D65)=1,1,0))</f>
        <v/>
      </c>
      <c r="AN65">
        <f>IF($AM65=1,SUMPRODUCT(--($AQ$2:$AQ$1001&lt;$AQ65))+1,"")</f>
        <v/>
      </c>
      <c r="AO65">
        <f>IF($D65="","",IF(OR($T65=TRUE(),$T65="TRUE"),1,0))</f>
        <v/>
      </c>
      <c r="AP65">
        <f>IF($D65="","",IF($Z65="Yes",1,0))</f>
        <v/>
      </c>
      <c r="AQ65">
        <f>IF($AM65=1,IFERROR(IF(VALUE($D65)&lt;100000000,VALUE($D65),1000000000),IFERROR(IF(VALUE(MID($D65,2,20))&lt;100000000,VALUE(MID($D65,2,20)),1000000000),1000000000))+ROW()/100000,"")</f>
        <v/>
      </c>
    </row>
    <row r="66">
      <c r="F66" s="11" t="n"/>
      <c r="P66" s="7">
        <f>IF($D66="","",O66*X66/100)</f>
        <v/>
      </c>
      <c r="Q66" s="7" t="n"/>
      <c r="W66" s="7" t="n"/>
      <c r="X66" s="7" t="n"/>
      <c r="AA66">
        <f>IF($D66="","",IF($AP66=1,0,IF($AO66=1,Settings!$C$6,Settings!$C$7))*100)</f>
        <v/>
      </c>
      <c r="AB66" s="7">
        <f>IF($D66="","",X66*AA66/100)</f>
        <v/>
      </c>
      <c r="AC66" s="7">
        <f>IF($D66="","",X66-AB66)</f>
        <v/>
      </c>
      <c r="AD66" s="7">
        <f>IF($D66="","",AC66-P66)</f>
        <v/>
      </c>
      <c r="AH66" s="7" t="n"/>
      <c r="AK66" s="11" t="n"/>
      <c r="AM66">
        <f>IF($D66="","",IF(COUNTIF($D$2:$D66,$D66)=1,1,0))</f>
        <v/>
      </c>
      <c r="AN66">
        <f>IF($AM66=1,SUMPRODUCT(--($AQ$2:$AQ$1001&lt;$AQ66))+1,"")</f>
        <v/>
      </c>
      <c r="AO66">
        <f>IF($D66="","",IF(OR($T66=TRUE(),$T66="TRUE"),1,0))</f>
        <v/>
      </c>
      <c r="AP66">
        <f>IF($D66="","",IF($Z66="Yes",1,0))</f>
        <v/>
      </c>
      <c r="AQ66">
        <f>IF($AM66=1,IFERROR(IF(VALUE($D66)&lt;100000000,VALUE($D66),1000000000),IFERROR(IF(VALUE(MID($D66,2,20))&lt;100000000,VALUE(MID($D66,2,20)),1000000000),1000000000))+ROW()/100000,"")</f>
        <v/>
      </c>
    </row>
    <row r="67">
      <c r="F67" s="11" t="n"/>
      <c r="P67" s="7">
        <f>IF($D67="","",O67*X67/100)</f>
        <v/>
      </c>
      <c r="Q67" s="7" t="n"/>
      <c r="W67" s="7" t="n"/>
      <c r="X67" s="7" t="n"/>
      <c r="AA67">
        <f>IF($D67="","",IF($AP67=1,0,IF($AO67=1,Settings!$C$6,Settings!$C$7))*100)</f>
        <v/>
      </c>
      <c r="AB67" s="7">
        <f>IF($D67="","",X67*AA67/100)</f>
        <v/>
      </c>
      <c r="AC67" s="7">
        <f>IF($D67="","",X67-AB67)</f>
        <v/>
      </c>
      <c r="AD67" s="7">
        <f>IF($D67="","",AC67-P67)</f>
        <v/>
      </c>
      <c r="AH67" s="7" t="n"/>
      <c r="AK67" s="11" t="n"/>
      <c r="AM67">
        <f>IF($D67="","",IF(COUNTIF($D$2:$D67,$D67)=1,1,0))</f>
        <v/>
      </c>
      <c r="AN67">
        <f>IF($AM67=1,SUMPRODUCT(--($AQ$2:$AQ$1001&lt;$AQ67))+1,"")</f>
        <v/>
      </c>
      <c r="AO67">
        <f>IF($D67="","",IF(OR($T67=TRUE(),$T67="TRUE"),1,0))</f>
        <v/>
      </c>
      <c r="AP67">
        <f>IF($D67="","",IF($Z67="Yes",1,0))</f>
        <v/>
      </c>
      <c r="AQ67">
        <f>IF($AM67=1,IFERROR(IF(VALUE($D67)&lt;100000000,VALUE($D67),1000000000),IFERROR(IF(VALUE(MID($D67,2,20))&lt;100000000,VALUE(MID($D67,2,20)),1000000000),1000000000))+ROW()/100000,"")</f>
        <v/>
      </c>
    </row>
    <row r="68">
      <c r="F68" s="11" t="n"/>
      <c r="P68" s="7">
        <f>IF($D68="","",O68*X68/100)</f>
        <v/>
      </c>
      <c r="Q68" s="7" t="n"/>
      <c r="W68" s="7" t="n"/>
      <c r="X68" s="7" t="n"/>
      <c r="AA68">
        <f>IF($D68="","",IF($AP68=1,0,IF($AO68=1,Settings!$C$6,Settings!$C$7))*100)</f>
        <v/>
      </c>
      <c r="AB68" s="7">
        <f>IF($D68="","",X68*AA68/100)</f>
        <v/>
      </c>
      <c r="AC68" s="7">
        <f>IF($D68="","",X68-AB68)</f>
        <v/>
      </c>
      <c r="AD68" s="7">
        <f>IF($D68="","",AC68-P68)</f>
        <v/>
      </c>
      <c r="AH68" s="7" t="n"/>
      <c r="AK68" s="11" t="n"/>
      <c r="AM68">
        <f>IF($D68="","",IF(COUNTIF($D$2:$D68,$D68)=1,1,0))</f>
        <v/>
      </c>
      <c r="AN68">
        <f>IF($AM68=1,SUMPRODUCT(--($AQ$2:$AQ$1001&lt;$AQ68))+1,"")</f>
        <v/>
      </c>
      <c r="AO68">
        <f>IF($D68="","",IF(OR($T68=TRUE(),$T68="TRUE"),1,0))</f>
        <v/>
      </c>
      <c r="AP68">
        <f>IF($D68="","",IF($Z68="Yes",1,0))</f>
        <v/>
      </c>
      <c r="AQ68">
        <f>IF($AM68=1,IFERROR(IF(VALUE($D68)&lt;100000000,VALUE($D68),1000000000),IFERROR(IF(VALUE(MID($D68,2,20))&lt;100000000,VALUE(MID($D68,2,20)),1000000000),1000000000))+ROW()/100000,"")</f>
        <v/>
      </c>
    </row>
    <row r="69">
      <c r="F69" s="11" t="n"/>
      <c r="P69" s="7">
        <f>IF($D69="","",O69*X69/100)</f>
        <v/>
      </c>
      <c r="Q69" s="7" t="n"/>
      <c r="W69" s="7" t="n"/>
      <c r="X69" s="7" t="n"/>
      <c r="AA69">
        <f>IF($D69="","",IF($AP69=1,0,IF($AO69=1,Settings!$C$6,Settings!$C$7))*100)</f>
        <v/>
      </c>
      <c r="AB69" s="7">
        <f>IF($D69="","",X69*AA69/100)</f>
        <v/>
      </c>
      <c r="AC69" s="7">
        <f>IF($D69="","",X69-AB69)</f>
        <v/>
      </c>
      <c r="AD69" s="7">
        <f>IF($D69="","",AC69-P69)</f>
        <v/>
      </c>
      <c r="AH69" s="7" t="n"/>
      <c r="AK69" s="11" t="n"/>
      <c r="AM69">
        <f>IF($D69="","",IF(COUNTIF($D$2:$D69,$D69)=1,1,0))</f>
        <v/>
      </c>
      <c r="AN69">
        <f>IF($AM69=1,SUMPRODUCT(--($AQ$2:$AQ$1001&lt;$AQ69))+1,"")</f>
        <v/>
      </c>
      <c r="AO69">
        <f>IF($D69="","",IF(OR($T69=TRUE(),$T69="TRUE"),1,0))</f>
        <v/>
      </c>
      <c r="AP69">
        <f>IF($D69="","",IF($Z69="Yes",1,0))</f>
        <v/>
      </c>
      <c r="AQ69">
        <f>IF($AM69=1,IFERROR(IF(VALUE($D69)&lt;100000000,VALUE($D69),1000000000),IFERROR(IF(VALUE(MID($D69,2,20))&lt;100000000,VALUE(MID($D69,2,20)),1000000000),1000000000))+ROW()/100000,"")</f>
        <v/>
      </c>
    </row>
    <row r="70">
      <c r="F70" s="11" t="n"/>
      <c r="P70" s="7">
        <f>IF($D70="","",O70*X70/100)</f>
        <v/>
      </c>
      <c r="Q70" s="7" t="n"/>
      <c r="W70" s="7" t="n"/>
      <c r="X70" s="7" t="n"/>
      <c r="AA70">
        <f>IF($D70="","",IF($AP70=1,0,IF($AO70=1,Settings!$C$6,Settings!$C$7))*100)</f>
        <v/>
      </c>
      <c r="AB70" s="7">
        <f>IF($D70="","",X70*AA70/100)</f>
        <v/>
      </c>
      <c r="AC70" s="7">
        <f>IF($D70="","",X70-AB70)</f>
        <v/>
      </c>
      <c r="AD70" s="7">
        <f>IF($D70="","",AC70-P70)</f>
        <v/>
      </c>
      <c r="AH70" s="7" t="n"/>
      <c r="AK70" s="11" t="n"/>
      <c r="AM70">
        <f>IF($D70="","",IF(COUNTIF($D$2:$D70,$D70)=1,1,0))</f>
        <v/>
      </c>
      <c r="AN70">
        <f>IF($AM70=1,SUMPRODUCT(--($AQ$2:$AQ$1001&lt;$AQ70))+1,"")</f>
        <v/>
      </c>
      <c r="AO70">
        <f>IF($D70="","",IF(OR($T70=TRUE(),$T70="TRUE"),1,0))</f>
        <v/>
      </c>
      <c r="AP70">
        <f>IF($D70="","",IF($Z70="Yes",1,0))</f>
        <v/>
      </c>
      <c r="AQ70">
        <f>IF($AM70=1,IFERROR(IF(VALUE($D70)&lt;100000000,VALUE($D70),1000000000),IFERROR(IF(VALUE(MID($D70,2,20))&lt;100000000,VALUE(MID($D70,2,20)),1000000000),1000000000))+ROW()/100000,"")</f>
        <v/>
      </c>
    </row>
    <row r="71">
      <c r="F71" s="11" t="n"/>
      <c r="P71" s="7">
        <f>IF($D71="","",O71*X71/100)</f>
        <v/>
      </c>
      <c r="Q71" s="7" t="n"/>
      <c r="W71" s="7" t="n"/>
      <c r="X71" s="7" t="n"/>
      <c r="AA71">
        <f>IF($D71="","",IF($AP71=1,0,IF($AO71=1,Settings!$C$6,Settings!$C$7))*100)</f>
        <v/>
      </c>
      <c r="AB71" s="7">
        <f>IF($D71="","",X71*AA71/100)</f>
        <v/>
      </c>
      <c r="AC71" s="7">
        <f>IF($D71="","",X71-AB71)</f>
        <v/>
      </c>
      <c r="AD71" s="7">
        <f>IF($D71="","",AC71-P71)</f>
        <v/>
      </c>
      <c r="AH71" s="7" t="n"/>
      <c r="AK71" s="11" t="n"/>
      <c r="AM71">
        <f>IF($D71="","",IF(COUNTIF($D$2:$D71,$D71)=1,1,0))</f>
        <v/>
      </c>
      <c r="AN71">
        <f>IF($AM71=1,SUMPRODUCT(--($AQ$2:$AQ$1001&lt;$AQ71))+1,"")</f>
        <v/>
      </c>
      <c r="AO71">
        <f>IF($D71="","",IF(OR($T71=TRUE(),$T71="TRUE"),1,0))</f>
        <v/>
      </c>
      <c r="AP71">
        <f>IF($D71="","",IF($Z71="Yes",1,0))</f>
        <v/>
      </c>
      <c r="AQ71">
        <f>IF($AM71=1,IFERROR(IF(VALUE($D71)&lt;100000000,VALUE($D71),1000000000),IFERROR(IF(VALUE(MID($D71,2,20))&lt;100000000,VALUE(MID($D71,2,20)),1000000000),1000000000))+ROW()/100000,"")</f>
        <v/>
      </c>
    </row>
    <row r="72">
      <c r="F72" s="11" t="n"/>
      <c r="P72" s="7">
        <f>IF($D72="","",O72*X72/100)</f>
        <v/>
      </c>
      <c r="Q72" s="7" t="n"/>
      <c r="W72" s="7" t="n"/>
      <c r="X72" s="7" t="n"/>
      <c r="AA72">
        <f>IF($D72="","",IF($AP72=1,0,IF($AO72=1,Settings!$C$6,Settings!$C$7))*100)</f>
        <v/>
      </c>
      <c r="AB72" s="7">
        <f>IF($D72="","",X72*AA72/100)</f>
        <v/>
      </c>
      <c r="AC72" s="7">
        <f>IF($D72="","",X72-AB72)</f>
        <v/>
      </c>
      <c r="AD72" s="7">
        <f>IF($D72="","",AC72-P72)</f>
        <v/>
      </c>
      <c r="AH72" s="7" t="n"/>
      <c r="AK72" s="11" t="n"/>
      <c r="AM72">
        <f>IF($D72="","",IF(COUNTIF($D$2:$D72,$D72)=1,1,0))</f>
        <v/>
      </c>
      <c r="AN72">
        <f>IF($AM72=1,SUMPRODUCT(--($AQ$2:$AQ$1001&lt;$AQ72))+1,"")</f>
        <v/>
      </c>
      <c r="AO72">
        <f>IF($D72="","",IF(OR($T72=TRUE(),$T72="TRUE"),1,0))</f>
        <v/>
      </c>
      <c r="AP72">
        <f>IF($D72="","",IF($Z72="Yes",1,0))</f>
        <v/>
      </c>
      <c r="AQ72">
        <f>IF($AM72=1,IFERROR(IF(VALUE($D72)&lt;100000000,VALUE($D72),1000000000),IFERROR(IF(VALUE(MID($D72,2,20))&lt;100000000,VALUE(MID($D72,2,20)),1000000000),1000000000))+ROW()/100000,"")</f>
        <v/>
      </c>
    </row>
    <row r="73">
      <c r="F73" s="11" t="n"/>
      <c r="P73" s="7">
        <f>IF($D73="","",O73*X73/100)</f>
        <v/>
      </c>
      <c r="Q73" s="7" t="n"/>
      <c r="W73" s="7" t="n"/>
      <c r="X73" s="7" t="n"/>
      <c r="AA73">
        <f>IF($D73="","",IF($AP73=1,0,IF($AO73=1,Settings!$C$6,Settings!$C$7))*100)</f>
        <v/>
      </c>
      <c r="AB73" s="7">
        <f>IF($D73="","",X73*AA73/100)</f>
        <v/>
      </c>
      <c r="AC73" s="7">
        <f>IF($D73="","",X73-AB73)</f>
        <v/>
      </c>
      <c r="AD73" s="7">
        <f>IF($D73="","",AC73-P73)</f>
        <v/>
      </c>
      <c r="AH73" s="7" t="n"/>
      <c r="AK73" s="11" t="n"/>
      <c r="AM73">
        <f>IF($D73="","",IF(COUNTIF($D$2:$D73,$D73)=1,1,0))</f>
        <v/>
      </c>
      <c r="AN73">
        <f>IF($AM73=1,SUMPRODUCT(--($AQ$2:$AQ$1001&lt;$AQ73))+1,"")</f>
        <v/>
      </c>
      <c r="AO73">
        <f>IF($D73="","",IF(OR($T73=TRUE(),$T73="TRUE"),1,0))</f>
        <v/>
      </c>
      <c r="AP73">
        <f>IF($D73="","",IF($Z73="Yes",1,0))</f>
        <v/>
      </c>
      <c r="AQ73">
        <f>IF($AM73=1,IFERROR(IF(VALUE($D73)&lt;100000000,VALUE($D73),1000000000),IFERROR(IF(VALUE(MID($D73,2,20))&lt;100000000,VALUE(MID($D73,2,20)),1000000000),1000000000))+ROW()/100000,"")</f>
        <v/>
      </c>
    </row>
    <row r="74">
      <c r="F74" s="11" t="n"/>
      <c r="P74" s="7">
        <f>IF($D74="","",O74*X74/100)</f>
        <v/>
      </c>
      <c r="Q74" s="7" t="n"/>
      <c r="W74" s="7" t="n"/>
      <c r="X74" s="7" t="n"/>
      <c r="AA74">
        <f>IF($D74="","",IF($AP74=1,0,IF($AO74=1,Settings!$C$6,Settings!$C$7))*100)</f>
        <v/>
      </c>
      <c r="AB74" s="7">
        <f>IF($D74="","",X74*AA74/100)</f>
        <v/>
      </c>
      <c r="AC74" s="7">
        <f>IF($D74="","",X74-AB74)</f>
        <v/>
      </c>
      <c r="AD74" s="7">
        <f>IF($D74="","",AC74-P74)</f>
        <v/>
      </c>
      <c r="AH74" s="7" t="n"/>
      <c r="AK74" s="11" t="n"/>
      <c r="AM74">
        <f>IF($D74="","",IF(COUNTIF($D$2:$D74,$D74)=1,1,0))</f>
        <v/>
      </c>
      <c r="AN74">
        <f>IF($AM74=1,SUMPRODUCT(--($AQ$2:$AQ$1001&lt;$AQ74))+1,"")</f>
        <v/>
      </c>
      <c r="AO74">
        <f>IF($D74="","",IF(OR($T74=TRUE(),$T74="TRUE"),1,0))</f>
        <v/>
      </c>
      <c r="AP74">
        <f>IF($D74="","",IF($Z74="Yes",1,0))</f>
        <v/>
      </c>
      <c r="AQ74">
        <f>IF($AM74=1,IFERROR(IF(VALUE($D74)&lt;100000000,VALUE($D74),1000000000),IFERROR(IF(VALUE(MID($D74,2,20))&lt;100000000,VALUE(MID($D74,2,20)),1000000000),1000000000))+ROW()/100000,"")</f>
        <v/>
      </c>
    </row>
    <row r="75">
      <c r="F75" s="11" t="n"/>
      <c r="P75" s="7">
        <f>IF($D75="","",O75*X75/100)</f>
        <v/>
      </c>
      <c r="Q75" s="7" t="n"/>
      <c r="W75" s="7" t="n"/>
      <c r="X75" s="7" t="n"/>
      <c r="AA75">
        <f>IF($D75="","",IF($AP75=1,0,IF($AO75=1,Settings!$C$6,Settings!$C$7))*100)</f>
        <v/>
      </c>
      <c r="AB75" s="7">
        <f>IF($D75="","",X75*AA75/100)</f>
        <v/>
      </c>
      <c r="AC75" s="7">
        <f>IF($D75="","",X75-AB75)</f>
        <v/>
      </c>
      <c r="AD75" s="7">
        <f>IF($D75="","",AC75-P75)</f>
        <v/>
      </c>
      <c r="AH75" s="7" t="n"/>
      <c r="AK75" s="11" t="n"/>
      <c r="AM75">
        <f>IF($D75="","",IF(COUNTIF($D$2:$D75,$D75)=1,1,0))</f>
        <v/>
      </c>
      <c r="AN75">
        <f>IF($AM75=1,SUMPRODUCT(--($AQ$2:$AQ$1001&lt;$AQ75))+1,"")</f>
        <v/>
      </c>
      <c r="AO75">
        <f>IF($D75="","",IF(OR($T75=TRUE(),$T75="TRUE"),1,0))</f>
        <v/>
      </c>
      <c r="AP75">
        <f>IF($D75="","",IF($Z75="Yes",1,0))</f>
        <v/>
      </c>
      <c r="AQ75">
        <f>IF($AM75=1,IFERROR(IF(VALUE($D75)&lt;100000000,VALUE($D75),1000000000),IFERROR(IF(VALUE(MID($D75,2,20))&lt;100000000,VALUE(MID($D75,2,20)),1000000000),1000000000))+ROW()/100000,"")</f>
        <v/>
      </c>
    </row>
    <row r="76">
      <c r="F76" s="11" t="n"/>
      <c r="P76" s="7">
        <f>IF($D76="","",O76*X76/100)</f>
        <v/>
      </c>
      <c r="Q76" s="7" t="n"/>
      <c r="W76" s="7" t="n"/>
      <c r="X76" s="7" t="n"/>
      <c r="AA76">
        <f>IF($D76="","",IF($AP76=1,0,IF($AO76=1,Settings!$C$6,Settings!$C$7))*100)</f>
        <v/>
      </c>
      <c r="AB76" s="7">
        <f>IF($D76="","",X76*AA76/100)</f>
        <v/>
      </c>
      <c r="AC76" s="7">
        <f>IF($D76="","",X76-AB76)</f>
        <v/>
      </c>
      <c r="AD76" s="7">
        <f>IF($D76="","",AC76-P76)</f>
        <v/>
      </c>
      <c r="AH76" s="7" t="n"/>
      <c r="AK76" s="11" t="n"/>
      <c r="AM76">
        <f>IF($D76="","",IF(COUNTIF($D$2:$D76,$D76)=1,1,0))</f>
        <v/>
      </c>
      <c r="AN76">
        <f>IF($AM76=1,SUMPRODUCT(--($AQ$2:$AQ$1001&lt;$AQ76))+1,"")</f>
        <v/>
      </c>
      <c r="AO76">
        <f>IF($D76="","",IF(OR($T76=TRUE(),$T76="TRUE"),1,0))</f>
        <v/>
      </c>
      <c r="AP76">
        <f>IF($D76="","",IF($Z76="Yes",1,0))</f>
        <v/>
      </c>
      <c r="AQ76">
        <f>IF($AM76=1,IFERROR(IF(VALUE($D76)&lt;100000000,VALUE($D76),1000000000),IFERROR(IF(VALUE(MID($D76,2,20))&lt;100000000,VALUE(MID($D76,2,20)),1000000000),1000000000))+ROW()/100000,"")</f>
        <v/>
      </c>
    </row>
    <row r="77">
      <c r="F77" s="11" t="n"/>
      <c r="P77" s="7">
        <f>IF($D77="","",O77*X77/100)</f>
        <v/>
      </c>
      <c r="Q77" s="7" t="n"/>
      <c r="W77" s="7" t="n"/>
      <c r="X77" s="7" t="n"/>
      <c r="AA77">
        <f>IF($D77="","",IF($AP77=1,0,IF($AO77=1,Settings!$C$6,Settings!$C$7))*100)</f>
        <v/>
      </c>
      <c r="AB77" s="7">
        <f>IF($D77="","",X77*AA77/100)</f>
        <v/>
      </c>
      <c r="AC77" s="7">
        <f>IF($D77="","",X77-AB77)</f>
        <v/>
      </c>
      <c r="AD77" s="7">
        <f>IF($D77="","",AC77-P77)</f>
        <v/>
      </c>
      <c r="AH77" s="7" t="n"/>
      <c r="AK77" s="11" t="n"/>
      <c r="AM77">
        <f>IF($D77="","",IF(COUNTIF($D$2:$D77,$D77)=1,1,0))</f>
        <v/>
      </c>
      <c r="AN77">
        <f>IF($AM77=1,SUMPRODUCT(--($AQ$2:$AQ$1001&lt;$AQ77))+1,"")</f>
        <v/>
      </c>
      <c r="AO77">
        <f>IF($D77="","",IF(OR($T77=TRUE(),$T77="TRUE"),1,0))</f>
        <v/>
      </c>
      <c r="AP77">
        <f>IF($D77="","",IF($Z77="Yes",1,0))</f>
        <v/>
      </c>
      <c r="AQ77">
        <f>IF($AM77=1,IFERROR(IF(VALUE($D77)&lt;100000000,VALUE($D77),1000000000),IFERROR(IF(VALUE(MID($D77,2,20))&lt;100000000,VALUE(MID($D77,2,20)),1000000000),1000000000))+ROW()/100000,"")</f>
        <v/>
      </c>
    </row>
    <row r="78">
      <c r="F78" s="11" t="n"/>
      <c r="P78" s="7">
        <f>IF($D78="","",O78*X78/100)</f>
        <v/>
      </c>
      <c r="Q78" s="7" t="n"/>
      <c r="W78" s="7" t="n"/>
      <c r="X78" s="7" t="n"/>
      <c r="AA78">
        <f>IF($D78="","",IF($AP78=1,0,IF($AO78=1,Settings!$C$6,Settings!$C$7))*100)</f>
        <v/>
      </c>
      <c r="AB78" s="7">
        <f>IF($D78="","",X78*AA78/100)</f>
        <v/>
      </c>
      <c r="AC78" s="7">
        <f>IF($D78="","",X78-AB78)</f>
        <v/>
      </c>
      <c r="AD78" s="7">
        <f>IF($D78="","",AC78-P78)</f>
        <v/>
      </c>
      <c r="AH78" s="7" t="n"/>
      <c r="AK78" s="11" t="n"/>
      <c r="AM78">
        <f>IF($D78="","",IF(COUNTIF($D$2:$D78,$D78)=1,1,0))</f>
        <v/>
      </c>
      <c r="AN78">
        <f>IF($AM78=1,SUMPRODUCT(--($AQ$2:$AQ$1001&lt;$AQ78))+1,"")</f>
        <v/>
      </c>
      <c r="AO78">
        <f>IF($D78="","",IF(OR($T78=TRUE(),$T78="TRUE"),1,0))</f>
        <v/>
      </c>
      <c r="AP78">
        <f>IF($D78="","",IF($Z78="Yes",1,0))</f>
        <v/>
      </c>
      <c r="AQ78">
        <f>IF($AM78=1,IFERROR(IF(VALUE($D78)&lt;100000000,VALUE($D78),1000000000),IFERROR(IF(VALUE(MID($D78,2,20))&lt;100000000,VALUE(MID($D78,2,20)),1000000000),1000000000))+ROW()/100000,"")</f>
        <v/>
      </c>
    </row>
    <row r="79">
      <c r="F79" s="11" t="n"/>
      <c r="P79" s="7">
        <f>IF($D79="","",O79*X79/100)</f>
        <v/>
      </c>
      <c r="Q79" s="7" t="n"/>
      <c r="W79" s="7" t="n"/>
      <c r="X79" s="7" t="n"/>
      <c r="AA79">
        <f>IF($D79="","",IF($AP79=1,0,IF($AO79=1,Settings!$C$6,Settings!$C$7))*100)</f>
        <v/>
      </c>
      <c r="AB79" s="7">
        <f>IF($D79="","",X79*AA79/100)</f>
        <v/>
      </c>
      <c r="AC79" s="7">
        <f>IF($D79="","",X79-AB79)</f>
        <v/>
      </c>
      <c r="AD79" s="7">
        <f>IF($D79="","",AC79-P79)</f>
        <v/>
      </c>
      <c r="AH79" s="7" t="n"/>
      <c r="AK79" s="11" t="n"/>
      <c r="AM79">
        <f>IF($D79="","",IF(COUNTIF($D$2:$D79,$D79)=1,1,0))</f>
        <v/>
      </c>
      <c r="AN79">
        <f>IF($AM79=1,SUMPRODUCT(--($AQ$2:$AQ$1001&lt;$AQ79))+1,"")</f>
        <v/>
      </c>
      <c r="AO79">
        <f>IF($D79="","",IF(OR($T79=TRUE(),$T79="TRUE"),1,0))</f>
        <v/>
      </c>
      <c r="AP79">
        <f>IF($D79="","",IF($Z79="Yes",1,0))</f>
        <v/>
      </c>
      <c r="AQ79">
        <f>IF($AM79=1,IFERROR(IF(VALUE($D79)&lt;100000000,VALUE($D79),1000000000),IFERROR(IF(VALUE(MID($D79,2,20))&lt;100000000,VALUE(MID($D79,2,20)),1000000000),1000000000))+ROW()/100000,"")</f>
        <v/>
      </c>
    </row>
    <row r="80">
      <c r="F80" s="11" t="n"/>
      <c r="P80" s="7">
        <f>IF($D80="","",O80*X80/100)</f>
        <v/>
      </c>
      <c r="Q80" s="7" t="n"/>
      <c r="W80" s="7" t="n"/>
      <c r="X80" s="7" t="n"/>
      <c r="AA80">
        <f>IF($D80="","",IF($AP80=1,0,IF($AO80=1,Settings!$C$6,Settings!$C$7))*100)</f>
        <v/>
      </c>
      <c r="AB80" s="7">
        <f>IF($D80="","",X80*AA80/100)</f>
        <v/>
      </c>
      <c r="AC80" s="7">
        <f>IF($D80="","",X80-AB80)</f>
        <v/>
      </c>
      <c r="AD80" s="7">
        <f>IF($D80="","",AC80-P80)</f>
        <v/>
      </c>
      <c r="AH80" s="7" t="n"/>
      <c r="AK80" s="11" t="n"/>
      <c r="AM80">
        <f>IF($D80="","",IF(COUNTIF($D$2:$D80,$D80)=1,1,0))</f>
        <v/>
      </c>
      <c r="AN80">
        <f>IF($AM80=1,SUMPRODUCT(--($AQ$2:$AQ$1001&lt;$AQ80))+1,"")</f>
        <v/>
      </c>
      <c r="AO80">
        <f>IF($D80="","",IF(OR($T80=TRUE(),$T80="TRUE"),1,0))</f>
        <v/>
      </c>
      <c r="AP80">
        <f>IF($D80="","",IF($Z80="Yes",1,0))</f>
        <v/>
      </c>
      <c r="AQ80">
        <f>IF($AM80=1,IFERROR(IF(VALUE($D80)&lt;100000000,VALUE($D80),1000000000),IFERROR(IF(VALUE(MID($D80,2,20))&lt;100000000,VALUE(MID($D80,2,20)),1000000000),1000000000))+ROW()/100000,"")</f>
        <v/>
      </c>
    </row>
    <row r="81">
      <c r="F81" s="11" t="n"/>
      <c r="P81" s="7">
        <f>IF($D81="","",O81*X81/100)</f>
        <v/>
      </c>
      <c r="Q81" s="7" t="n"/>
      <c r="W81" s="7" t="n"/>
      <c r="X81" s="7" t="n"/>
      <c r="AA81">
        <f>IF($D81="","",IF($AP81=1,0,IF($AO81=1,Settings!$C$6,Settings!$C$7))*100)</f>
        <v/>
      </c>
      <c r="AB81" s="7">
        <f>IF($D81="","",X81*AA81/100)</f>
        <v/>
      </c>
      <c r="AC81" s="7">
        <f>IF($D81="","",X81-AB81)</f>
        <v/>
      </c>
      <c r="AD81" s="7">
        <f>IF($D81="","",AC81-P81)</f>
        <v/>
      </c>
      <c r="AH81" s="7" t="n"/>
      <c r="AK81" s="11" t="n"/>
      <c r="AM81">
        <f>IF($D81="","",IF(COUNTIF($D$2:$D81,$D81)=1,1,0))</f>
        <v/>
      </c>
      <c r="AN81">
        <f>IF($AM81=1,SUMPRODUCT(--($AQ$2:$AQ$1001&lt;$AQ81))+1,"")</f>
        <v/>
      </c>
      <c r="AO81">
        <f>IF($D81="","",IF(OR($T81=TRUE(),$T81="TRUE"),1,0))</f>
        <v/>
      </c>
      <c r="AP81">
        <f>IF($D81="","",IF($Z81="Yes",1,0))</f>
        <v/>
      </c>
      <c r="AQ81">
        <f>IF($AM81=1,IFERROR(IF(VALUE($D81)&lt;100000000,VALUE($D81),1000000000),IFERROR(IF(VALUE(MID($D81,2,20))&lt;100000000,VALUE(MID($D81,2,20)),1000000000),1000000000))+ROW()/100000,"")</f>
        <v/>
      </c>
    </row>
    <row r="82">
      <c r="F82" s="11" t="n"/>
      <c r="P82" s="7">
        <f>IF($D82="","",O82*X82/100)</f>
        <v/>
      </c>
      <c r="Q82" s="7" t="n"/>
      <c r="W82" s="7" t="n"/>
      <c r="X82" s="7" t="n"/>
      <c r="AA82">
        <f>IF($D82="","",IF($AP82=1,0,IF($AO82=1,Settings!$C$6,Settings!$C$7))*100)</f>
        <v/>
      </c>
      <c r="AB82" s="7">
        <f>IF($D82="","",X82*AA82/100)</f>
        <v/>
      </c>
      <c r="AC82" s="7">
        <f>IF($D82="","",X82-AB82)</f>
        <v/>
      </c>
      <c r="AD82" s="7">
        <f>IF($D82="","",AC82-P82)</f>
        <v/>
      </c>
      <c r="AH82" s="7" t="n"/>
      <c r="AK82" s="11" t="n"/>
      <c r="AM82">
        <f>IF($D82="","",IF(COUNTIF($D$2:$D82,$D82)=1,1,0))</f>
        <v/>
      </c>
      <c r="AN82">
        <f>IF($AM82=1,SUMPRODUCT(--($AQ$2:$AQ$1001&lt;$AQ82))+1,"")</f>
        <v/>
      </c>
      <c r="AO82">
        <f>IF($D82="","",IF(OR($T82=TRUE(),$T82="TRUE"),1,0))</f>
        <v/>
      </c>
      <c r="AP82">
        <f>IF($D82="","",IF($Z82="Yes",1,0))</f>
        <v/>
      </c>
      <c r="AQ82">
        <f>IF($AM82=1,IFERROR(IF(VALUE($D82)&lt;100000000,VALUE($D82),1000000000),IFERROR(IF(VALUE(MID($D82,2,20))&lt;100000000,VALUE(MID($D82,2,20)),1000000000),1000000000))+ROW()/100000,"")</f>
        <v/>
      </c>
    </row>
    <row r="83">
      <c r="F83" s="11" t="n"/>
      <c r="P83" s="7">
        <f>IF($D83="","",O83*X83/100)</f>
        <v/>
      </c>
      <c r="Q83" s="7" t="n"/>
      <c r="W83" s="7" t="n"/>
      <c r="X83" s="7" t="n"/>
      <c r="AA83">
        <f>IF($D83="","",IF($AP83=1,0,IF($AO83=1,Settings!$C$6,Settings!$C$7))*100)</f>
        <v/>
      </c>
      <c r="AB83" s="7">
        <f>IF($D83="","",X83*AA83/100)</f>
        <v/>
      </c>
      <c r="AC83" s="7">
        <f>IF($D83="","",X83-AB83)</f>
        <v/>
      </c>
      <c r="AD83" s="7">
        <f>IF($D83="","",AC83-P83)</f>
        <v/>
      </c>
      <c r="AH83" s="7" t="n"/>
      <c r="AK83" s="11" t="n"/>
      <c r="AM83">
        <f>IF($D83="","",IF(COUNTIF($D$2:$D83,$D83)=1,1,0))</f>
        <v/>
      </c>
      <c r="AN83">
        <f>IF($AM83=1,SUMPRODUCT(--($AQ$2:$AQ$1001&lt;$AQ83))+1,"")</f>
        <v/>
      </c>
      <c r="AO83">
        <f>IF($D83="","",IF(OR($T83=TRUE(),$T83="TRUE"),1,0))</f>
        <v/>
      </c>
      <c r="AP83">
        <f>IF($D83="","",IF($Z83="Yes",1,0))</f>
        <v/>
      </c>
      <c r="AQ83">
        <f>IF($AM83=1,IFERROR(IF(VALUE($D83)&lt;100000000,VALUE($D83),1000000000),IFERROR(IF(VALUE(MID($D83,2,20))&lt;100000000,VALUE(MID($D83,2,20)),1000000000),1000000000))+ROW()/100000,"")</f>
        <v/>
      </c>
    </row>
    <row r="84">
      <c r="F84" s="11" t="n"/>
      <c r="P84" s="7">
        <f>IF($D84="","",O84*X84/100)</f>
        <v/>
      </c>
      <c r="Q84" s="7" t="n"/>
      <c r="W84" s="7" t="n"/>
      <c r="X84" s="7" t="n"/>
      <c r="AA84">
        <f>IF($D84="","",IF($AP84=1,0,IF($AO84=1,Settings!$C$6,Settings!$C$7))*100)</f>
        <v/>
      </c>
      <c r="AB84" s="7">
        <f>IF($D84="","",X84*AA84/100)</f>
        <v/>
      </c>
      <c r="AC84" s="7">
        <f>IF($D84="","",X84-AB84)</f>
        <v/>
      </c>
      <c r="AD84" s="7">
        <f>IF($D84="","",AC84-P84)</f>
        <v/>
      </c>
      <c r="AH84" s="7" t="n"/>
      <c r="AK84" s="11" t="n"/>
      <c r="AM84">
        <f>IF($D84="","",IF(COUNTIF($D$2:$D84,$D84)=1,1,0))</f>
        <v/>
      </c>
      <c r="AN84">
        <f>IF($AM84=1,SUMPRODUCT(--($AQ$2:$AQ$1001&lt;$AQ84))+1,"")</f>
        <v/>
      </c>
      <c r="AO84">
        <f>IF($D84="","",IF(OR($T84=TRUE(),$T84="TRUE"),1,0))</f>
        <v/>
      </c>
      <c r="AP84">
        <f>IF($D84="","",IF($Z84="Yes",1,0))</f>
        <v/>
      </c>
      <c r="AQ84">
        <f>IF($AM84=1,IFERROR(IF(VALUE($D84)&lt;100000000,VALUE($D84),1000000000),IFERROR(IF(VALUE(MID($D84,2,20))&lt;100000000,VALUE(MID($D84,2,20)),1000000000),1000000000))+ROW()/100000,"")</f>
        <v/>
      </c>
    </row>
    <row r="85">
      <c r="F85" s="11" t="n"/>
      <c r="P85" s="7">
        <f>IF($D85="","",O85*X85/100)</f>
        <v/>
      </c>
      <c r="Q85" s="7" t="n"/>
      <c r="W85" s="7" t="n"/>
      <c r="X85" s="7" t="n"/>
      <c r="AA85">
        <f>IF($D85="","",IF($AP85=1,0,IF($AO85=1,Settings!$C$6,Settings!$C$7))*100)</f>
        <v/>
      </c>
      <c r="AB85" s="7">
        <f>IF($D85="","",X85*AA85/100)</f>
        <v/>
      </c>
      <c r="AC85" s="7">
        <f>IF($D85="","",X85-AB85)</f>
        <v/>
      </c>
      <c r="AD85" s="7">
        <f>IF($D85="","",AC85-P85)</f>
        <v/>
      </c>
      <c r="AH85" s="7" t="n"/>
      <c r="AK85" s="11" t="n"/>
      <c r="AM85">
        <f>IF($D85="","",IF(COUNTIF($D$2:$D85,$D85)=1,1,0))</f>
        <v/>
      </c>
      <c r="AN85">
        <f>IF($AM85=1,SUMPRODUCT(--($AQ$2:$AQ$1001&lt;$AQ85))+1,"")</f>
        <v/>
      </c>
      <c r="AO85">
        <f>IF($D85="","",IF(OR($T85=TRUE(),$T85="TRUE"),1,0))</f>
        <v/>
      </c>
      <c r="AP85">
        <f>IF($D85="","",IF($Z85="Yes",1,0))</f>
        <v/>
      </c>
      <c r="AQ85">
        <f>IF($AM85=1,IFERROR(IF(VALUE($D85)&lt;100000000,VALUE($D85),1000000000),IFERROR(IF(VALUE(MID($D85,2,20))&lt;100000000,VALUE(MID($D85,2,20)),1000000000),1000000000))+ROW()/100000,"")</f>
        <v/>
      </c>
    </row>
    <row r="86">
      <c r="F86" s="11" t="n"/>
      <c r="P86" s="7">
        <f>IF($D86="","",O86*X86/100)</f>
        <v/>
      </c>
      <c r="Q86" s="7" t="n"/>
      <c r="W86" s="7" t="n"/>
      <c r="X86" s="7" t="n"/>
      <c r="AA86">
        <f>IF($D86="","",IF($AP86=1,0,IF($AO86=1,Settings!$C$6,Settings!$C$7))*100)</f>
        <v/>
      </c>
      <c r="AB86" s="7">
        <f>IF($D86="","",X86*AA86/100)</f>
        <v/>
      </c>
      <c r="AC86" s="7">
        <f>IF($D86="","",X86-AB86)</f>
        <v/>
      </c>
      <c r="AD86" s="7">
        <f>IF($D86="","",AC86-P86)</f>
        <v/>
      </c>
      <c r="AH86" s="7" t="n"/>
      <c r="AK86" s="11" t="n"/>
      <c r="AM86">
        <f>IF($D86="","",IF(COUNTIF($D$2:$D86,$D86)=1,1,0))</f>
        <v/>
      </c>
      <c r="AN86">
        <f>IF($AM86=1,SUMPRODUCT(--($AQ$2:$AQ$1001&lt;$AQ86))+1,"")</f>
        <v/>
      </c>
      <c r="AO86">
        <f>IF($D86="","",IF(OR($T86=TRUE(),$T86="TRUE"),1,0))</f>
        <v/>
      </c>
      <c r="AP86">
        <f>IF($D86="","",IF($Z86="Yes",1,0))</f>
        <v/>
      </c>
      <c r="AQ86">
        <f>IF($AM86=1,IFERROR(IF(VALUE($D86)&lt;100000000,VALUE($D86),1000000000),IFERROR(IF(VALUE(MID($D86,2,20))&lt;100000000,VALUE(MID($D86,2,20)),1000000000),1000000000))+ROW()/100000,"")</f>
        <v/>
      </c>
    </row>
    <row r="87">
      <c r="F87" s="11" t="n"/>
      <c r="P87" s="7">
        <f>IF($D87="","",O87*X87/100)</f>
        <v/>
      </c>
      <c r="Q87" s="7" t="n"/>
      <c r="W87" s="7" t="n"/>
      <c r="X87" s="7" t="n"/>
      <c r="AA87">
        <f>IF($D87="","",IF($AP87=1,0,IF($AO87=1,Settings!$C$6,Settings!$C$7))*100)</f>
        <v/>
      </c>
      <c r="AB87" s="7">
        <f>IF($D87="","",X87*AA87/100)</f>
        <v/>
      </c>
      <c r="AC87" s="7">
        <f>IF($D87="","",X87-AB87)</f>
        <v/>
      </c>
      <c r="AD87" s="7">
        <f>IF($D87="","",AC87-P87)</f>
        <v/>
      </c>
      <c r="AH87" s="7" t="n"/>
      <c r="AK87" s="11" t="n"/>
      <c r="AM87">
        <f>IF($D87="","",IF(COUNTIF($D$2:$D87,$D87)=1,1,0))</f>
        <v/>
      </c>
      <c r="AN87">
        <f>IF($AM87=1,SUMPRODUCT(--($AQ$2:$AQ$1001&lt;$AQ87))+1,"")</f>
        <v/>
      </c>
      <c r="AO87">
        <f>IF($D87="","",IF(OR($T87=TRUE(),$T87="TRUE"),1,0))</f>
        <v/>
      </c>
      <c r="AP87">
        <f>IF($D87="","",IF($Z87="Yes",1,0))</f>
        <v/>
      </c>
      <c r="AQ87">
        <f>IF($AM87=1,IFERROR(IF(VALUE($D87)&lt;100000000,VALUE($D87),1000000000),IFERROR(IF(VALUE(MID($D87,2,20))&lt;100000000,VALUE(MID($D87,2,20)),1000000000),1000000000))+ROW()/100000,"")</f>
        <v/>
      </c>
    </row>
    <row r="88">
      <c r="F88" s="11" t="n"/>
      <c r="P88" s="7">
        <f>IF($D88="","",O88*X88/100)</f>
        <v/>
      </c>
      <c r="Q88" s="7" t="n"/>
      <c r="W88" s="7" t="n"/>
      <c r="X88" s="7" t="n"/>
      <c r="AA88">
        <f>IF($D88="","",IF($AP88=1,0,IF($AO88=1,Settings!$C$6,Settings!$C$7))*100)</f>
        <v/>
      </c>
      <c r="AB88" s="7">
        <f>IF($D88="","",X88*AA88/100)</f>
        <v/>
      </c>
      <c r="AC88" s="7">
        <f>IF($D88="","",X88-AB88)</f>
        <v/>
      </c>
      <c r="AD88" s="7">
        <f>IF($D88="","",AC88-P88)</f>
        <v/>
      </c>
      <c r="AH88" s="7" t="n"/>
      <c r="AK88" s="11" t="n"/>
      <c r="AM88">
        <f>IF($D88="","",IF(COUNTIF($D$2:$D88,$D88)=1,1,0))</f>
        <v/>
      </c>
      <c r="AN88">
        <f>IF($AM88=1,SUMPRODUCT(--($AQ$2:$AQ$1001&lt;$AQ88))+1,"")</f>
        <v/>
      </c>
      <c r="AO88">
        <f>IF($D88="","",IF(OR($T88=TRUE(),$T88="TRUE"),1,0))</f>
        <v/>
      </c>
      <c r="AP88">
        <f>IF($D88="","",IF($Z88="Yes",1,0))</f>
        <v/>
      </c>
      <c r="AQ88">
        <f>IF($AM88=1,IFERROR(IF(VALUE($D88)&lt;100000000,VALUE($D88),1000000000),IFERROR(IF(VALUE(MID($D88,2,20))&lt;100000000,VALUE(MID($D88,2,20)),1000000000),1000000000))+ROW()/100000,"")</f>
        <v/>
      </c>
    </row>
    <row r="89">
      <c r="F89" s="11" t="n"/>
      <c r="P89" s="7">
        <f>IF($D89="","",O89*X89/100)</f>
        <v/>
      </c>
      <c r="Q89" s="7" t="n"/>
      <c r="W89" s="7" t="n"/>
      <c r="X89" s="7" t="n"/>
      <c r="AA89">
        <f>IF($D89="","",IF($AP89=1,0,IF($AO89=1,Settings!$C$6,Settings!$C$7))*100)</f>
        <v/>
      </c>
      <c r="AB89" s="7">
        <f>IF($D89="","",X89*AA89/100)</f>
        <v/>
      </c>
      <c r="AC89" s="7">
        <f>IF($D89="","",X89-AB89)</f>
        <v/>
      </c>
      <c r="AD89" s="7">
        <f>IF($D89="","",AC89-P89)</f>
        <v/>
      </c>
      <c r="AH89" s="7" t="n"/>
      <c r="AK89" s="11" t="n"/>
      <c r="AM89">
        <f>IF($D89="","",IF(COUNTIF($D$2:$D89,$D89)=1,1,0))</f>
        <v/>
      </c>
      <c r="AN89">
        <f>IF($AM89=1,SUMPRODUCT(--($AQ$2:$AQ$1001&lt;$AQ89))+1,"")</f>
        <v/>
      </c>
      <c r="AO89">
        <f>IF($D89="","",IF(OR($T89=TRUE(),$T89="TRUE"),1,0))</f>
        <v/>
      </c>
      <c r="AP89">
        <f>IF($D89="","",IF($Z89="Yes",1,0))</f>
        <v/>
      </c>
      <c r="AQ89">
        <f>IF($AM89=1,IFERROR(IF(VALUE($D89)&lt;100000000,VALUE($D89),1000000000),IFERROR(IF(VALUE(MID($D89,2,20))&lt;100000000,VALUE(MID($D89,2,20)),1000000000),1000000000))+ROW()/100000,"")</f>
        <v/>
      </c>
    </row>
    <row r="90">
      <c r="F90" s="11" t="n"/>
      <c r="P90" s="7">
        <f>IF($D90="","",O90*X90/100)</f>
        <v/>
      </c>
      <c r="Q90" s="7" t="n"/>
      <c r="W90" s="7" t="n"/>
      <c r="X90" s="7" t="n"/>
      <c r="AA90">
        <f>IF($D90="","",IF($AP90=1,0,IF($AO90=1,Settings!$C$6,Settings!$C$7))*100)</f>
        <v/>
      </c>
      <c r="AB90" s="7">
        <f>IF($D90="","",X90*AA90/100)</f>
        <v/>
      </c>
      <c r="AC90" s="7">
        <f>IF($D90="","",X90-AB90)</f>
        <v/>
      </c>
      <c r="AD90" s="7">
        <f>IF($D90="","",AC90-P90)</f>
        <v/>
      </c>
      <c r="AH90" s="7" t="n"/>
      <c r="AK90" s="11" t="n"/>
      <c r="AM90">
        <f>IF($D90="","",IF(COUNTIF($D$2:$D90,$D90)=1,1,0))</f>
        <v/>
      </c>
      <c r="AN90">
        <f>IF($AM90=1,SUMPRODUCT(--($AQ$2:$AQ$1001&lt;$AQ90))+1,"")</f>
        <v/>
      </c>
      <c r="AO90">
        <f>IF($D90="","",IF(OR($T90=TRUE(),$T90="TRUE"),1,0))</f>
        <v/>
      </c>
      <c r="AP90">
        <f>IF($D90="","",IF($Z90="Yes",1,0))</f>
        <v/>
      </c>
      <c r="AQ90">
        <f>IF($AM90=1,IFERROR(IF(VALUE($D90)&lt;100000000,VALUE($D90),1000000000),IFERROR(IF(VALUE(MID($D90,2,20))&lt;100000000,VALUE(MID($D90,2,20)),1000000000),1000000000))+ROW()/100000,"")</f>
        <v/>
      </c>
    </row>
    <row r="91">
      <c r="F91" s="11" t="n"/>
      <c r="P91" s="7">
        <f>IF($D91="","",O91*X91/100)</f>
        <v/>
      </c>
      <c r="Q91" s="7" t="n"/>
      <c r="W91" s="7" t="n"/>
      <c r="X91" s="7" t="n"/>
      <c r="AA91">
        <f>IF($D91="","",IF($AP91=1,0,IF($AO91=1,Settings!$C$6,Settings!$C$7))*100)</f>
        <v/>
      </c>
      <c r="AB91" s="7">
        <f>IF($D91="","",X91*AA91/100)</f>
        <v/>
      </c>
      <c r="AC91" s="7">
        <f>IF($D91="","",X91-AB91)</f>
        <v/>
      </c>
      <c r="AD91" s="7">
        <f>IF($D91="","",AC91-P91)</f>
        <v/>
      </c>
      <c r="AH91" s="7" t="n"/>
      <c r="AK91" s="11" t="n"/>
      <c r="AM91">
        <f>IF($D91="","",IF(COUNTIF($D$2:$D91,$D91)=1,1,0))</f>
        <v/>
      </c>
      <c r="AN91">
        <f>IF($AM91=1,SUMPRODUCT(--($AQ$2:$AQ$1001&lt;$AQ91))+1,"")</f>
        <v/>
      </c>
      <c r="AO91">
        <f>IF($D91="","",IF(OR($T91=TRUE(),$T91="TRUE"),1,0))</f>
        <v/>
      </c>
      <c r="AP91">
        <f>IF($D91="","",IF($Z91="Yes",1,0))</f>
        <v/>
      </c>
      <c r="AQ91">
        <f>IF($AM91=1,IFERROR(IF(VALUE($D91)&lt;100000000,VALUE($D91),1000000000),IFERROR(IF(VALUE(MID($D91,2,20))&lt;100000000,VALUE(MID($D91,2,20)),1000000000),1000000000))+ROW()/100000,"")</f>
        <v/>
      </c>
    </row>
    <row r="92">
      <c r="F92" s="11" t="n"/>
      <c r="P92" s="7">
        <f>IF($D92="","",O92*X92/100)</f>
        <v/>
      </c>
      <c r="Q92" s="7" t="n"/>
      <c r="W92" s="7" t="n"/>
      <c r="X92" s="7" t="n"/>
      <c r="AA92">
        <f>IF($D92="","",IF($AP92=1,0,IF($AO92=1,Settings!$C$6,Settings!$C$7))*100)</f>
        <v/>
      </c>
      <c r="AB92" s="7">
        <f>IF($D92="","",X92*AA92/100)</f>
        <v/>
      </c>
      <c r="AC92" s="7">
        <f>IF($D92="","",X92-AB92)</f>
        <v/>
      </c>
      <c r="AD92" s="7">
        <f>IF($D92="","",AC92-P92)</f>
        <v/>
      </c>
      <c r="AH92" s="7" t="n"/>
      <c r="AK92" s="11" t="n"/>
      <c r="AM92">
        <f>IF($D92="","",IF(COUNTIF($D$2:$D92,$D92)=1,1,0))</f>
        <v/>
      </c>
      <c r="AN92">
        <f>IF($AM92=1,SUMPRODUCT(--($AQ$2:$AQ$1001&lt;$AQ92))+1,"")</f>
        <v/>
      </c>
      <c r="AO92">
        <f>IF($D92="","",IF(OR($T92=TRUE(),$T92="TRUE"),1,0))</f>
        <v/>
      </c>
      <c r="AP92">
        <f>IF($D92="","",IF($Z92="Yes",1,0))</f>
        <v/>
      </c>
      <c r="AQ92">
        <f>IF($AM92=1,IFERROR(IF(VALUE($D92)&lt;100000000,VALUE($D92),1000000000),IFERROR(IF(VALUE(MID($D92,2,20))&lt;100000000,VALUE(MID($D92,2,20)),1000000000),1000000000))+ROW()/100000,"")</f>
        <v/>
      </c>
    </row>
    <row r="93">
      <c r="F93" s="11" t="n"/>
      <c r="P93" s="7">
        <f>IF($D93="","",O93*X93/100)</f>
        <v/>
      </c>
      <c r="Q93" s="7" t="n"/>
      <c r="W93" s="7" t="n"/>
      <c r="X93" s="7" t="n"/>
      <c r="AA93">
        <f>IF($D93="","",IF($AP93=1,0,IF($AO93=1,Settings!$C$6,Settings!$C$7))*100)</f>
        <v/>
      </c>
      <c r="AB93" s="7">
        <f>IF($D93="","",X93*AA93/100)</f>
        <v/>
      </c>
      <c r="AC93" s="7">
        <f>IF($D93="","",X93-AB93)</f>
        <v/>
      </c>
      <c r="AD93" s="7">
        <f>IF($D93="","",AC93-P93)</f>
        <v/>
      </c>
      <c r="AH93" s="7" t="n"/>
      <c r="AK93" s="11" t="n"/>
      <c r="AM93">
        <f>IF($D93="","",IF(COUNTIF($D$2:$D93,$D93)=1,1,0))</f>
        <v/>
      </c>
      <c r="AN93">
        <f>IF($AM93=1,SUMPRODUCT(--($AQ$2:$AQ$1001&lt;$AQ93))+1,"")</f>
        <v/>
      </c>
      <c r="AO93">
        <f>IF($D93="","",IF(OR($T93=TRUE(),$T93="TRUE"),1,0))</f>
        <v/>
      </c>
      <c r="AP93">
        <f>IF($D93="","",IF($Z93="Yes",1,0))</f>
        <v/>
      </c>
      <c r="AQ93">
        <f>IF($AM93=1,IFERROR(IF(VALUE($D93)&lt;100000000,VALUE($D93),1000000000),IFERROR(IF(VALUE(MID($D93,2,20))&lt;100000000,VALUE(MID($D93,2,20)),1000000000),1000000000))+ROW()/100000,"")</f>
        <v/>
      </c>
    </row>
    <row r="94">
      <c r="F94" s="11" t="n"/>
      <c r="P94" s="7">
        <f>IF($D94="","",O94*X94/100)</f>
        <v/>
      </c>
      <c r="Q94" s="7" t="n"/>
      <c r="W94" s="7" t="n"/>
      <c r="X94" s="7" t="n"/>
      <c r="AA94">
        <f>IF($D94="","",IF($AP94=1,0,IF($AO94=1,Settings!$C$6,Settings!$C$7))*100)</f>
        <v/>
      </c>
      <c r="AB94" s="7">
        <f>IF($D94="","",X94*AA94/100)</f>
        <v/>
      </c>
      <c r="AC94" s="7">
        <f>IF($D94="","",X94-AB94)</f>
        <v/>
      </c>
      <c r="AD94" s="7">
        <f>IF($D94="","",AC94-P94)</f>
        <v/>
      </c>
      <c r="AH94" s="7" t="n"/>
      <c r="AK94" s="11" t="n"/>
      <c r="AM94">
        <f>IF($D94="","",IF(COUNTIF($D$2:$D94,$D94)=1,1,0))</f>
        <v/>
      </c>
      <c r="AN94">
        <f>IF($AM94=1,SUMPRODUCT(--($AQ$2:$AQ$1001&lt;$AQ94))+1,"")</f>
        <v/>
      </c>
      <c r="AO94">
        <f>IF($D94="","",IF(OR($T94=TRUE(),$T94="TRUE"),1,0))</f>
        <v/>
      </c>
      <c r="AP94">
        <f>IF($D94="","",IF($Z94="Yes",1,0))</f>
        <v/>
      </c>
      <c r="AQ94">
        <f>IF($AM94=1,IFERROR(IF(VALUE($D94)&lt;100000000,VALUE($D94),1000000000),IFERROR(IF(VALUE(MID($D94,2,20))&lt;100000000,VALUE(MID($D94,2,20)),1000000000),1000000000))+ROW()/100000,"")</f>
        <v/>
      </c>
    </row>
    <row r="95">
      <c r="F95" s="11" t="n"/>
      <c r="P95" s="7">
        <f>IF($D95="","",O95*X95/100)</f>
        <v/>
      </c>
      <c r="Q95" s="7" t="n"/>
      <c r="W95" s="7" t="n"/>
      <c r="X95" s="7" t="n"/>
      <c r="AA95">
        <f>IF($D95="","",IF($AP95=1,0,IF($AO95=1,Settings!$C$6,Settings!$C$7))*100)</f>
        <v/>
      </c>
      <c r="AB95" s="7">
        <f>IF($D95="","",X95*AA95/100)</f>
        <v/>
      </c>
      <c r="AC95" s="7">
        <f>IF($D95="","",X95-AB95)</f>
        <v/>
      </c>
      <c r="AD95" s="7">
        <f>IF($D95="","",AC95-P95)</f>
        <v/>
      </c>
      <c r="AH95" s="7" t="n"/>
      <c r="AK95" s="11" t="n"/>
      <c r="AM95">
        <f>IF($D95="","",IF(COUNTIF($D$2:$D95,$D95)=1,1,0))</f>
        <v/>
      </c>
      <c r="AN95">
        <f>IF($AM95=1,SUMPRODUCT(--($AQ$2:$AQ$1001&lt;$AQ95))+1,"")</f>
        <v/>
      </c>
      <c r="AO95">
        <f>IF($D95="","",IF(OR($T95=TRUE(),$T95="TRUE"),1,0))</f>
        <v/>
      </c>
      <c r="AP95">
        <f>IF($D95="","",IF($Z95="Yes",1,0))</f>
        <v/>
      </c>
      <c r="AQ95">
        <f>IF($AM95=1,IFERROR(IF(VALUE($D95)&lt;100000000,VALUE($D95),1000000000),IFERROR(IF(VALUE(MID($D95,2,20))&lt;100000000,VALUE(MID($D95,2,20)),1000000000),1000000000))+ROW()/100000,"")</f>
        <v/>
      </c>
    </row>
    <row r="96">
      <c r="F96" s="11" t="n"/>
      <c r="P96" s="7">
        <f>IF($D96="","",O96*X96/100)</f>
        <v/>
      </c>
      <c r="Q96" s="7" t="n"/>
      <c r="W96" s="7" t="n"/>
      <c r="X96" s="7" t="n"/>
      <c r="AA96">
        <f>IF($D96="","",IF($AP96=1,0,IF($AO96=1,Settings!$C$6,Settings!$C$7))*100)</f>
        <v/>
      </c>
      <c r="AB96" s="7">
        <f>IF($D96="","",X96*AA96/100)</f>
        <v/>
      </c>
      <c r="AC96" s="7">
        <f>IF($D96="","",X96-AB96)</f>
        <v/>
      </c>
      <c r="AD96" s="7">
        <f>IF($D96="","",AC96-P96)</f>
        <v/>
      </c>
      <c r="AH96" s="7" t="n"/>
      <c r="AK96" s="11" t="n"/>
      <c r="AM96">
        <f>IF($D96="","",IF(COUNTIF($D$2:$D96,$D96)=1,1,0))</f>
        <v/>
      </c>
      <c r="AN96">
        <f>IF($AM96=1,SUMPRODUCT(--($AQ$2:$AQ$1001&lt;$AQ96))+1,"")</f>
        <v/>
      </c>
      <c r="AO96">
        <f>IF($D96="","",IF(OR($T96=TRUE(),$T96="TRUE"),1,0))</f>
        <v/>
      </c>
      <c r="AP96">
        <f>IF($D96="","",IF($Z96="Yes",1,0))</f>
        <v/>
      </c>
      <c r="AQ96">
        <f>IF($AM96=1,IFERROR(IF(VALUE($D96)&lt;100000000,VALUE($D96),1000000000),IFERROR(IF(VALUE(MID($D96,2,20))&lt;100000000,VALUE(MID($D96,2,20)),1000000000),1000000000))+ROW()/100000,"")</f>
        <v/>
      </c>
    </row>
    <row r="97">
      <c r="F97" s="11" t="n"/>
      <c r="P97" s="7">
        <f>IF($D97="","",O97*X97/100)</f>
        <v/>
      </c>
      <c r="Q97" s="7" t="n"/>
      <c r="W97" s="7" t="n"/>
      <c r="X97" s="7" t="n"/>
      <c r="AA97">
        <f>IF($D97="","",IF($AP97=1,0,IF($AO97=1,Settings!$C$6,Settings!$C$7))*100)</f>
        <v/>
      </c>
      <c r="AB97" s="7">
        <f>IF($D97="","",X97*AA97/100)</f>
        <v/>
      </c>
      <c r="AC97" s="7">
        <f>IF($D97="","",X97-AB97)</f>
        <v/>
      </c>
      <c r="AD97" s="7">
        <f>IF($D97="","",AC97-P97)</f>
        <v/>
      </c>
      <c r="AH97" s="7" t="n"/>
      <c r="AK97" s="11" t="n"/>
      <c r="AM97">
        <f>IF($D97="","",IF(COUNTIF($D$2:$D97,$D97)=1,1,0))</f>
        <v/>
      </c>
      <c r="AN97">
        <f>IF($AM97=1,SUMPRODUCT(--($AQ$2:$AQ$1001&lt;$AQ97))+1,"")</f>
        <v/>
      </c>
      <c r="AO97">
        <f>IF($D97="","",IF(OR($T97=TRUE(),$T97="TRUE"),1,0))</f>
        <v/>
      </c>
      <c r="AP97">
        <f>IF($D97="","",IF($Z97="Yes",1,0))</f>
        <v/>
      </c>
      <c r="AQ97">
        <f>IF($AM97=1,IFERROR(IF(VALUE($D97)&lt;100000000,VALUE($D97),1000000000),IFERROR(IF(VALUE(MID($D97,2,20))&lt;100000000,VALUE(MID($D97,2,20)),1000000000),1000000000))+ROW()/100000,"")</f>
        <v/>
      </c>
    </row>
    <row r="98">
      <c r="F98" s="11" t="n"/>
      <c r="P98" s="7">
        <f>IF($D98="","",O98*X98/100)</f>
        <v/>
      </c>
      <c r="Q98" s="7" t="n"/>
      <c r="W98" s="7" t="n"/>
      <c r="X98" s="7" t="n"/>
      <c r="AA98">
        <f>IF($D98="","",IF($AP98=1,0,IF($AO98=1,Settings!$C$6,Settings!$C$7))*100)</f>
        <v/>
      </c>
      <c r="AB98" s="7">
        <f>IF($D98="","",X98*AA98/100)</f>
        <v/>
      </c>
      <c r="AC98" s="7">
        <f>IF($D98="","",X98-AB98)</f>
        <v/>
      </c>
      <c r="AD98" s="7">
        <f>IF($D98="","",AC98-P98)</f>
        <v/>
      </c>
      <c r="AH98" s="7" t="n"/>
      <c r="AK98" s="11" t="n"/>
      <c r="AM98">
        <f>IF($D98="","",IF(COUNTIF($D$2:$D98,$D98)=1,1,0))</f>
        <v/>
      </c>
      <c r="AN98">
        <f>IF($AM98=1,SUMPRODUCT(--($AQ$2:$AQ$1001&lt;$AQ98))+1,"")</f>
        <v/>
      </c>
      <c r="AO98">
        <f>IF($D98="","",IF(OR($T98=TRUE(),$T98="TRUE"),1,0))</f>
        <v/>
      </c>
      <c r="AP98">
        <f>IF($D98="","",IF($Z98="Yes",1,0))</f>
        <v/>
      </c>
      <c r="AQ98">
        <f>IF($AM98=1,IFERROR(IF(VALUE($D98)&lt;100000000,VALUE($D98),1000000000),IFERROR(IF(VALUE(MID($D98,2,20))&lt;100000000,VALUE(MID($D98,2,20)),1000000000),1000000000))+ROW()/100000,"")</f>
        <v/>
      </c>
    </row>
    <row r="99">
      <c r="F99" s="11" t="n"/>
      <c r="P99" s="7">
        <f>IF($D99="","",O99*X99/100)</f>
        <v/>
      </c>
      <c r="Q99" s="7" t="n"/>
      <c r="W99" s="7" t="n"/>
      <c r="X99" s="7" t="n"/>
      <c r="AA99">
        <f>IF($D99="","",IF($AP99=1,0,IF($AO99=1,Settings!$C$6,Settings!$C$7))*100)</f>
        <v/>
      </c>
      <c r="AB99" s="7">
        <f>IF($D99="","",X99*AA99/100)</f>
        <v/>
      </c>
      <c r="AC99" s="7">
        <f>IF($D99="","",X99-AB99)</f>
        <v/>
      </c>
      <c r="AD99" s="7">
        <f>IF($D99="","",AC99-P99)</f>
        <v/>
      </c>
      <c r="AH99" s="7" t="n"/>
      <c r="AK99" s="11" t="n"/>
      <c r="AM99">
        <f>IF($D99="","",IF(COUNTIF($D$2:$D99,$D99)=1,1,0))</f>
        <v/>
      </c>
      <c r="AN99">
        <f>IF($AM99=1,SUMPRODUCT(--($AQ$2:$AQ$1001&lt;$AQ99))+1,"")</f>
        <v/>
      </c>
      <c r="AO99">
        <f>IF($D99="","",IF(OR($T99=TRUE(),$T99="TRUE"),1,0))</f>
        <v/>
      </c>
      <c r="AP99">
        <f>IF($D99="","",IF($Z99="Yes",1,0))</f>
        <v/>
      </c>
      <c r="AQ99">
        <f>IF($AM99=1,IFERROR(IF(VALUE($D99)&lt;100000000,VALUE($D99),1000000000),IFERROR(IF(VALUE(MID($D99,2,20))&lt;100000000,VALUE(MID($D99,2,20)),1000000000),1000000000))+ROW()/100000,"")</f>
        <v/>
      </c>
    </row>
    <row r="100">
      <c r="F100" s="11" t="n"/>
      <c r="P100" s="7">
        <f>IF($D100="","",O100*X100/100)</f>
        <v/>
      </c>
      <c r="Q100" s="7" t="n"/>
      <c r="W100" s="7" t="n"/>
      <c r="X100" s="7" t="n"/>
      <c r="AA100">
        <f>IF($D100="","",IF($AP100=1,0,IF($AO100=1,Settings!$C$6,Settings!$C$7))*100)</f>
        <v/>
      </c>
      <c r="AB100" s="7">
        <f>IF($D100="","",X100*AA100/100)</f>
        <v/>
      </c>
      <c r="AC100" s="7">
        <f>IF($D100="","",X100-AB100)</f>
        <v/>
      </c>
      <c r="AD100" s="7">
        <f>IF($D100="","",AC100-P100)</f>
        <v/>
      </c>
      <c r="AH100" s="7" t="n"/>
      <c r="AK100" s="11" t="n"/>
      <c r="AM100">
        <f>IF($D100="","",IF(COUNTIF($D$2:$D100,$D100)=1,1,0))</f>
        <v/>
      </c>
      <c r="AN100">
        <f>IF($AM100=1,SUMPRODUCT(--($AQ$2:$AQ$1001&lt;$AQ100))+1,"")</f>
        <v/>
      </c>
      <c r="AO100">
        <f>IF($D100="","",IF(OR($T100=TRUE(),$T100="TRUE"),1,0))</f>
        <v/>
      </c>
      <c r="AP100">
        <f>IF($D100="","",IF($Z100="Yes",1,0))</f>
        <v/>
      </c>
      <c r="AQ100">
        <f>IF($AM100=1,IFERROR(IF(VALUE($D100)&lt;100000000,VALUE($D100),1000000000),IFERROR(IF(VALUE(MID($D100,2,20))&lt;100000000,VALUE(MID($D100,2,20)),1000000000),1000000000))+ROW()/100000,"")</f>
        <v/>
      </c>
    </row>
    <row r="101">
      <c r="F101" s="11" t="n"/>
      <c r="P101" s="7">
        <f>IF($D101="","",O101*X101/100)</f>
        <v/>
      </c>
      <c r="Q101" s="7" t="n"/>
      <c r="W101" s="7" t="n"/>
      <c r="X101" s="7" t="n"/>
      <c r="AA101">
        <f>IF($D101="","",IF($AP101=1,0,IF($AO101=1,Settings!$C$6,Settings!$C$7))*100)</f>
        <v/>
      </c>
      <c r="AB101" s="7">
        <f>IF($D101="","",X101*AA101/100)</f>
        <v/>
      </c>
      <c r="AC101" s="7">
        <f>IF($D101="","",X101-AB101)</f>
        <v/>
      </c>
      <c r="AD101" s="7">
        <f>IF($D101="","",AC101-P101)</f>
        <v/>
      </c>
      <c r="AH101" s="7" t="n"/>
      <c r="AK101" s="11" t="n"/>
      <c r="AM101">
        <f>IF($D101="","",IF(COUNTIF($D$2:$D101,$D101)=1,1,0))</f>
        <v/>
      </c>
      <c r="AN101">
        <f>IF($AM101=1,SUMPRODUCT(--($AQ$2:$AQ$1001&lt;$AQ101))+1,"")</f>
        <v/>
      </c>
      <c r="AO101">
        <f>IF($D101="","",IF(OR($T101=TRUE(),$T101="TRUE"),1,0))</f>
        <v/>
      </c>
      <c r="AP101">
        <f>IF($D101="","",IF($Z101="Yes",1,0))</f>
        <v/>
      </c>
      <c r="AQ101">
        <f>IF($AM101=1,IFERROR(IF(VALUE($D101)&lt;100000000,VALUE($D101),1000000000),IFERROR(IF(VALUE(MID($D101,2,20))&lt;100000000,VALUE(MID($D101,2,20)),1000000000),1000000000))+ROW()/100000,"")</f>
        <v/>
      </c>
    </row>
    <row r="102">
      <c r="F102" s="11" t="n"/>
      <c r="P102" s="7">
        <f>IF($D102="","",O102*X102/100)</f>
        <v/>
      </c>
      <c r="Q102" s="7" t="n"/>
      <c r="W102" s="7" t="n"/>
      <c r="X102" s="7" t="n"/>
      <c r="AA102">
        <f>IF($D102="","",IF($AP102=1,0,IF($AO102=1,Settings!$C$6,Settings!$C$7))*100)</f>
        <v/>
      </c>
      <c r="AB102" s="7">
        <f>IF($D102="","",X102*AA102/100)</f>
        <v/>
      </c>
      <c r="AC102" s="7">
        <f>IF($D102="","",X102-AB102)</f>
        <v/>
      </c>
      <c r="AD102" s="7">
        <f>IF($D102="","",AC102-P102)</f>
        <v/>
      </c>
      <c r="AH102" s="7" t="n"/>
      <c r="AK102" s="11" t="n"/>
      <c r="AM102">
        <f>IF($D102="","",IF(COUNTIF($D$2:$D102,$D102)=1,1,0))</f>
        <v/>
      </c>
      <c r="AN102">
        <f>IF($AM102=1,SUMPRODUCT(--($AQ$2:$AQ$1001&lt;$AQ102))+1,"")</f>
        <v/>
      </c>
      <c r="AO102">
        <f>IF($D102="","",IF(OR($T102=TRUE(),$T102="TRUE"),1,0))</f>
        <v/>
      </c>
      <c r="AP102">
        <f>IF($D102="","",IF($Z102="Yes",1,0))</f>
        <v/>
      </c>
      <c r="AQ102">
        <f>IF($AM102=1,IFERROR(IF(VALUE($D102)&lt;100000000,VALUE($D102),1000000000),IFERROR(IF(VALUE(MID($D102,2,20))&lt;100000000,VALUE(MID($D102,2,20)),1000000000),1000000000))+ROW()/100000,"")</f>
        <v/>
      </c>
    </row>
    <row r="103">
      <c r="F103" s="11" t="n"/>
      <c r="P103" s="7">
        <f>IF($D103="","",O103*X103/100)</f>
        <v/>
      </c>
      <c r="Q103" s="7" t="n"/>
      <c r="W103" s="7" t="n"/>
      <c r="X103" s="7" t="n"/>
      <c r="AA103">
        <f>IF($D103="","",IF($AP103=1,0,IF($AO103=1,Settings!$C$6,Settings!$C$7))*100)</f>
        <v/>
      </c>
      <c r="AB103" s="7">
        <f>IF($D103="","",X103*AA103/100)</f>
        <v/>
      </c>
      <c r="AC103" s="7">
        <f>IF($D103="","",X103-AB103)</f>
        <v/>
      </c>
      <c r="AD103" s="7">
        <f>IF($D103="","",AC103-P103)</f>
        <v/>
      </c>
      <c r="AH103" s="7" t="n"/>
      <c r="AK103" s="11" t="n"/>
      <c r="AM103">
        <f>IF($D103="","",IF(COUNTIF($D$2:$D103,$D103)=1,1,0))</f>
        <v/>
      </c>
      <c r="AN103">
        <f>IF($AM103=1,SUMPRODUCT(--($AQ$2:$AQ$1001&lt;$AQ103))+1,"")</f>
        <v/>
      </c>
      <c r="AO103">
        <f>IF($D103="","",IF(OR($T103=TRUE(),$T103="TRUE"),1,0))</f>
        <v/>
      </c>
      <c r="AP103">
        <f>IF($D103="","",IF($Z103="Yes",1,0))</f>
        <v/>
      </c>
      <c r="AQ103">
        <f>IF($AM103=1,IFERROR(IF(VALUE($D103)&lt;100000000,VALUE($D103),1000000000),IFERROR(IF(VALUE(MID($D103,2,20))&lt;100000000,VALUE(MID($D103,2,20)),1000000000),1000000000))+ROW()/100000,"")</f>
        <v/>
      </c>
    </row>
    <row r="104">
      <c r="F104" s="11" t="n"/>
      <c r="P104" s="7">
        <f>IF($D104="","",O104*X104/100)</f>
        <v/>
      </c>
      <c r="Q104" s="7" t="n"/>
      <c r="W104" s="7" t="n"/>
      <c r="X104" s="7" t="n"/>
      <c r="AA104">
        <f>IF($D104="","",IF($AP104=1,0,IF($AO104=1,Settings!$C$6,Settings!$C$7))*100)</f>
        <v/>
      </c>
      <c r="AB104" s="7">
        <f>IF($D104="","",X104*AA104/100)</f>
        <v/>
      </c>
      <c r="AC104" s="7">
        <f>IF($D104="","",X104-AB104)</f>
        <v/>
      </c>
      <c r="AD104" s="7">
        <f>IF($D104="","",AC104-P104)</f>
        <v/>
      </c>
      <c r="AH104" s="7" t="n"/>
      <c r="AK104" s="11" t="n"/>
      <c r="AM104">
        <f>IF($D104="","",IF(COUNTIF($D$2:$D104,$D104)=1,1,0))</f>
        <v/>
      </c>
      <c r="AN104">
        <f>IF($AM104=1,SUMPRODUCT(--($AQ$2:$AQ$1001&lt;$AQ104))+1,"")</f>
        <v/>
      </c>
      <c r="AO104">
        <f>IF($D104="","",IF(OR($T104=TRUE(),$T104="TRUE"),1,0))</f>
        <v/>
      </c>
      <c r="AP104">
        <f>IF($D104="","",IF($Z104="Yes",1,0))</f>
        <v/>
      </c>
      <c r="AQ104">
        <f>IF($AM104=1,IFERROR(IF(VALUE($D104)&lt;100000000,VALUE($D104),1000000000),IFERROR(IF(VALUE(MID($D104,2,20))&lt;100000000,VALUE(MID($D104,2,20)),1000000000),1000000000))+ROW()/100000,"")</f>
        <v/>
      </c>
    </row>
    <row r="105">
      <c r="F105" s="11" t="n"/>
      <c r="P105" s="7">
        <f>IF($D105="","",O105*X105/100)</f>
        <v/>
      </c>
      <c r="Q105" s="7" t="n"/>
      <c r="W105" s="7" t="n"/>
      <c r="X105" s="7" t="n"/>
      <c r="AA105">
        <f>IF($D105="","",IF($AP105=1,0,IF($AO105=1,Settings!$C$6,Settings!$C$7))*100)</f>
        <v/>
      </c>
      <c r="AB105" s="7">
        <f>IF($D105="","",X105*AA105/100)</f>
        <v/>
      </c>
      <c r="AC105" s="7">
        <f>IF($D105="","",X105-AB105)</f>
        <v/>
      </c>
      <c r="AD105" s="7">
        <f>IF($D105="","",AC105-P105)</f>
        <v/>
      </c>
      <c r="AH105" s="7" t="n"/>
      <c r="AK105" s="11" t="n"/>
      <c r="AM105">
        <f>IF($D105="","",IF(COUNTIF($D$2:$D105,$D105)=1,1,0))</f>
        <v/>
      </c>
      <c r="AN105">
        <f>IF($AM105=1,SUMPRODUCT(--($AQ$2:$AQ$1001&lt;$AQ105))+1,"")</f>
        <v/>
      </c>
      <c r="AO105">
        <f>IF($D105="","",IF(OR($T105=TRUE(),$T105="TRUE"),1,0))</f>
        <v/>
      </c>
      <c r="AP105">
        <f>IF($D105="","",IF($Z105="Yes",1,0))</f>
        <v/>
      </c>
      <c r="AQ105">
        <f>IF($AM105=1,IFERROR(IF(VALUE($D105)&lt;100000000,VALUE($D105),1000000000),IFERROR(IF(VALUE(MID($D105,2,20))&lt;100000000,VALUE(MID($D105,2,20)),1000000000),1000000000))+ROW()/100000,"")</f>
        <v/>
      </c>
    </row>
    <row r="106">
      <c r="F106" s="11" t="n"/>
      <c r="P106" s="7">
        <f>IF($D106="","",O106*X106/100)</f>
        <v/>
      </c>
      <c r="Q106" s="7" t="n"/>
      <c r="W106" s="7" t="n"/>
      <c r="X106" s="7" t="n"/>
      <c r="AA106">
        <f>IF($D106="","",IF($AP106=1,0,IF($AO106=1,Settings!$C$6,Settings!$C$7))*100)</f>
        <v/>
      </c>
      <c r="AB106" s="7">
        <f>IF($D106="","",X106*AA106/100)</f>
        <v/>
      </c>
      <c r="AC106" s="7">
        <f>IF($D106="","",X106-AB106)</f>
        <v/>
      </c>
      <c r="AD106" s="7">
        <f>IF($D106="","",AC106-P106)</f>
        <v/>
      </c>
      <c r="AH106" s="7" t="n"/>
      <c r="AK106" s="11" t="n"/>
      <c r="AM106">
        <f>IF($D106="","",IF(COUNTIF($D$2:$D106,$D106)=1,1,0))</f>
        <v/>
      </c>
      <c r="AN106">
        <f>IF($AM106=1,SUMPRODUCT(--($AQ$2:$AQ$1001&lt;$AQ106))+1,"")</f>
        <v/>
      </c>
      <c r="AO106">
        <f>IF($D106="","",IF(OR($T106=TRUE(),$T106="TRUE"),1,0))</f>
        <v/>
      </c>
      <c r="AP106">
        <f>IF($D106="","",IF($Z106="Yes",1,0))</f>
        <v/>
      </c>
      <c r="AQ106">
        <f>IF($AM106=1,IFERROR(IF(VALUE($D106)&lt;100000000,VALUE($D106),1000000000),IFERROR(IF(VALUE(MID($D106,2,20))&lt;100000000,VALUE(MID($D106,2,20)),1000000000),1000000000))+ROW()/100000,"")</f>
        <v/>
      </c>
    </row>
    <row r="107">
      <c r="F107" s="11" t="n"/>
      <c r="P107" s="7">
        <f>IF($D107="","",O107*X107/100)</f>
        <v/>
      </c>
      <c r="Q107" s="7" t="n"/>
      <c r="W107" s="7" t="n"/>
      <c r="X107" s="7" t="n"/>
      <c r="AA107">
        <f>IF($D107="","",IF($AP107=1,0,IF($AO107=1,Settings!$C$6,Settings!$C$7))*100)</f>
        <v/>
      </c>
      <c r="AB107" s="7">
        <f>IF($D107="","",X107*AA107/100)</f>
        <v/>
      </c>
      <c r="AC107" s="7">
        <f>IF($D107="","",X107-AB107)</f>
        <v/>
      </c>
      <c r="AD107" s="7">
        <f>IF($D107="","",AC107-P107)</f>
        <v/>
      </c>
      <c r="AH107" s="7" t="n"/>
      <c r="AK107" s="11" t="n"/>
      <c r="AM107">
        <f>IF($D107="","",IF(COUNTIF($D$2:$D107,$D107)=1,1,0))</f>
        <v/>
      </c>
      <c r="AN107">
        <f>IF($AM107=1,SUMPRODUCT(--($AQ$2:$AQ$1001&lt;$AQ107))+1,"")</f>
        <v/>
      </c>
      <c r="AO107">
        <f>IF($D107="","",IF(OR($T107=TRUE(),$T107="TRUE"),1,0))</f>
        <v/>
      </c>
      <c r="AP107">
        <f>IF($D107="","",IF($Z107="Yes",1,0))</f>
        <v/>
      </c>
      <c r="AQ107">
        <f>IF($AM107=1,IFERROR(IF(VALUE($D107)&lt;100000000,VALUE($D107),1000000000),IFERROR(IF(VALUE(MID($D107,2,20))&lt;100000000,VALUE(MID($D107,2,20)),1000000000),1000000000))+ROW()/100000,"")</f>
        <v/>
      </c>
    </row>
    <row r="108">
      <c r="F108" s="11" t="n"/>
      <c r="P108" s="7">
        <f>IF($D108="","",O108*X108/100)</f>
        <v/>
      </c>
      <c r="Q108" s="7" t="n"/>
      <c r="W108" s="7" t="n"/>
      <c r="X108" s="7" t="n"/>
      <c r="AA108">
        <f>IF($D108="","",IF($AP108=1,0,IF($AO108=1,Settings!$C$6,Settings!$C$7))*100)</f>
        <v/>
      </c>
      <c r="AB108" s="7">
        <f>IF($D108="","",X108*AA108/100)</f>
        <v/>
      </c>
      <c r="AC108" s="7">
        <f>IF($D108="","",X108-AB108)</f>
        <v/>
      </c>
      <c r="AD108" s="7">
        <f>IF($D108="","",AC108-P108)</f>
        <v/>
      </c>
      <c r="AH108" s="7" t="n"/>
      <c r="AK108" s="11" t="n"/>
      <c r="AM108">
        <f>IF($D108="","",IF(COUNTIF($D$2:$D108,$D108)=1,1,0))</f>
        <v/>
      </c>
      <c r="AN108">
        <f>IF($AM108=1,SUMPRODUCT(--($AQ$2:$AQ$1001&lt;$AQ108))+1,"")</f>
        <v/>
      </c>
      <c r="AO108">
        <f>IF($D108="","",IF(OR($T108=TRUE(),$T108="TRUE"),1,0))</f>
        <v/>
      </c>
      <c r="AP108">
        <f>IF($D108="","",IF($Z108="Yes",1,0))</f>
        <v/>
      </c>
      <c r="AQ108">
        <f>IF($AM108=1,IFERROR(IF(VALUE($D108)&lt;100000000,VALUE($D108),1000000000),IFERROR(IF(VALUE(MID($D108,2,20))&lt;100000000,VALUE(MID($D108,2,20)),1000000000),1000000000))+ROW()/100000,"")</f>
        <v/>
      </c>
    </row>
    <row r="109">
      <c r="F109" s="11" t="n"/>
      <c r="P109" s="7">
        <f>IF($D109="","",O109*X109/100)</f>
        <v/>
      </c>
      <c r="Q109" s="7" t="n"/>
      <c r="W109" s="7" t="n"/>
      <c r="X109" s="7" t="n"/>
      <c r="AA109">
        <f>IF($D109="","",IF($AP109=1,0,IF($AO109=1,Settings!$C$6,Settings!$C$7))*100)</f>
        <v/>
      </c>
      <c r="AB109" s="7">
        <f>IF($D109="","",X109*AA109/100)</f>
        <v/>
      </c>
      <c r="AC109" s="7">
        <f>IF($D109="","",X109-AB109)</f>
        <v/>
      </c>
      <c r="AD109" s="7">
        <f>IF($D109="","",AC109-P109)</f>
        <v/>
      </c>
      <c r="AH109" s="7" t="n"/>
      <c r="AK109" s="11" t="n"/>
      <c r="AM109">
        <f>IF($D109="","",IF(COUNTIF($D$2:$D109,$D109)=1,1,0))</f>
        <v/>
      </c>
      <c r="AN109">
        <f>IF($AM109=1,SUMPRODUCT(--($AQ$2:$AQ$1001&lt;$AQ109))+1,"")</f>
        <v/>
      </c>
      <c r="AO109">
        <f>IF($D109="","",IF(OR($T109=TRUE(),$T109="TRUE"),1,0))</f>
        <v/>
      </c>
      <c r="AP109">
        <f>IF($D109="","",IF($Z109="Yes",1,0))</f>
        <v/>
      </c>
      <c r="AQ109">
        <f>IF($AM109=1,IFERROR(IF(VALUE($D109)&lt;100000000,VALUE($D109),1000000000),IFERROR(IF(VALUE(MID($D109,2,20))&lt;100000000,VALUE(MID($D109,2,20)),1000000000),1000000000))+ROW()/100000,"")</f>
        <v/>
      </c>
    </row>
    <row r="110">
      <c r="F110" s="11" t="n"/>
      <c r="P110" s="7">
        <f>IF($D110="","",O110*X110/100)</f>
        <v/>
      </c>
      <c r="Q110" s="7" t="n"/>
      <c r="W110" s="7" t="n"/>
      <c r="X110" s="7" t="n"/>
      <c r="AA110">
        <f>IF($D110="","",IF($AP110=1,0,IF($AO110=1,Settings!$C$6,Settings!$C$7))*100)</f>
        <v/>
      </c>
      <c r="AB110" s="7">
        <f>IF($D110="","",X110*AA110/100)</f>
        <v/>
      </c>
      <c r="AC110" s="7">
        <f>IF($D110="","",X110-AB110)</f>
        <v/>
      </c>
      <c r="AD110" s="7">
        <f>IF($D110="","",AC110-P110)</f>
        <v/>
      </c>
      <c r="AH110" s="7" t="n"/>
      <c r="AK110" s="11" t="n"/>
      <c r="AM110">
        <f>IF($D110="","",IF(COUNTIF($D$2:$D110,$D110)=1,1,0))</f>
        <v/>
      </c>
      <c r="AN110">
        <f>IF($AM110=1,SUMPRODUCT(--($AQ$2:$AQ$1001&lt;$AQ110))+1,"")</f>
        <v/>
      </c>
      <c r="AO110">
        <f>IF($D110="","",IF(OR($T110=TRUE(),$T110="TRUE"),1,0))</f>
        <v/>
      </c>
      <c r="AP110">
        <f>IF($D110="","",IF($Z110="Yes",1,0))</f>
        <v/>
      </c>
      <c r="AQ110">
        <f>IF($AM110=1,IFERROR(IF(VALUE($D110)&lt;100000000,VALUE($D110),1000000000),IFERROR(IF(VALUE(MID($D110,2,20))&lt;100000000,VALUE(MID($D110,2,20)),1000000000),1000000000))+ROW()/100000,"")</f>
        <v/>
      </c>
    </row>
    <row r="111">
      <c r="F111" s="11" t="n"/>
      <c r="P111" s="7">
        <f>IF($D111="","",O111*X111/100)</f>
        <v/>
      </c>
      <c r="Q111" s="7" t="n"/>
      <c r="W111" s="7" t="n"/>
      <c r="X111" s="7" t="n"/>
      <c r="AA111">
        <f>IF($D111="","",IF($AP111=1,0,IF($AO111=1,Settings!$C$6,Settings!$C$7))*100)</f>
        <v/>
      </c>
      <c r="AB111" s="7">
        <f>IF($D111="","",X111*AA111/100)</f>
        <v/>
      </c>
      <c r="AC111" s="7">
        <f>IF($D111="","",X111-AB111)</f>
        <v/>
      </c>
      <c r="AD111" s="7">
        <f>IF($D111="","",AC111-P111)</f>
        <v/>
      </c>
      <c r="AH111" s="7" t="n"/>
      <c r="AK111" s="11" t="n"/>
      <c r="AM111">
        <f>IF($D111="","",IF(COUNTIF($D$2:$D111,$D111)=1,1,0))</f>
        <v/>
      </c>
      <c r="AN111">
        <f>IF($AM111=1,SUMPRODUCT(--($AQ$2:$AQ$1001&lt;$AQ111))+1,"")</f>
        <v/>
      </c>
      <c r="AO111">
        <f>IF($D111="","",IF(OR($T111=TRUE(),$T111="TRUE"),1,0))</f>
        <v/>
      </c>
      <c r="AP111">
        <f>IF($D111="","",IF($Z111="Yes",1,0))</f>
        <v/>
      </c>
      <c r="AQ111">
        <f>IF($AM111=1,IFERROR(IF(VALUE($D111)&lt;100000000,VALUE($D111),1000000000),IFERROR(IF(VALUE(MID($D111,2,20))&lt;100000000,VALUE(MID($D111,2,20)),1000000000),1000000000))+ROW()/100000,"")</f>
        <v/>
      </c>
    </row>
    <row r="112">
      <c r="F112" s="11" t="n"/>
      <c r="P112" s="7">
        <f>IF($D112="","",O112*X112/100)</f>
        <v/>
      </c>
      <c r="Q112" s="7" t="n"/>
      <c r="W112" s="7" t="n"/>
      <c r="X112" s="7" t="n"/>
      <c r="AA112">
        <f>IF($D112="","",IF($AP112=1,0,IF($AO112=1,Settings!$C$6,Settings!$C$7))*100)</f>
        <v/>
      </c>
      <c r="AB112" s="7">
        <f>IF($D112="","",X112*AA112/100)</f>
        <v/>
      </c>
      <c r="AC112" s="7">
        <f>IF($D112="","",X112-AB112)</f>
        <v/>
      </c>
      <c r="AD112" s="7">
        <f>IF($D112="","",AC112-P112)</f>
        <v/>
      </c>
      <c r="AH112" s="7" t="n"/>
      <c r="AK112" s="11" t="n"/>
      <c r="AM112">
        <f>IF($D112="","",IF(COUNTIF($D$2:$D112,$D112)=1,1,0))</f>
        <v/>
      </c>
      <c r="AN112">
        <f>IF($AM112=1,SUMPRODUCT(--($AQ$2:$AQ$1001&lt;$AQ112))+1,"")</f>
        <v/>
      </c>
      <c r="AO112">
        <f>IF($D112="","",IF(OR($T112=TRUE(),$T112="TRUE"),1,0))</f>
        <v/>
      </c>
      <c r="AP112">
        <f>IF($D112="","",IF($Z112="Yes",1,0))</f>
        <v/>
      </c>
      <c r="AQ112">
        <f>IF($AM112=1,IFERROR(IF(VALUE($D112)&lt;100000000,VALUE($D112),1000000000),IFERROR(IF(VALUE(MID($D112,2,20))&lt;100000000,VALUE(MID($D112,2,20)),1000000000),1000000000))+ROW()/100000,"")</f>
        <v/>
      </c>
    </row>
    <row r="113">
      <c r="F113" s="11" t="n"/>
      <c r="P113" s="7">
        <f>IF($D113="","",O113*X113/100)</f>
        <v/>
      </c>
      <c r="Q113" s="7" t="n"/>
      <c r="W113" s="7" t="n"/>
      <c r="X113" s="7" t="n"/>
      <c r="AA113">
        <f>IF($D113="","",IF($AP113=1,0,IF($AO113=1,Settings!$C$6,Settings!$C$7))*100)</f>
        <v/>
      </c>
      <c r="AB113" s="7">
        <f>IF($D113="","",X113*AA113/100)</f>
        <v/>
      </c>
      <c r="AC113" s="7">
        <f>IF($D113="","",X113-AB113)</f>
        <v/>
      </c>
      <c r="AD113" s="7">
        <f>IF($D113="","",AC113-P113)</f>
        <v/>
      </c>
      <c r="AH113" s="7" t="n"/>
      <c r="AK113" s="11" t="n"/>
      <c r="AM113">
        <f>IF($D113="","",IF(COUNTIF($D$2:$D113,$D113)=1,1,0))</f>
        <v/>
      </c>
      <c r="AN113">
        <f>IF($AM113=1,SUMPRODUCT(--($AQ$2:$AQ$1001&lt;$AQ113))+1,"")</f>
        <v/>
      </c>
      <c r="AO113">
        <f>IF($D113="","",IF(OR($T113=TRUE(),$T113="TRUE"),1,0))</f>
        <v/>
      </c>
      <c r="AP113">
        <f>IF($D113="","",IF($Z113="Yes",1,0))</f>
        <v/>
      </c>
      <c r="AQ113">
        <f>IF($AM113=1,IFERROR(IF(VALUE($D113)&lt;100000000,VALUE($D113),1000000000),IFERROR(IF(VALUE(MID($D113,2,20))&lt;100000000,VALUE(MID($D113,2,20)),1000000000),1000000000))+ROW()/100000,"")</f>
        <v/>
      </c>
    </row>
    <row r="114">
      <c r="F114" s="11" t="n"/>
      <c r="P114" s="7">
        <f>IF($D114="","",O114*X114/100)</f>
        <v/>
      </c>
      <c r="Q114" s="7" t="n"/>
      <c r="W114" s="7" t="n"/>
      <c r="X114" s="7" t="n"/>
      <c r="AA114">
        <f>IF($D114="","",IF($AP114=1,0,IF($AO114=1,Settings!$C$6,Settings!$C$7))*100)</f>
        <v/>
      </c>
      <c r="AB114" s="7">
        <f>IF($D114="","",X114*AA114/100)</f>
        <v/>
      </c>
      <c r="AC114" s="7">
        <f>IF($D114="","",X114-AB114)</f>
        <v/>
      </c>
      <c r="AD114" s="7">
        <f>IF($D114="","",AC114-P114)</f>
        <v/>
      </c>
      <c r="AH114" s="7" t="n"/>
      <c r="AK114" s="11" t="n"/>
      <c r="AM114">
        <f>IF($D114="","",IF(COUNTIF($D$2:$D114,$D114)=1,1,0))</f>
        <v/>
      </c>
      <c r="AN114">
        <f>IF($AM114=1,SUMPRODUCT(--($AQ$2:$AQ$1001&lt;$AQ114))+1,"")</f>
        <v/>
      </c>
      <c r="AO114">
        <f>IF($D114="","",IF(OR($T114=TRUE(),$T114="TRUE"),1,0))</f>
        <v/>
      </c>
      <c r="AP114">
        <f>IF($D114="","",IF($Z114="Yes",1,0))</f>
        <v/>
      </c>
      <c r="AQ114">
        <f>IF($AM114=1,IFERROR(IF(VALUE($D114)&lt;100000000,VALUE($D114),1000000000),IFERROR(IF(VALUE(MID($D114,2,20))&lt;100000000,VALUE(MID($D114,2,20)),1000000000),1000000000))+ROW()/100000,"")</f>
        <v/>
      </c>
    </row>
    <row r="115">
      <c r="F115" s="11" t="n"/>
      <c r="P115" s="7">
        <f>IF($D115="","",O115*X115/100)</f>
        <v/>
      </c>
      <c r="Q115" s="7" t="n"/>
      <c r="W115" s="7" t="n"/>
      <c r="X115" s="7" t="n"/>
      <c r="AA115">
        <f>IF($D115="","",IF($AP115=1,0,IF($AO115=1,Settings!$C$6,Settings!$C$7))*100)</f>
        <v/>
      </c>
      <c r="AB115" s="7">
        <f>IF($D115="","",X115*AA115/100)</f>
        <v/>
      </c>
      <c r="AC115" s="7">
        <f>IF($D115="","",X115-AB115)</f>
        <v/>
      </c>
      <c r="AD115" s="7">
        <f>IF($D115="","",AC115-P115)</f>
        <v/>
      </c>
      <c r="AH115" s="7" t="n"/>
      <c r="AK115" s="11" t="n"/>
      <c r="AM115">
        <f>IF($D115="","",IF(COUNTIF($D$2:$D115,$D115)=1,1,0))</f>
        <v/>
      </c>
      <c r="AN115">
        <f>IF($AM115=1,SUMPRODUCT(--($AQ$2:$AQ$1001&lt;$AQ115))+1,"")</f>
        <v/>
      </c>
      <c r="AO115">
        <f>IF($D115="","",IF(OR($T115=TRUE(),$T115="TRUE"),1,0))</f>
        <v/>
      </c>
      <c r="AP115">
        <f>IF($D115="","",IF($Z115="Yes",1,0))</f>
        <v/>
      </c>
      <c r="AQ115">
        <f>IF($AM115=1,IFERROR(IF(VALUE($D115)&lt;100000000,VALUE($D115),1000000000),IFERROR(IF(VALUE(MID($D115,2,20))&lt;100000000,VALUE(MID($D115,2,20)),1000000000),1000000000))+ROW()/100000,"")</f>
        <v/>
      </c>
    </row>
    <row r="116">
      <c r="F116" s="11" t="n"/>
      <c r="P116" s="7">
        <f>IF($D116="","",O116*X116/100)</f>
        <v/>
      </c>
      <c r="Q116" s="7" t="n"/>
      <c r="W116" s="7" t="n"/>
      <c r="X116" s="7" t="n"/>
      <c r="AA116">
        <f>IF($D116="","",IF($AP116=1,0,IF($AO116=1,Settings!$C$6,Settings!$C$7))*100)</f>
        <v/>
      </c>
      <c r="AB116" s="7">
        <f>IF($D116="","",X116*AA116/100)</f>
        <v/>
      </c>
      <c r="AC116" s="7">
        <f>IF($D116="","",X116-AB116)</f>
        <v/>
      </c>
      <c r="AD116" s="7">
        <f>IF($D116="","",AC116-P116)</f>
        <v/>
      </c>
      <c r="AH116" s="7" t="n"/>
      <c r="AK116" s="11" t="n"/>
      <c r="AM116">
        <f>IF($D116="","",IF(COUNTIF($D$2:$D116,$D116)=1,1,0))</f>
        <v/>
      </c>
      <c r="AN116">
        <f>IF($AM116=1,SUMPRODUCT(--($AQ$2:$AQ$1001&lt;$AQ116))+1,"")</f>
        <v/>
      </c>
      <c r="AO116">
        <f>IF($D116="","",IF(OR($T116=TRUE(),$T116="TRUE"),1,0))</f>
        <v/>
      </c>
      <c r="AP116">
        <f>IF($D116="","",IF($Z116="Yes",1,0))</f>
        <v/>
      </c>
      <c r="AQ116">
        <f>IF($AM116=1,IFERROR(IF(VALUE($D116)&lt;100000000,VALUE($D116),1000000000),IFERROR(IF(VALUE(MID($D116,2,20))&lt;100000000,VALUE(MID($D116,2,20)),1000000000),1000000000))+ROW()/100000,"")</f>
        <v/>
      </c>
    </row>
    <row r="117">
      <c r="F117" s="11" t="n"/>
      <c r="P117" s="7">
        <f>IF($D117="","",O117*X117/100)</f>
        <v/>
      </c>
      <c r="Q117" s="7" t="n"/>
      <c r="W117" s="7" t="n"/>
      <c r="X117" s="7" t="n"/>
      <c r="AA117">
        <f>IF($D117="","",IF($AP117=1,0,IF($AO117=1,Settings!$C$6,Settings!$C$7))*100)</f>
        <v/>
      </c>
      <c r="AB117" s="7">
        <f>IF($D117="","",X117*AA117/100)</f>
        <v/>
      </c>
      <c r="AC117" s="7">
        <f>IF($D117="","",X117-AB117)</f>
        <v/>
      </c>
      <c r="AD117" s="7">
        <f>IF($D117="","",AC117-P117)</f>
        <v/>
      </c>
      <c r="AH117" s="7" t="n"/>
      <c r="AK117" s="11" t="n"/>
      <c r="AM117">
        <f>IF($D117="","",IF(COUNTIF($D$2:$D117,$D117)=1,1,0))</f>
        <v/>
      </c>
      <c r="AN117">
        <f>IF($AM117=1,SUMPRODUCT(--($AQ$2:$AQ$1001&lt;$AQ117))+1,"")</f>
        <v/>
      </c>
      <c r="AO117">
        <f>IF($D117="","",IF(OR($T117=TRUE(),$T117="TRUE"),1,0))</f>
        <v/>
      </c>
      <c r="AP117">
        <f>IF($D117="","",IF($Z117="Yes",1,0))</f>
        <v/>
      </c>
      <c r="AQ117">
        <f>IF($AM117=1,IFERROR(IF(VALUE($D117)&lt;100000000,VALUE($D117),1000000000),IFERROR(IF(VALUE(MID($D117,2,20))&lt;100000000,VALUE(MID($D117,2,20)),1000000000),1000000000))+ROW()/100000,"")</f>
        <v/>
      </c>
    </row>
    <row r="118">
      <c r="F118" s="11" t="n"/>
      <c r="P118" s="7">
        <f>IF($D118="","",O118*X118/100)</f>
        <v/>
      </c>
      <c r="Q118" s="7" t="n"/>
      <c r="W118" s="7" t="n"/>
      <c r="X118" s="7" t="n"/>
      <c r="AA118">
        <f>IF($D118="","",IF($AP118=1,0,IF($AO118=1,Settings!$C$6,Settings!$C$7))*100)</f>
        <v/>
      </c>
      <c r="AB118" s="7">
        <f>IF($D118="","",X118*AA118/100)</f>
        <v/>
      </c>
      <c r="AC118" s="7">
        <f>IF($D118="","",X118-AB118)</f>
        <v/>
      </c>
      <c r="AD118" s="7">
        <f>IF($D118="","",AC118-P118)</f>
        <v/>
      </c>
      <c r="AH118" s="7" t="n"/>
      <c r="AK118" s="11" t="n"/>
      <c r="AM118">
        <f>IF($D118="","",IF(COUNTIF($D$2:$D118,$D118)=1,1,0))</f>
        <v/>
      </c>
      <c r="AN118">
        <f>IF($AM118=1,SUMPRODUCT(--($AQ$2:$AQ$1001&lt;$AQ118))+1,"")</f>
        <v/>
      </c>
      <c r="AO118">
        <f>IF($D118="","",IF(OR($T118=TRUE(),$T118="TRUE"),1,0))</f>
        <v/>
      </c>
      <c r="AP118">
        <f>IF($D118="","",IF($Z118="Yes",1,0))</f>
        <v/>
      </c>
      <c r="AQ118">
        <f>IF($AM118=1,IFERROR(IF(VALUE($D118)&lt;100000000,VALUE($D118),1000000000),IFERROR(IF(VALUE(MID($D118,2,20))&lt;100000000,VALUE(MID($D118,2,20)),1000000000),1000000000))+ROW()/100000,"")</f>
        <v/>
      </c>
    </row>
    <row r="119">
      <c r="F119" s="11" t="n"/>
      <c r="P119" s="7">
        <f>IF($D119="","",O119*X119/100)</f>
        <v/>
      </c>
      <c r="Q119" s="7" t="n"/>
      <c r="W119" s="7" t="n"/>
      <c r="X119" s="7" t="n"/>
      <c r="AA119">
        <f>IF($D119="","",IF($AP119=1,0,IF($AO119=1,Settings!$C$6,Settings!$C$7))*100)</f>
        <v/>
      </c>
      <c r="AB119" s="7">
        <f>IF($D119="","",X119*AA119/100)</f>
        <v/>
      </c>
      <c r="AC119" s="7">
        <f>IF($D119="","",X119-AB119)</f>
        <v/>
      </c>
      <c r="AD119" s="7">
        <f>IF($D119="","",AC119-P119)</f>
        <v/>
      </c>
      <c r="AH119" s="7" t="n"/>
      <c r="AK119" s="11" t="n"/>
      <c r="AM119">
        <f>IF($D119="","",IF(COUNTIF($D$2:$D119,$D119)=1,1,0))</f>
        <v/>
      </c>
      <c r="AN119">
        <f>IF($AM119=1,SUMPRODUCT(--($AQ$2:$AQ$1001&lt;$AQ119))+1,"")</f>
        <v/>
      </c>
      <c r="AO119">
        <f>IF($D119="","",IF(OR($T119=TRUE(),$T119="TRUE"),1,0))</f>
        <v/>
      </c>
      <c r="AP119">
        <f>IF($D119="","",IF($Z119="Yes",1,0))</f>
        <v/>
      </c>
      <c r="AQ119">
        <f>IF($AM119=1,IFERROR(IF(VALUE($D119)&lt;100000000,VALUE($D119),1000000000),IFERROR(IF(VALUE(MID($D119,2,20))&lt;100000000,VALUE(MID($D119,2,20)),1000000000),1000000000))+ROW()/100000,"")</f>
        <v/>
      </c>
    </row>
    <row r="120">
      <c r="F120" s="11" t="n"/>
      <c r="P120" s="7">
        <f>IF($D120="","",O120*X120/100)</f>
        <v/>
      </c>
      <c r="Q120" s="7" t="n"/>
      <c r="W120" s="7" t="n"/>
      <c r="X120" s="7" t="n"/>
      <c r="AA120">
        <f>IF($D120="","",IF($AP120=1,0,IF($AO120=1,Settings!$C$6,Settings!$C$7))*100)</f>
        <v/>
      </c>
      <c r="AB120" s="7">
        <f>IF($D120="","",X120*AA120/100)</f>
        <v/>
      </c>
      <c r="AC120" s="7">
        <f>IF($D120="","",X120-AB120)</f>
        <v/>
      </c>
      <c r="AD120" s="7">
        <f>IF($D120="","",AC120-P120)</f>
        <v/>
      </c>
      <c r="AH120" s="7" t="n"/>
      <c r="AK120" s="11" t="n"/>
      <c r="AM120">
        <f>IF($D120="","",IF(COUNTIF($D$2:$D120,$D120)=1,1,0))</f>
        <v/>
      </c>
      <c r="AN120">
        <f>IF($AM120=1,SUMPRODUCT(--($AQ$2:$AQ$1001&lt;$AQ120))+1,"")</f>
        <v/>
      </c>
      <c r="AO120">
        <f>IF($D120="","",IF(OR($T120=TRUE(),$T120="TRUE"),1,0))</f>
        <v/>
      </c>
      <c r="AP120">
        <f>IF($D120="","",IF($Z120="Yes",1,0))</f>
        <v/>
      </c>
      <c r="AQ120">
        <f>IF($AM120=1,IFERROR(IF(VALUE($D120)&lt;100000000,VALUE($D120),1000000000),IFERROR(IF(VALUE(MID($D120,2,20))&lt;100000000,VALUE(MID($D120,2,20)),1000000000),1000000000))+ROW()/100000,"")</f>
        <v/>
      </c>
    </row>
    <row r="121">
      <c r="F121" s="11" t="n"/>
      <c r="P121" s="7">
        <f>IF($D121="","",O121*X121/100)</f>
        <v/>
      </c>
      <c r="Q121" s="7" t="n"/>
      <c r="W121" s="7" t="n"/>
      <c r="X121" s="7" t="n"/>
      <c r="AA121">
        <f>IF($D121="","",IF($AP121=1,0,IF($AO121=1,Settings!$C$6,Settings!$C$7))*100)</f>
        <v/>
      </c>
      <c r="AB121" s="7">
        <f>IF($D121="","",X121*AA121/100)</f>
        <v/>
      </c>
      <c r="AC121" s="7">
        <f>IF($D121="","",X121-AB121)</f>
        <v/>
      </c>
      <c r="AD121" s="7">
        <f>IF($D121="","",AC121-P121)</f>
        <v/>
      </c>
      <c r="AH121" s="7" t="n"/>
      <c r="AK121" s="11" t="n"/>
      <c r="AM121">
        <f>IF($D121="","",IF(COUNTIF($D$2:$D121,$D121)=1,1,0))</f>
        <v/>
      </c>
      <c r="AN121">
        <f>IF($AM121=1,SUMPRODUCT(--($AQ$2:$AQ$1001&lt;$AQ121))+1,"")</f>
        <v/>
      </c>
      <c r="AO121">
        <f>IF($D121="","",IF(OR($T121=TRUE(),$T121="TRUE"),1,0))</f>
        <v/>
      </c>
      <c r="AP121">
        <f>IF($D121="","",IF($Z121="Yes",1,0))</f>
        <v/>
      </c>
      <c r="AQ121">
        <f>IF($AM121=1,IFERROR(IF(VALUE($D121)&lt;100000000,VALUE($D121),1000000000),IFERROR(IF(VALUE(MID($D121,2,20))&lt;100000000,VALUE(MID($D121,2,20)),1000000000),1000000000))+ROW()/100000,"")</f>
        <v/>
      </c>
    </row>
    <row r="122">
      <c r="F122" s="11" t="n"/>
      <c r="P122" s="7">
        <f>IF($D122="","",O122*X122/100)</f>
        <v/>
      </c>
      <c r="Q122" s="7" t="n"/>
      <c r="W122" s="7" t="n"/>
      <c r="X122" s="7" t="n"/>
      <c r="AA122">
        <f>IF($D122="","",IF($AP122=1,0,IF($AO122=1,Settings!$C$6,Settings!$C$7))*100)</f>
        <v/>
      </c>
      <c r="AB122" s="7">
        <f>IF($D122="","",X122*AA122/100)</f>
        <v/>
      </c>
      <c r="AC122" s="7">
        <f>IF($D122="","",X122-AB122)</f>
        <v/>
      </c>
      <c r="AD122" s="7">
        <f>IF($D122="","",AC122-P122)</f>
        <v/>
      </c>
      <c r="AH122" s="7" t="n"/>
      <c r="AK122" s="11" t="n"/>
      <c r="AM122">
        <f>IF($D122="","",IF(COUNTIF($D$2:$D122,$D122)=1,1,0))</f>
        <v/>
      </c>
      <c r="AN122">
        <f>IF($AM122=1,SUMPRODUCT(--($AQ$2:$AQ$1001&lt;$AQ122))+1,"")</f>
        <v/>
      </c>
      <c r="AO122">
        <f>IF($D122="","",IF(OR($T122=TRUE(),$T122="TRUE"),1,0))</f>
        <v/>
      </c>
      <c r="AP122">
        <f>IF($D122="","",IF($Z122="Yes",1,0))</f>
        <v/>
      </c>
      <c r="AQ122">
        <f>IF($AM122=1,IFERROR(IF(VALUE($D122)&lt;100000000,VALUE($D122),1000000000),IFERROR(IF(VALUE(MID($D122,2,20))&lt;100000000,VALUE(MID($D122,2,20)),1000000000),1000000000))+ROW()/100000,"")</f>
        <v/>
      </c>
    </row>
    <row r="123">
      <c r="F123" s="11" t="n"/>
      <c r="P123" s="7">
        <f>IF($D123="","",O123*X123/100)</f>
        <v/>
      </c>
      <c r="Q123" s="7" t="n"/>
      <c r="W123" s="7" t="n"/>
      <c r="X123" s="7" t="n"/>
      <c r="AA123">
        <f>IF($D123="","",IF($AP123=1,0,IF($AO123=1,Settings!$C$6,Settings!$C$7))*100)</f>
        <v/>
      </c>
      <c r="AB123" s="7">
        <f>IF($D123="","",X123*AA123/100)</f>
        <v/>
      </c>
      <c r="AC123" s="7">
        <f>IF($D123="","",X123-AB123)</f>
        <v/>
      </c>
      <c r="AD123" s="7">
        <f>IF($D123="","",AC123-P123)</f>
        <v/>
      </c>
      <c r="AH123" s="7" t="n"/>
      <c r="AK123" s="11" t="n"/>
      <c r="AM123">
        <f>IF($D123="","",IF(COUNTIF($D$2:$D123,$D123)=1,1,0))</f>
        <v/>
      </c>
      <c r="AN123">
        <f>IF($AM123=1,SUMPRODUCT(--($AQ$2:$AQ$1001&lt;$AQ123))+1,"")</f>
        <v/>
      </c>
      <c r="AO123">
        <f>IF($D123="","",IF(OR($T123=TRUE(),$T123="TRUE"),1,0))</f>
        <v/>
      </c>
      <c r="AP123">
        <f>IF($D123="","",IF($Z123="Yes",1,0))</f>
        <v/>
      </c>
      <c r="AQ123">
        <f>IF($AM123=1,IFERROR(IF(VALUE($D123)&lt;100000000,VALUE($D123),1000000000),IFERROR(IF(VALUE(MID($D123,2,20))&lt;100000000,VALUE(MID($D123,2,20)),1000000000),1000000000))+ROW()/100000,"")</f>
        <v/>
      </c>
    </row>
    <row r="124">
      <c r="F124" s="11" t="n"/>
      <c r="P124" s="7">
        <f>IF($D124="","",O124*X124/100)</f>
        <v/>
      </c>
      <c r="Q124" s="7" t="n"/>
      <c r="W124" s="7" t="n"/>
      <c r="X124" s="7" t="n"/>
      <c r="AA124">
        <f>IF($D124="","",IF($AP124=1,0,IF($AO124=1,Settings!$C$6,Settings!$C$7))*100)</f>
        <v/>
      </c>
      <c r="AB124" s="7">
        <f>IF($D124="","",X124*AA124/100)</f>
        <v/>
      </c>
      <c r="AC124" s="7">
        <f>IF($D124="","",X124-AB124)</f>
        <v/>
      </c>
      <c r="AD124" s="7">
        <f>IF($D124="","",AC124-P124)</f>
        <v/>
      </c>
      <c r="AH124" s="7" t="n"/>
      <c r="AK124" s="11" t="n"/>
      <c r="AM124">
        <f>IF($D124="","",IF(COUNTIF($D$2:$D124,$D124)=1,1,0))</f>
        <v/>
      </c>
      <c r="AN124">
        <f>IF($AM124=1,SUMPRODUCT(--($AQ$2:$AQ$1001&lt;$AQ124))+1,"")</f>
        <v/>
      </c>
      <c r="AO124">
        <f>IF($D124="","",IF(OR($T124=TRUE(),$T124="TRUE"),1,0))</f>
        <v/>
      </c>
      <c r="AP124">
        <f>IF($D124="","",IF($Z124="Yes",1,0))</f>
        <v/>
      </c>
      <c r="AQ124">
        <f>IF($AM124=1,IFERROR(IF(VALUE($D124)&lt;100000000,VALUE($D124),1000000000),IFERROR(IF(VALUE(MID($D124,2,20))&lt;100000000,VALUE(MID($D124,2,20)),1000000000),1000000000))+ROW()/100000,"")</f>
        <v/>
      </c>
    </row>
    <row r="125">
      <c r="F125" s="11" t="n"/>
      <c r="P125" s="7">
        <f>IF($D125="","",O125*X125/100)</f>
        <v/>
      </c>
      <c r="Q125" s="7" t="n"/>
      <c r="W125" s="7" t="n"/>
      <c r="X125" s="7" t="n"/>
      <c r="AA125">
        <f>IF($D125="","",IF($AP125=1,0,IF($AO125=1,Settings!$C$6,Settings!$C$7))*100)</f>
        <v/>
      </c>
      <c r="AB125" s="7">
        <f>IF($D125="","",X125*AA125/100)</f>
        <v/>
      </c>
      <c r="AC125" s="7">
        <f>IF($D125="","",X125-AB125)</f>
        <v/>
      </c>
      <c r="AD125" s="7">
        <f>IF($D125="","",AC125-P125)</f>
        <v/>
      </c>
      <c r="AH125" s="7" t="n"/>
      <c r="AK125" s="11" t="n"/>
      <c r="AM125">
        <f>IF($D125="","",IF(COUNTIF($D$2:$D125,$D125)=1,1,0))</f>
        <v/>
      </c>
      <c r="AN125">
        <f>IF($AM125=1,SUMPRODUCT(--($AQ$2:$AQ$1001&lt;$AQ125))+1,"")</f>
        <v/>
      </c>
      <c r="AO125">
        <f>IF($D125="","",IF(OR($T125=TRUE(),$T125="TRUE"),1,0))</f>
        <v/>
      </c>
      <c r="AP125">
        <f>IF($D125="","",IF($Z125="Yes",1,0))</f>
        <v/>
      </c>
      <c r="AQ125">
        <f>IF($AM125=1,IFERROR(IF(VALUE($D125)&lt;100000000,VALUE($D125),1000000000),IFERROR(IF(VALUE(MID($D125,2,20))&lt;100000000,VALUE(MID($D125,2,20)),1000000000),1000000000))+ROW()/100000,"")</f>
        <v/>
      </c>
    </row>
    <row r="126">
      <c r="F126" s="11" t="n"/>
      <c r="P126" s="7">
        <f>IF($D126="","",O126*X126/100)</f>
        <v/>
      </c>
      <c r="Q126" s="7" t="n"/>
      <c r="W126" s="7" t="n"/>
      <c r="X126" s="7" t="n"/>
      <c r="AA126">
        <f>IF($D126="","",IF($AP126=1,0,IF($AO126=1,Settings!$C$6,Settings!$C$7))*100)</f>
        <v/>
      </c>
      <c r="AB126" s="7">
        <f>IF($D126="","",X126*AA126/100)</f>
        <v/>
      </c>
      <c r="AC126" s="7">
        <f>IF($D126="","",X126-AB126)</f>
        <v/>
      </c>
      <c r="AD126" s="7">
        <f>IF($D126="","",AC126-P126)</f>
        <v/>
      </c>
      <c r="AH126" s="7" t="n"/>
      <c r="AK126" s="11" t="n"/>
      <c r="AM126">
        <f>IF($D126="","",IF(COUNTIF($D$2:$D126,$D126)=1,1,0))</f>
        <v/>
      </c>
      <c r="AN126">
        <f>IF($AM126=1,SUMPRODUCT(--($AQ$2:$AQ$1001&lt;$AQ126))+1,"")</f>
        <v/>
      </c>
      <c r="AO126">
        <f>IF($D126="","",IF(OR($T126=TRUE(),$T126="TRUE"),1,0))</f>
        <v/>
      </c>
      <c r="AP126">
        <f>IF($D126="","",IF($Z126="Yes",1,0))</f>
        <v/>
      </c>
      <c r="AQ126">
        <f>IF($AM126=1,IFERROR(IF(VALUE($D126)&lt;100000000,VALUE($D126),1000000000),IFERROR(IF(VALUE(MID($D126,2,20))&lt;100000000,VALUE(MID($D126,2,20)),1000000000),1000000000))+ROW()/100000,"")</f>
        <v/>
      </c>
    </row>
    <row r="127">
      <c r="F127" s="11" t="n"/>
      <c r="P127" s="7">
        <f>IF($D127="","",O127*X127/100)</f>
        <v/>
      </c>
      <c r="Q127" s="7" t="n"/>
      <c r="W127" s="7" t="n"/>
      <c r="X127" s="7" t="n"/>
      <c r="AA127">
        <f>IF($D127="","",IF($AP127=1,0,IF($AO127=1,Settings!$C$6,Settings!$C$7))*100)</f>
        <v/>
      </c>
      <c r="AB127" s="7">
        <f>IF($D127="","",X127*AA127/100)</f>
        <v/>
      </c>
      <c r="AC127" s="7">
        <f>IF($D127="","",X127-AB127)</f>
        <v/>
      </c>
      <c r="AD127" s="7">
        <f>IF($D127="","",AC127-P127)</f>
        <v/>
      </c>
      <c r="AH127" s="7" t="n"/>
      <c r="AK127" s="11" t="n"/>
      <c r="AM127">
        <f>IF($D127="","",IF(COUNTIF($D$2:$D127,$D127)=1,1,0))</f>
        <v/>
      </c>
      <c r="AN127">
        <f>IF($AM127=1,SUMPRODUCT(--($AQ$2:$AQ$1001&lt;$AQ127))+1,"")</f>
        <v/>
      </c>
      <c r="AO127">
        <f>IF($D127="","",IF(OR($T127=TRUE(),$T127="TRUE"),1,0))</f>
        <v/>
      </c>
      <c r="AP127">
        <f>IF($D127="","",IF($Z127="Yes",1,0))</f>
        <v/>
      </c>
      <c r="AQ127">
        <f>IF($AM127=1,IFERROR(IF(VALUE($D127)&lt;100000000,VALUE($D127),1000000000),IFERROR(IF(VALUE(MID($D127,2,20))&lt;100000000,VALUE(MID($D127,2,20)),1000000000),1000000000))+ROW()/100000,"")</f>
        <v/>
      </c>
    </row>
    <row r="128">
      <c r="F128" s="11" t="n"/>
      <c r="P128" s="7">
        <f>IF($D128="","",O128*X128/100)</f>
        <v/>
      </c>
      <c r="Q128" s="7" t="n"/>
      <c r="W128" s="7" t="n"/>
      <c r="X128" s="7" t="n"/>
      <c r="AA128">
        <f>IF($D128="","",IF($AP128=1,0,IF($AO128=1,Settings!$C$6,Settings!$C$7))*100)</f>
        <v/>
      </c>
      <c r="AB128" s="7">
        <f>IF($D128="","",X128*AA128/100)</f>
        <v/>
      </c>
      <c r="AC128" s="7">
        <f>IF($D128="","",X128-AB128)</f>
        <v/>
      </c>
      <c r="AD128" s="7">
        <f>IF($D128="","",AC128-P128)</f>
        <v/>
      </c>
      <c r="AH128" s="7" t="n"/>
      <c r="AK128" s="11" t="n"/>
      <c r="AM128">
        <f>IF($D128="","",IF(COUNTIF($D$2:$D128,$D128)=1,1,0))</f>
        <v/>
      </c>
      <c r="AN128">
        <f>IF($AM128=1,SUMPRODUCT(--($AQ$2:$AQ$1001&lt;$AQ128))+1,"")</f>
        <v/>
      </c>
      <c r="AO128">
        <f>IF($D128="","",IF(OR($T128=TRUE(),$T128="TRUE"),1,0))</f>
        <v/>
      </c>
      <c r="AP128">
        <f>IF($D128="","",IF($Z128="Yes",1,0))</f>
        <v/>
      </c>
      <c r="AQ128">
        <f>IF($AM128=1,IFERROR(IF(VALUE($D128)&lt;100000000,VALUE($D128),1000000000),IFERROR(IF(VALUE(MID($D128,2,20))&lt;100000000,VALUE(MID($D128,2,20)),1000000000),1000000000))+ROW()/100000,"")</f>
        <v/>
      </c>
    </row>
    <row r="129">
      <c r="F129" s="11" t="n"/>
      <c r="P129" s="7">
        <f>IF($D129="","",O129*X129/100)</f>
        <v/>
      </c>
      <c r="Q129" s="7" t="n"/>
      <c r="W129" s="7" t="n"/>
      <c r="X129" s="7" t="n"/>
      <c r="AA129">
        <f>IF($D129="","",IF($AP129=1,0,IF($AO129=1,Settings!$C$6,Settings!$C$7))*100)</f>
        <v/>
      </c>
      <c r="AB129" s="7">
        <f>IF($D129="","",X129*AA129/100)</f>
        <v/>
      </c>
      <c r="AC129" s="7">
        <f>IF($D129="","",X129-AB129)</f>
        <v/>
      </c>
      <c r="AD129" s="7">
        <f>IF($D129="","",AC129-P129)</f>
        <v/>
      </c>
      <c r="AH129" s="7" t="n"/>
      <c r="AK129" s="11" t="n"/>
      <c r="AM129">
        <f>IF($D129="","",IF(COUNTIF($D$2:$D129,$D129)=1,1,0))</f>
        <v/>
      </c>
      <c r="AN129">
        <f>IF($AM129=1,SUMPRODUCT(--($AQ$2:$AQ$1001&lt;$AQ129))+1,"")</f>
        <v/>
      </c>
      <c r="AO129">
        <f>IF($D129="","",IF(OR($T129=TRUE(),$T129="TRUE"),1,0))</f>
        <v/>
      </c>
      <c r="AP129">
        <f>IF($D129="","",IF($Z129="Yes",1,0))</f>
        <v/>
      </c>
      <c r="AQ129">
        <f>IF($AM129=1,IFERROR(IF(VALUE($D129)&lt;100000000,VALUE($D129),1000000000),IFERROR(IF(VALUE(MID($D129,2,20))&lt;100000000,VALUE(MID($D129,2,20)),1000000000),1000000000))+ROW()/100000,"")</f>
        <v/>
      </c>
    </row>
    <row r="130">
      <c r="F130" s="11" t="n"/>
      <c r="P130" s="7">
        <f>IF($D130="","",O130*X130/100)</f>
        <v/>
      </c>
      <c r="Q130" s="7" t="n"/>
      <c r="W130" s="7" t="n"/>
      <c r="X130" s="7" t="n"/>
      <c r="AA130">
        <f>IF($D130="","",IF($AP130=1,0,IF($AO130=1,Settings!$C$6,Settings!$C$7))*100)</f>
        <v/>
      </c>
      <c r="AB130" s="7">
        <f>IF($D130="","",X130*AA130/100)</f>
        <v/>
      </c>
      <c r="AC130" s="7">
        <f>IF($D130="","",X130-AB130)</f>
        <v/>
      </c>
      <c r="AD130" s="7">
        <f>IF($D130="","",AC130-P130)</f>
        <v/>
      </c>
      <c r="AH130" s="7" t="n"/>
      <c r="AK130" s="11" t="n"/>
      <c r="AM130">
        <f>IF($D130="","",IF(COUNTIF($D$2:$D130,$D130)=1,1,0))</f>
        <v/>
      </c>
      <c r="AN130">
        <f>IF($AM130=1,SUMPRODUCT(--($AQ$2:$AQ$1001&lt;$AQ130))+1,"")</f>
        <v/>
      </c>
      <c r="AO130">
        <f>IF($D130="","",IF(OR($T130=TRUE(),$T130="TRUE"),1,0))</f>
        <v/>
      </c>
      <c r="AP130">
        <f>IF($D130="","",IF($Z130="Yes",1,0))</f>
        <v/>
      </c>
      <c r="AQ130">
        <f>IF($AM130=1,IFERROR(IF(VALUE($D130)&lt;100000000,VALUE($D130),1000000000),IFERROR(IF(VALUE(MID($D130,2,20))&lt;100000000,VALUE(MID($D130,2,20)),1000000000),1000000000))+ROW()/100000,"")</f>
        <v/>
      </c>
    </row>
    <row r="131">
      <c r="F131" s="11" t="n"/>
      <c r="P131" s="7">
        <f>IF($D131="","",O131*X131/100)</f>
        <v/>
      </c>
      <c r="Q131" s="7" t="n"/>
      <c r="W131" s="7" t="n"/>
      <c r="X131" s="7" t="n"/>
      <c r="AA131">
        <f>IF($D131="","",IF($AP131=1,0,IF($AO131=1,Settings!$C$6,Settings!$C$7))*100)</f>
        <v/>
      </c>
      <c r="AB131" s="7">
        <f>IF($D131="","",X131*AA131/100)</f>
        <v/>
      </c>
      <c r="AC131" s="7">
        <f>IF($D131="","",X131-AB131)</f>
        <v/>
      </c>
      <c r="AD131" s="7">
        <f>IF($D131="","",AC131-P131)</f>
        <v/>
      </c>
      <c r="AH131" s="7" t="n"/>
      <c r="AK131" s="11" t="n"/>
      <c r="AM131">
        <f>IF($D131="","",IF(COUNTIF($D$2:$D131,$D131)=1,1,0))</f>
        <v/>
      </c>
      <c r="AN131">
        <f>IF($AM131=1,SUMPRODUCT(--($AQ$2:$AQ$1001&lt;$AQ131))+1,"")</f>
        <v/>
      </c>
      <c r="AO131">
        <f>IF($D131="","",IF(OR($T131=TRUE(),$T131="TRUE"),1,0))</f>
        <v/>
      </c>
      <c r="AP131">
        <f>IF($D131="","",IF($Z131="Yes",1,0))</f>
        <v/>
      </c>
      <c r="AQ131">
        <f>IF($AM131=1,IFERROR(IF(VALUE($D131)&lt;100000000,VALUE($D131),1000000000),IFERROR(IF(VALUE(MID($D131,2,20))&lt;100000000,VALUE(MID($D131,2,20)),1000000000),1000000000))+ROW()/100000,"")</f>
        <v/>
      </c>
    </row>
    <row r="132">
      <c r="F132" s="11" t="n"/>
      <c r="P132" s="7">
        <f>IF($D132="","",O132*X132/100)</f>
        <v/>
      </c>
      <c r="Q132" s="7" t="n"/>
      <c r="W132" s="7" t="n"/>
      <c r="X132" s="7" t="n"/>
      <c r="AA132">
        <f>IF($D132="","",IF($AP132=1,0,IF($AO132=1,Settings!$C$6,Settings!$C$7))*100)</f>
        <v/>
      </c>
      <c r="AB132" s="7">
        <f>IF($D132="","",X132*AA132/100)</f>
        <v/>
      </c>
      <c r="AC132" s="7">
        <f>IF($D132="","",X132-AB132)</f>
        <v/>
      </c>
      <c r="AD132" s="7">
        <f>IF($D132="","",AC132-P132)</f>
        <v/>
      </c>
      <c r="AH132" s="7" t="n"/>
      <c r="AK132" s="11" t="n"/>
      <c r="AM132">
        <f>IF($D132="","",IF(COUNTIF($D$2:$D132,$D132)=1,1,0))</f>
        <v/>
      </c>
      <c r="AN132">
        <f>IF($AM132=1,SUMPRODUCT(--($AQ$2:$AQ$1001&lt;$AQ132))+1,"")</f>
        <v/>
      </c>
      <c r="AO132">
        <f>IF($D132="","",IF(OR($T132=TRUE(),$T132="TRUE"),1,0))</f>
        <v/>
      </c>
      <c r="AP132">
        <f>IF($D132="","",IF($Z132="Yes",1,0))</f>
        <v/>
      </c>
      <c r="AQ132">
        <f>IF($AM132=1,IFERROR(IF(VALUE($D132)&lt;100000000,VALUE($D132),1000000000),IFERROR(IF(VALUE(MID($D132,2,20))&lt;100000000,VALUE(MID($D132,2,20)),1000000000),1000000000))+ROW()/100000,"")</f>
        <v/>
      </c>
    </row>
    <row r="133">
      <c r="F133" s="11" t="n"/>
      <c r="P133" s="7">
        <f>IF($D133="","",O133*X133/100)</f>
        <v/>
      </c>
      <c r="Q133" s="7" t="n"/>
      <c r="W133" s="7" t="n"/>
      <c r="X133" s="7" t="n"/>
      <c r="AA133">
        <f>IF($D133="","",IF($AP133=1,0,IF($AO133=1,Settings!$C$6,Settings!$C$7))*100)</f>
        <v/>
      </c>
      <c r="AB133" s="7">
        <f>IF($D133="","",X133*AA133/100)</f>
        <v/>
      </c>
      <c r="AC133" s="7">
        <f>IF($D133="","",X133-AB133)</f>
        <v/>
      </c>
      <c r="AD133" s="7">
        <f>IF($D133="","",AC133-P133)</f>
        <v/>
      </c>
      <c r="AH133" s="7" t="n"/>
      <c r="AK133" s="11" t="n"/>
      <c r="AM133">
        <f>IF($D133="","",IF(COUNTIF($D$2:$D133,$D133)=1,1,0))</f>
        <v/>
      </c>
      <c r="AN133">
        <f>IF($AM133=1,SUMPRODUCT(--($AQ$2:$AQ$1001&lt;$AQ133))+1,"")</f>
        <v/>
      </c>
      <c r="AO133">
        <f>IF($D133="","",IF(OR($T133=TRUE(),$T133="TRUE"),1,0))</f>
        <v/>
      </c>
      <c r="AP133">
        <f>IF($D133="","",IF($Z133="Yes",1,0))</f>
        <v/>
      </c>
      <c r="AQ133">
        <f>IF($AM133=1,IFERROR(IF(VALUE($D133)&lt;100000000,VALUE($D133),1000000000),IFERROR(IF(VALUE(MID($D133,2,20))&lt;100000000,VALUE(MID($D133,2,20)),1000000000),1000000000))+ROW()/100000,"")</f>
        <v/>
      </c>
    </row>
    <row r="134">
      <c r="F134" s="11" t="n"/>
      <c r="P134" s="7">
        <f>IF($D134="","",O134*X134/100)</f>
        <v/>
      </c>
      <c r="Q134" s="7" t="n"/>
      <c r="W134" s="7" t="n"/>
      <c r="X134" s="7" t="n"/>
      <c r="AA134">
        <f>IF($D134="","",IF($AP134=1,0,IF($AO134=1,Settings!$C$6,Settings!$C$7))*100)</f>
        <v/>
      </c>
      <c r="AB134" s="7">
        <f>IF($D134="","",X134*AA134/100)</f>
        <v/>
      </c>
      <c r="AC134" s="7">
        <f>IF($D134="","",X134-AB134)</f>
        <v/>
      </c>
      <c r="AD134" s="7">
        <f>IF($D134="","",AC134-P134)</f>
        <v/>
      </c>
      <c r="AH134" s="7" t="n"/>
      <c r="AK134" s="11" t="n"/>
      <c r="AM134">
        <f>IF($D134="","",IF(COUNTIF($D$2:$D134,$D134)=1,1,0))</f>
        <v/>
      </c>
      <c r="AN134">
        <f>IF($AM134=1,SUMPRODUCT(--($AQ$2:$AQ$1001&lt;$AQ134))+1,"")</f>
        <v/>
      </c>
      <c r="AO134">
        <f>IF($D134="","",IF(OR($T134=TRUE(),$T134="TRUE"),1,0))</f>
        <v/>
      </c>
      <c r="AP134">
        <f>IF($D134="","",IF($Z134="Yes",1,0))</f>
        <v/>
      </c>
      <c r="AQ134">
        <f>IF($AM134=1,IFERROR(IF(VALUE($D134)&lt;100000000,VALUE($D134),1000000000),IFERROR(IF(VALUE(MID($D134,2,20))&lt;100000000,VALUE(MID($D134,2,20)),1000000000),1000000000))+ROW()/100000,"")</f>
        <v/>
      </c>
    </row>
    <row r="135">
      <c r="F135" s="11" t="n"/>
      <c r="P135" s="7">
        <f>IF($D135="","",O135*X135/100)</f>
        <v/>
      </c>
      <c r="Q135" s="7" t="n"/>
      <c r="W135" s="7" t="n"/>
      <c r="X135" s="7" t="n"/>
      <c r="AA135">
        <f>IF($D135="","",IF($AP135=1,0,IF($AO135=1,Settings!$C$6,Settings!$C$7))*100)</f>
        <v/>
      </c>
      <c r="AB135" s="7">
        <f>IF($D135="","",X135*AA135/100)</f>
        <v/>
      </c>
      <c r="AC135" s="7">
        <f>IF($D135="","",X135-AB135)</f>
        <v/>
      </c>
      <c r="AD135" s="7">
        <f>IF($D135="","",AC135-P135)</f>
        <v/>
      </c>
      <c r="AH135" s="7" t="n"/>
      <c r="AK135" s="11" t="n"/>
      <c r="AM135">
        <f>IF($D135="","",IF(COUNTIF($D$2:$D135,$D135)=1,1,0))</f>
        <v/>
      </c>
      <c r="AN135">
        <f>IF($AM135=1,SUMPRODUCT(--($AQ$2:$AQ$1001&lt;$AQ135))+1,"")</f>
        <v/>
      </c>
      <c r="AO135">
        <f>IF($D135="","",IF(OR($T135=TRUE(),$T135="TRUE"),1,0))</f>
        <v/>
      </c>
      <c r="AP135">
        <f>IF($D135="","",IF($Z135="Yes",1,0))</f>
        <v/>
      </c>
      <c r="AQ135">
        <f>IF($AM135=1,IFERROR(IF(VALUE($D135)&lt;100000000,VALUE($D135),1000000000),IFERROR(IF(VALUE(MID($D135,2,20))&lt;100000000,VALUE(MID($D135,2,20)),1000000000),1000000000))+ROW()/100000,"")</f>
        <v/>
      </c>
    </row>
    <row r="136">
      <c r="F136" s="11" t="n"/>
      <c r="P136" s="7">
        <f>IF($D136="","",O136*X136/100)</f>
        <v/>
      </c>
      <c r="Q136" s="7" t="n"/>
      <c r="W136" s="7" t="n"/>
      <c r="X136" s="7" t="n"/>
      <c r="AA136">
        <f>IF($D136="","",IF($AP136=1,0,IF($AO136=1,Settings!$C$6,Settings!$C$7))*100)</f>
        <v/>
      </c>
      <c r="AB136" s="7">
        <f>IF($D136="","",X136*AA136/100)</f>
        <v/>
      </c>
      <c r="AC136" s="7">
        <f>IF($D136="","",X136-AB136)</f>
        <v/>
      </c>
      <c r="AD136" s="7">
        <f>IF($D136="","",AC136-P136)</f>
        <v/>
      </c>
      <c r="AH136" s="7" t="n"/>
      <c r="AK136" s="11" t="n"/>
      <c r="AM136">
        <f>IF($D136="","",IF(COUNTIF($D$2:$D136,$D136)=1,1,0))</f>
        <v/>
      </c>
      <c r="AN136">
        <f>IF($AM136=1,SUMPRODUCT(--($AQ$2:$AQ$1001&lt;$AQ136))+1,"")</f>
        <v/>
      </c>
      <c r="AO136">
        <f>IF($D136="","",IF(OR($T136=TRUE(),$T136="TRUE"),1,0))</f>
        <v/>
      </c>
      <c r="AP136">
        <f>IF($D136="","",IF($Z136="Yes",1,0))</f>
        <v/>
      </c>
      <c r="AQ136">
        <f>IF($AM136=1,IFERROR(IF(VALUE($D136)&lt;100000000,VALUE($D136),1000000000),IFERROR(IF(VALUE(MID($D136,2,20))&lt;100000000,VALUE(MID($D136,2,20)),1000000000),1000000000))+ROW()/100000,"")</f>
        <v/>
      </c>
    </row>
    <row r="137">
      <c r="F137" s="11" t="n"/>
      <c r="P137" s="7">
        <f>IF($D137="","",O137*X137/100)</f>
        <v/>
      </c>
      <c r="Q137" s="7" t="n"/>
      <c r="W137" s="7" t="n"/>
      <c r="X137" s="7" t="n"/>
      <c r="AA137">
        <f>IF($D137="","",IF($AP137=1,0,IF($AO137=1,Settings!$C$6,Settings!$C$7))*100)</f>
        <v/>
      </c>
      <c r="AB137" s="7">
        <f>IF($D137="","",X137*AA137/100)</f>
        <v/>
      </c>
      <c r="AC137" s="7">
        <f>IF($D137="","",X137-AB137)</f>
        <v/>
      </c>
      <c r="AD137" s="7">
        <f>IF($D137="","",AC137-P137)</f>
        <v/>
      </c>
      <c r="AH137" s="7" t="n"/>
      <c r="AK137" s="11" t="n"/>
      <c r="AM137">
        <f>IF($D137="","",IF(COUNTIF($D$2:$D137,$D137)=1,1,0))</f>
        <v/>
      </c>
      <c r="AN137">
        <f>IF($AM137=1,SUMPRODUCT(--($AQ$2:$AQ$1001&lt;$AQ137))+1,"")</f>
        <v/>
      </c>
      <c r="AO137">
        <f>IF($D137="","",IF(OR($T137=TRUE(),$T137="TRUE"),1,0))</f>
        <v/>
      </c>
      <c r="AP137">
        <f>IF($D137="","",IF($Z137="Yes",1,0))</f>
        <v/>
      </c>
      <c r="AQ137">
        <f>IF($AM137=1,IFERROR(IF(VALUE($D137)&lt;100000000,VALUE($D137),1000000000),IFERROR(IF(VALUE(MID($D137,2,20))&lt;100000000,VALUE(MID($D137,2,20)),1000000000),1000000000))+ROW()/100000,"")</f>
        <v/>
      </c>
    </row>
    <row r="138">
      <c r="F138" s="11" t="n"/>
      <c r="P138" s="7">
        <f>IF($D138="","",O138*X138/100)</f>
        <v/>
      </c>
      <c r="Q138" s="7" t="n"/>
      <c r="W138" s="7" t="n"/>
      <c r="X138" s="7" t="n"/>
      <c r="AA138">
        <f>IF($D138="","",IF($AP138=1,0,IF($AO138=1,Settings!$C$6,Settings!$C$7))*100)</f>
        <v/>
      </c>
      <c r="AB138" s="7">
        <f>IF($D138="","",X138*AA138/100)</f>
        <v/>
      </c>
      <c r="AC138" s="7">
        <f>IF($D138="","",X138-AB138)</f>
        <v/>
      </c>
      <c r="AD138" s="7">
        <f>IF($D138="","",AC138-P138)</f>
        <v/>
      </c>
      <c r="AH138" s="7" t="n"/>
      <c r="AK138" s="11" t="n"/>
      <c r="AM138">
        <f>IF($D138="","",IF(COUNTIF($D$2:$D138,$D138)=1,1,0))</f>
        <v/>
      </c>
      <c r="AN138">
        <f>IF($AM138=1,SUMPRODUCT(--($AQ$2:$AQ$1001&lt;$AQ138))+1,"")</f>
        <v/>
      </c>
      <c r="AO138">
        <f>IF($D138="","",IF(OR($T138=TRUE(),$T138="TRUE"),1,0))</f>
        <v/>
      </c>
      <c r="AP138">
        <f>IF($D138="","",IF($Z138="Yes",1,0))</f>
        <v/>
      </c>
      <c r="AQ138">
        <f>IF($AM138=1,IFERROR(IF(VALUE($D138)&lt;100000000,VALUE($D138),1000000000),IFERROR(IF(VALUE(MID($D138,2,20))&lt;100000000,VALUE(MID($D138,2,20)),1000000000),1000000000))+ROW()/100000,"")</f>
        <v/>
      </c>
    </row>
    <row r="139">
      <c r="F139" s="11" t="n"/>
      <c r="P139" s="7">
        <f>IF($D139="","",O139*X139/100)</f>
        <v/>
      </c>
      <c r="Q139" s="7" t="n"/>
      <c r="W139" s="7" t="n"/>
      <c r="X139" s="7" t="n"/>
      <c r="AA139">
        <f>IF($D139="","",IF($AP139=1,0,IF($AO139=1,Settings!$C$6,Settings!$C$7))*100)</f>
        <v/>
      </c>
      <c r="AB139" s="7">
        <f>IF($D139="","",X139*AA139/100)</f>
        <v/>
      </c>
      <c r="AC139" s="7">
        <f>IF($D139="","",X139-AB139)</f>
        <v/>
      </c>
      <c r="AD139" s="7">
        <f>IF($D139="","",AC139-P139)</f>
        <v/>
      </c>
      <c r="AH139" s="7" t="n"/>
      <c r="AK139" s="11" t="n"/>
      <c r="AM139">
        <f>IF($D139="","",IF(COUNTIF($D$2:$D139,$D139)=1,1,0))</f>
        <v/>
      </c>
      <c r="AN139">
        <f>IF($AM139=1,SUMPRODUCT(--($AQ$2:$AQ$1001&lt;$AQ139))+1,"")</f>
        <v/>
      </c>
      <c r="AO139">
        <f>IF($D139="","",IF(OR($T139=TRUE(),$T139="TRUE"),1,0))</f>
        <v/>
      </c>
      <c r="AP139">
        <f>IF($D139="","",IF($Z139="Yes",1,0))</f>
        <v/>
      </c>
      <c r="AQ139">
        <f>IF($AM139=1,IFERROR(IF(VALUE($D139)&lt;100000000,VALUE($D139),1000000000),IFERROR(IF(VALUE(MID($D139,2,20))&lt;100000000,VALUE(MID($D139,2,20)),1000000000),1000000000))+ROW()/100000,"")</f>
        <v/>
      </c>
    </row>
    <row r="140">
      <c r="F140" s="11" t="n"/>
      <c r="P140" s="7">
        <f>IF($D140="","",O140*X140/100)</f>
        <v/>
      </c>
      <c r="Q140" s="7" t="n"/>
      <c r="W140" s="7" t="n"/>
      <c r="X140" s="7" t="n"/>
      <c r="AA140">
        <f>IF($D140="","",IF($AP140=1,0,IF($AO140=1,Settings!$C$6,Settings!$C$7))*100)</f>
        <v/>
      </c>
      <c r="AB140" s="7">
        <f>IF($D140="","",X140*AA140/100)</f>
        <v/>
      </c>
      <c r="AC140" s="7">
        <f>IF($D140="","",X140-AB140)</f>
        <v/>
      </c>
      <c r="AD140" s="7">
        <f>IF($D140="","",AC140-P140)</f>
        <v/>
      </c>
      <c r="AH140" s="7" t="n"/>
      <c r="AK140" s="11" t="n"/>
      <c r="AM140">
        <f>IF($D140="","",IF(COUNTIF($D$2:$D140,$D140)=1,1,0))</f>
        <v/>
      </c>
      <c r="AN140">
        <f>IF($AM140=1,SUMPRODUCT(--($AQ$2:$AQ$1001&lt;$AQ140))+1,"")</f>
        <v/>
      </c>
      <c r="AO140">
        <f>IF($D140="","",IF(OR($T140=TRUE(),$T140="TRUE"),1,0))</f>
        <v/>
      </c>
      <c r="AP140">
        <f>IF($D140="","",IF($Z140="Yes",1,0))</f>
        <v/>
      </c>
      <c r="AQ140">
        <f>IF($AM140=1,IFERROR(IF(VALUE($D140)&lt;100000000,VALUE($D140),1000000000),IFERROR(IF(VALUE(MID($D140,2,20))&lt;100000000,VALUE(MID($D140,2,20)),1000000000),1000000000))+ROW()/100000,"")</f>
        <v/>
      </c>
    </row>
    <row r="141">
      <c r="F141" s="11" t="n"/>
      <c r="P141" s="7">
        <f>IF($D141="","",O141*X141/100)</f>
        <v/>
      </c>
      <c r="Q141" s="7" t="n"/>
      <c r="W141" s="7" t="n"/>
      <c r="X141" s="7" t="n"/>
      <c r="AA141">
        <f>IF($D141="","",IF($AP141=1,0,IF($AO141=1,Settings!$C$6,Settings!$C$7))*100)</f>
        <v/>
      </c>
      <c r="AB141" s="7">
        <f>IF($D141="","",X141*AA141/100)</f>
        <v/>
      </c>
      <c r="AC141" s="7">
        <f>IF($D141="","",X141-AB141)</f>
        <v/>
      </c>
      <c r="AD141" s="7">
        <f>IF($D141="","",AC141-P141)</f>
        <v/>
      </c>
      <c r="AH141" s="7" t="n"/>
      <c r="AK141" s="11" t="n"/>
      <c r="AM141">
        <f>IF($D141="","",IF(COUNTIF($D$2:$D141,$D141)=1,1,0))</f>
        <v/>
      </c>
      <c r="AN141">
        <f>IF($AM141=1,SUMPRODUCT(--($AQ$2:$AQ$1001&lt;$AQ141))+1,"")</f>
        <v/>
      </c>
      <c r="AO141">
        <f>IF($D141="","",IF(OR($T141=TRUE(),$T141="TRUE"),1,0))</f>
        <v/>
      </c>
      <c r="AP141">
        <f>IF($D141="","",IF($Z141="Yes",1,0))</f>
        <v/>
      </c>
      <c r="AQ141">
        <f>IF($AM141=1,IFERROR(IF(VALUE($D141)&lt;100000000,VALUE($D141),1000000000),IFERROR(IF(VALUE(MID($D141,2,20))&lt;100000000,VALUE(MID($D141,2,20)),1000000000),1000000000))+ROW()/100000,"")</f>
        <v/>
      </c>
    </row>
    <row r="142">
      <c r="F142" s="11" t="n"/>
      <c r="P142" s="7">
        <f>IF($D142="","",O142*X142/100)</f>
        <v/>
      </c>
      <c r="Q142" s="7" t="n"/>
      <c r="W142" s="7" t="n"/>
      <c r="X142" s="7" t="n"/>
      <c r="AA142">
        <f>IF($D142="","",IF($AP142=1,0,IF($AO142=1,Settings!$C$6,Settings!$C$7))*100)</f>
        <v/>
      </c>
      <c r="AB142" s="7">
        <f>IF($D142="","",X142*AA142/100)</f>
        <v/>
      </c>
      <c r="AC142" s="7">
        <f>IF($D142="","",X142-AB142)</f>
        <v/>
      </c>
      <c r="AD142" s="7">
        <f>IF($D142="","",AC142-P142)</f>
        <v/>
      </c>
      <c r="AH142" s="7" t="n"/>
      <c r="AK142" s="11" t="n"/>
      <c r="AM142">
        <f>IF($D142="","",IF(COUNTIF($D$2:$D142,$D142)=1,1,0))</f>
        <v/>
      </c>
      <c r="AN142">
        <f>IF($AM142=1,SUMPRODUCT(--($AQ$2:$AQ$1001&lt;$AQ142))+1,"")</f>
        <v/>
      </c>
      <c r="AO142">
        <f>IF($D142="","",IF(OR($T142=TRUE(),$T142="TRUE"),1,0))</f>
        <v/>
      </c>
      <c r="AP142">
        <f>IF($D142="","",IF($Z142="Yes",1,0))</f>
        <v/>
      </c>
      <c r="AQ142">
        <f>IF($AM142=1,IFERROR(IF(VALUE($D142)&lt;100000000,VALUE($D142),1000000000),IFERROR(IF(VALUE(MID($D142,2,20))&lt;100000000,VALUE(MID($D142,2,20)),1000000000),1000000000))+ROW()/100000,"")</f>
        <v/>
      </c>
    </row>
    <row r="143">
      <c r="F143" s="11" t="n"/>
      <c r="P143" s="7">
        <f>IF($D143="","",O143*X143/100)</f>
        <v/>
      </c>
      <c r="Q143" s="7" t="n"/>
      <c r="W143" s="7" t="n"/>
      <c r="X143" s="7" t="n"/>
      <c r="AA143">
        <f>IF($D143="","",IF($AP143=1,0,IF($AO143=1,Settings!$C$6,Settings!$C$7))*100)</f>
        <v/>
      </c>
      <c r="AB143" s="7">
        <f>IF($D143="","",X143*AA143/100)</f>
        <v/>
      </c>
      <c r="AC143" s="7">
        <f>IF($D143="","",X143-AB143)</f>
        <v/>
      </c>
      <c r="AD143" s="7">
        <f>IF($D143="","",AC143-P143)</f>
        <v/>
      </c>
      <c r="AH143" s="7" t="n"/>
      <c r="AK143" s="11" t="n"/>
      <c r="AM143">
        <f>IF($D143="","",IF(COUNTIF($D$2:$D143,$D143)=1,1,0))</f>
        <v/>
      </c>
      <c r="AN143">
        <f>IF($AM143=1,SUMPRODUCT(--($AQ$2:$AQ$1001&lt;$AQ143))+1,"")</f>
        <v/>
      </c>
      <c r="AO143">
        <f>IF($D143="","",IF(OR($T143=TRUE(),$T143="TRUE"),1,0))</f>
        <v/>
      </c>
      <c r="AP143">
        <f>IF($D143="","",IF($Z143="Yes",1,0))</f>
        <v/>
      </c>
      <c r="AQ143">
        <f>IF($AM143=1,IFERROR(IF(VALUE($D143)&lt;100000000,VALUE($D143),1000000000),IFERROR(IF(VALUE(MID($D143,2,20))&lt;100000000,VALUE(MID($D143,2,20)),1000000000),1000000000))+ROW()/100000,"")</f>
        <v/>
      </c>
    </row>
    <row r="144">
      <c r="F144" s="11" t="n"/>
      <c r="P144" s="7">
        <f>IF($D144="","",O144*X144/100)</f>
        <v/>
      </c>
      <c r="Q144" s="7" t="n"/>
      <c r="W144" s="7" t="n"/>
      <c r="X144" s="7" t="n"/>
      <c r="AA144">
        <f>IF($D144="","",IF($AP144=1,0,IF($AO144=1,Settings!$C$6,Settings!$C$7))*100)</f>
        <v/>
      </c>
      <c r="AB144" s="7">
        <f>IF($D144="","",X144*AA144/100)</f>
        <v/>
      </c>
      <c r="AC144" s="7">
        <f>IF($D144="","",X144-AB144)</f>
        <v/>
      </c>
      <c r="AD144" s="7">
        <f>IF($D144="","",AC144-P144)</f>
        <v/>
      </c>
      <c r="AH144" s="7" t="n"/>
      <c r="AK144" s="11" t="n"/>
      <c r="AM144">
        <f>IF($D144="","",IF(COUNTIF($D$2:$D144,$D144)=1,1,0))</f>
        <v/>
      </c>
      <c r="AN144">
        <f>IF($AM144=1,SUMPRODUCT(--($AQ$2:$AQ$1001&lt;$AQ144))+1,"")</f>
        <v/>
      </c>
      <c r="AO144">
        <f>IF($D144="","",IF(OR($T144=TRUE(),$T144="TRUE"),1,0))</f>
        <v/>
      </c>
      <c r="AP144">
        <f>IF($D144="","",IF($Z144="Yes",1,0))</f>
        <v/>
      </c>
      <c r="AQ144">
        <f>IF($AM144=1,IFERROR(IF(VALUE($D144)&lt;100000000,VALUE($D144),1000000000),IFERROR(IF(VALUE(MID($D144,2,20))&lt;100000000,VALUE(MID($D144,2,20)),1000000000),1000000000))+ROW()/100000,"")</f>
        <v/>
      </c>
    </row>
    <row r="145">
      <c r="F145" s="11" t="n"/>
      <c r="P145" s="7">
        <f>IF($D145="","",O145*X145/100)</f>
        <v/>
      </c>
      <c r="Q145" s="7" t="n"/>
      <c r="W145" s="7" t="n"/>
      <c r="X145" s="7" t="n"/>
      <c r="AA145">
        <f>IF($D145="","",IF($AP145=1,0,IF($AO145=1,Settings!$C$6,Settings!$C$7))*100)</f>
        <v/>
      </c>
      <c r="AB145" s="7">
        <f>IF($D145="","",X145*AA145/100)</f>
        <v/>
      </c>
      <c r="AC145" s="7">
        <f>IF($D145="","",X145-AB145)</f>
        <v/>
      </c>
      <c r="AD145" s="7">
        <f>IF($D145="","",AC145-P145)</f>
        <v/>
      </c>
      <c r="AH145" s="7" t="n"/>
      <c r="AK145" s="11" t="n"/>
      <c r="AM145">
        <f>IF($D145="","",IF(COUNTIF($D$2:$D145,$D145)=1,1,0))</f>
        <v/>
      </c>
      <c r="AN145">
        <f>IF($AM145=1,SUMPRODUCT(--($AQ$2:$AQ$1001&lt;$AQ145))+1,"")</f>
        <v/>
      </c>
      <c r="AO145">
        <f>IF($D145="","",IF(OR($T145=TRUE(),$T145="TRUE"),1,0))</f>
        <v/>
      </c>
      <c r="AP145">
        <f>IF($D145="","",IF($Z145="Yes",1,0))</f>
        <v/>
      </c>
      <c r="AQ145">
        <f>IF($AM145=1,IFERROR(IF(VALUE($D145)&lt;100000000,VALUE($D145),1000000000),IFERROR(IF(VALUE(MID($D145,2,20))&lt;100000000,VALUE(MID($D145,2,20)),1000000000),1000000000))+ROW()/100000,"")</f>
        <v/>
      </c>
    </row>
    <row r="146">
      <c r="F146" s="11" t="n"/>
      <c r="P146" s="7">
        <f>IF($D146="","",O146*X146/100)</f>
        <v/>
      </c>
      <c r="Q146" s="7" t="n"/>
      <c r="W146" s="7" t="n"/>
      <c r="X146" s="7" t="n"/>
      <c r="AA146">
        <f>IF($D146="","",IF($AP146=1,0,IF($AO146=1,Settings!$C$6,Settings!$C$7))*100)</f>
        <v/>
      </c>
      <c r="AB146" s="7">
        <f>IF($D146="","",X146*AA146/100)</f>
        <v/>
      </c>
      <c r="AC146" s="7">
        <f>IF($D146="","",X146-AB146)</f>
        <v/>
      </c>
      <c r="AD146" s="7">
        <f>IF($D146="","",AC146-P146)</f>
        <v/>
      </c>
      <c r="AH146" s="7" t="n"/>
      <c r="AK146" s="11" t="n"/>
      <c r="AM146">
        <f>IF($D146="","",IF(COUNTIF($D$2:$D146,$D146)=1,1,0))</f>
        <v/>
      </c>
      <c r="AN146">
        <f>IF($AM146=1,SUMPRODUCT(--($AQ$2:$AQ$1001&lt;$AQ146))+1,"")</f>
        <v/>
      </c>
      <c r="AO146">
        <f>IF($D146="","",IF(OR($T146=TRUE(),$T146="TRUE"),1,0))</f>
        <v/>
      </c>
      <c r="AP146">
        <f>IF($D146="","",IF($Z146="Yes",1,0))</f>
        <v/>
      </c>
      <c r="AQ146">
        <f>IF($AM146=1,IFERROR(IF(VALUE($D146)&lt;100000000,VALUE($D146),1000000000),IFERROR(IF(VALUE(MID($D146,2,20))&lt;100000000,VALUE(MID($D146,2,20)),1000000000),1000000000))+ROW()/100000,"")</f>
        <v/>
      </c>
    </row>
    <row r="147">
      <c r="F147" s="11" t="n"/>
      <c r="P147" s="7">
        <f>IF($D147="","",O147*X147/100)</f>
        <v/>
      </c>
      <c r="Q147" s="7" t="n"/>
      <c r="W147" s="7" t="n"/>
      <c r="X147" s="7" t="n"/>
      <c r="AA147">
        <f>IF($D147="","",IF($AP147=1,0,IF($AO147=1,Settings!$C$6,Settings!$C$7))*100)</f>
        <v/>
      </c>
      <c r="AB147" s="7">
        <f>IF($D147="","",X147*AA147/100)</f>
        <v/>
      </c>
      <c r="AC147" s="7">
        <f>IF($D147="","",X147-AB147)</f>
        <v/>
      </c>
      <c r="AD147" s="7">
        <f>IF($D147="","",AC147-P147)</f>
        <v/>
      </c>
      <c r="AH147" s="7" t="n"/>
      <c r="AK147" s="11" t="n"/>
      <c r="AM147">
        <f>IF($D147="","",IF(COUNTIF($D$2:$D147,$D147)=1,1,0))</f>
        <v/>
      </c>
      <c r="AN147">
        <f>IF($AM147=1,SUMPRODUCT(--($AQ$2:$AQ$1001&lt;$AQ147))+1,"")</f>
        <v/>
      </c>
      <c r="AO147">
        <f>IF($D147="","",IF(OR($T147=TRUE(),$T147="TRUE"),1,0))</f>
        <v/>
      </c>
      <c r="AP147">
        <f>IF($D147="","",IF($Z147="Yes",1,0))</f>
        <v/>
      </c>
      <c r="AQ147">
        <f>IF($AM147=1,IFERROR(IF(VALUE($D147)&lt;100000000,VALUE($D147),1000000000),IFERROR(IF(VALUE(MID($D147,2,20))&lt;100000000,VALUE(MID($D147,2,20)),1000000000),1000000000))+ROW()/100000,"")</f>
        <v/>
      </c>
    </row>
    <row r="148">
      <c r="F148" s="11" t="n"/>
      <c r="P148" s="7">
        <f>IF($D148="","",O148*X148/100)</f>
        <v/>
      </c>
      <c r="Q148" s="7" t="n"/>
      <c r="W148" s="7" t="n"/>
      <c r="X148" s="7" t="n"/>
      <c r="AA148">
        <f>IF($D148="","",IF($AP148=1,0,IF($AO148=1,Settings!$C$6,Settings!$C$7))*100)</f>
        <v/>
      </c>
      <c r="AB148" s="7">
        <f>IF($D148="","",X148*AA148/100)</f>
        <v/>
      </c>
      <c r="AC148" s="7">
        <f>IF($D148="","",X148-AB148)</f>
        <v/>
      </c>
      <c r="AD148" s="7">
        <f>IF($D148="","",AC148-P148)</f>
        <v/>
      </c>
      <c r="AH148" s="7" t="n"/>
      <c r="AK148" s="11" t="n"/>
      <c r="AM148">
        <f>IF($D148="","",IF(COUNTIF($D$2:$D148,$D148)=1,1,0))</f>
        <v/>
      </c>
      <c r="AN148">
        <f>IF($AM148=1,SUMPRODUCT(--($AQ$2:$AQ$1001&lt;$AQ148))+1,"")</f>
        <v/>
      </c>
      <c r="AO148">
        <f>IF($D148="","",IF(OR($T148=TRUE(),$T148="TRUE"),1,0))</f>
        <v/>
      </c>
      <c r="AP148">
        <f>IF($D148="","",IF($Z148="Yes",1,0))</f>
        <v/>
      </c>
      <c r="AQ148">
        <f>IF($AM148=1,IFERROR(IF(VALUE($D148)&lt;100000000,VALUE($D148),1000000000),IFERROR(IF(VALUE(MID($D148,2,20))&lt;100000000,VALUE(MID($D148,2,20)),1000000000),1000000000))+ROW()/100000,"")</f>
        <v/>
      </c>
    </row>
    <row r="149">
      <c r="F149" s="11" t="n"/>
      <c r="P149" s="7">
        <f>IF($D149="","",O149*X149/100)</f>
        <v/>
      </c>
      <c r="Q149" s="7" t="n"/>
      <c r="W149" s="7" t="n"/>
      <c r="X149" s="7" t="n"/>
      <c r="AA149">
        <f>IF($D149="","",IF($AP149=1,0,IF($AO149=1,Settings!$C$6,Settings!$C$7))*100)</f>
        <v/>
      </c>
      <c r="AB149" s="7">
        <f>IF($D149="","",X149*AA149/100)</f>
        <v/>
      </c>
      <c r="AC149" s="7">
        <f>IF($D149="","",X149-AB149)</f>
        <v/>
      </c>
      <c r="AD149" s="7">
        <f>IF($D149="","",AC149-P149)</f>
        <v/>
      </c>
      <c r="AH149" s="7" t="n"/>
      <c r="AK149" s="11" t="n"/>
      <c r="AM149">
        <f>IF($D149="","",IF(COUNTIF($D$2:$D149,$D149)=1,1,0))</f>
        <v/>
      </c>
      <c r="AN149">
        <f>IF($AM149=1,SUMPRODUCT(--($AQ$2:$AQ$1001&lt;$AQ149))+1,"")</f>
        <v/>
      </c>
      <c r="AO149">
        <f>IF($D149="","",IF(OR($T149=TRUE(),$T149="TRUE"),1,0))</f>
        <v/>
      </c>
      <c r="AP149">
        <f>IF($D149="","",IF($Z149="Yes",1,0))</f>
        <v/>
      </c>
      <c r="AQ149">
        <f>IF($AM149=1,IFERROR(IF(VALUE($D149)&lt;100000000,VALUE($D149),1000000000),IFERROR(IF(VALUE(MID($D149,2,20))&lt;100000000,VALUE(MID($D149,2,20)),1000000000),1000000000))+ROW()/100000,"")</f>
        <v/>
      </c>
    </row>
    <row r="150">
      <c r="F150" s="11" t="n"/>
      <c r="P150" s="7">
        <f>IF($D150="","",O150*X150/100)</f>
        <v/>
      </c>
      <c r="Q150" s="7" t="n"/>
      <c r="W150" s="7" t="n"/>
      <c r="X150" s="7" t="n"/>
      <c r="AA150">
        <f>IF($D150="","",IF($AP150=1,0,IF($AO150=1,Settings!$C$6,Settings!$C$7))*100)</f>
        <v/>
      </c>
      <c r="AB150" s="7">
        <f>IF($D150="","",X150*AA150/100)</f>
        <v/>
      </c>
      <c r="AC150" s="7">
        <f>IF($D150="","",X150-AB150)</f>
        <v/>
      </c>
      <c r="AD150" s="7">
        <f>IF($D150="","",AC150-P150)</f>
        <v/>
      </c>
      <c r="AH150" s="7" t="n"/>
      <c r="AK150" s="11" t="n"/>
      <c r="AM150">
        <f>IF($D150="","",IF(COUNTIF($D$2:$D150,$D150)=1,1,0))</f>
        <v/>
      </c>
      <c r="AN150">
        <f>IF($AM150=1,SUMPRODUCT(--($AQ$2:$AQ$1001&lt;$AQ150))+1,"")</f>
        <v/>
      </c>
      <c r="AO150">
        <f>IF($D150="","",IF(OR($T150=TRUE(),$T150="TRUE"),1,0))</f>
        <v/>
      </c>
      <c r="AP150">
        <f>IF($D150="","",IF($Z150="Yes",1,0))</f>
        <v/>
      </c>
      <c r="AQ150">
        <f>IF($AM150=1,IFERROR(IF(VALUE($D150)&lt;100000000,VALUE($D150),1000000000),IFERROR(IF(VALUE(MID($D150,2,20))&lt;100000000,VALUE(MID($D150,2,20)),1000000000),1000000000))+ROW()/100000,"")</f>
        <v/>
      </c>
    </row>
    <row r="151">
      <c r="F151" s="11" t="n"/>
      <c r="P151" s="7">
        <f>IF($D151="","",O151*X151/100)</f>
        <v/>
      </c>
      <c r="Q151" s="7" t="n"/>
      <c r="W151" s="7" t="n"/>
      <c r="X151" s="7" t="n"/>
      <c r="AA151">
        <f>IF($D151="","",IF($AP151=1,0,IF($AO151=1,Settings!$C$6,Settings!$C$7))*100)</f>
        <v/>
      </c>
      <c r="AB151" s="7">
        <f>IF($D151="","",X151*AA151/100)</f>
        <v/>
      </c>
      <c r="AC151" s="7">
        <f>IF($D151="","",X151-AB151)</f>
        <v/>
      </c>
      <c r="AD151" s="7">
        <f>IF($D151="","",AC151-P151)</f>
        <v/>
      </c>
      <c r="AH151" s="7" t="n"/>
      <c r="AK151" s="11" t="n"/>
      <c r="AM151">
        <f>IF($D151="","",IF(COUNTIF($D$2:$D151,$D151)=1,1,0))</f>
        <v/>
      </c>
      <c r="AN151">
        <f>IF($AM151=1,SUMPRODUCT(--($AQ$2:$AQ$1001&lt;$AQ151))+1,"")</f>
        <v/>
      </c>
      <c r="AO151">
        <f>IF($D151="","",IF(OR($T151=TRUE(),$T151="TRUE"),1,0))</f>
        <v/>
      </c>
      <c r="AP151">
        <f>IF($D151="","",IF($Z151="Yes",1,0))</f>
        <v/>
      </c>
      <c r="AQ151">
        <f>IF($AM151=1,IFERROR(IF(VALUE($D151)&lt;100000000,VALUE($D151),1000000000),IFERROR(IF(VALUE(MID($D151,2,20))&lt;100000000,VALUE(MID($D151,2,20)),1000000000),1000000000))+ROW()/100000,"")</f>
        <v/>
      </c>
    </row>
    <row r="152">
      <c r="F152" s="11" t="n"/>
      <c r="P152" s="7">
        <f>IF($D152="","",O152*X152/100)</f>
        <v/>
      </c>
      <c r="Q152" s="7" t="n"/>
      <c r="W152" s="7" t="n"/>
      <c r="X152" s="7" t="n"/>
      <c r="AA152">
        <f>IF($D152="","",IF($AP152=1,0,IF($AO152=1,Settings!$C$6,Settings!$C$7))*100)</f>
        <v/>
      </c>
      <c r="AB152" s="7">
        <f>IF($D152="","",X152*AA152/100)</f>
        <v/>
      </c>
      <c r="AC152" s="7">
        <f>IF($D152="","",X152-AB152)</f>
        <v/>
      </c>
      <c r="AD152" s="7">
        <f>IF($D152="","",AC152-P152)</f>
        <v/>
      </c>
      <c r="AH152" s="7" t="n"/>
      <c r="AK152" s="11" t="n"/>
      <c r="AM152">
        <f>IF($D152="","",IF(COUNTIF($D$2:$D152,$D152)=1,1,0))</f>
        <v/>
      </c>
      <c r="AN152">
        <f>IF($AM152=1,SUMPRODUCT(--($AQ$2:$AQ$1001&lt;$AQ152))+1,"")</f>
        <v/>
      </c>
      <c r="AO152">
        <f>IF($D152="","",IF(OR($T152=TRUE(),$T152="TRUE"),1,0))</f>
        <v/>
      </c>
      <c r="AP152">
        <f>IF($D152="","",IF($Z152="Yes",1,0))</f>
        <v/>
      </c>
      <c r="AQ152">
        <f>IF($AM152=1,IFERROR(IF(VALUE($D152)&lt;100000000,VALUE($D152),1000000000),IFERROR(IF(VALUE(MID($D152,2,20))&lt;100000000,VALUE(MID($D152,2,20)),1000000000),1000000000))+ROW()/100000,"")</f>
        <v/>
      </c>
    </row>
    <row r="153">
      <c r="F153" s="11" t="n"/>
      <c r="P153" s="7">
        <f>IF($D153="","",O153*X153/100)</f>
        <v/>
      </c>
      <c r="Q153" s="7" t="n"/>
      <c r="W153" s="7" t="n"/>
      <c r="X153" s="7" t="n"/>
      <c r="AA153">
        <f>IF($D153="","",IF($AP153=1,0,IF($AO153=1,Settings!$C$6,Settings!$C$7))*100)</f>
        <v/>
      </c>
      <c r="AB153" s="7">
        <f>IF($D153="","",X153*AA153/100)</f>
        <v/>
      </c>
      <c r="AC153" s="7">
        <f>IF($D153="","",X153-AB153)</f>
        <v/>
      </c>
      <c r="AD153" s="7">
        <f>IF($D153="","",AC153-P153)</f>
        <v/>
      </c>
      <c r="AH153" s="7" t="n"/>
      <c r="AK153" s="11" t="n"/>
      <c r="AM153">
        <f>IF($D153="","",IF(COUNTIF($D$2:$D153,$D153)=1,1,0))</f>
        <v/>
      </c>
      <c r="AN153">
        <f>IF($AM153=1,SUMPRODUCT(--($AQ$2:$AQ$1001&lt;$AQ153))+1,"")</f>
        <v/>
      </c>
      <c r="AO153">
        <f>IF($D153="","",IF(OR($T153=TRUE(),$T153="TRUE"),1,0))</f>
        <v/>
      </c>
      <c r="AP153">
        <f>IF($D153="","",IF($Z153="Yes",1,0))</f>
        <v/>
      </c>
      <c r="AQ153">
        <f>IF($AM153=1,IFERROR(IF(VALUE($D153)&lt;100000000,VALUE($D153),1000000000),IFERROR(IF(VALUE(MID($D153,2,20))&lt;100000000,VALUE(MID($D153,2,20)),1000000000),1000000000))+ROW()/100000,"")</f>
        <v/>
      </c>
    </row>
    <row r="154">
      <c r="F154" s="11" t="n"/>
      <c r="P154" s="7">
        <f>IF($D154="","",O154*X154/100)</f>
        <v/>
      </c>
      <c r="Q154" s="7" t="n"/>
      <c r="W154" s="7" t="n"/>
      <c r="X154" s="7" t="n"/>
      <c r="AA154">
        <f>IF($D154="","",IF($AP154=1,0,IF($AO154=1,Settings!$C$6,Settings!$C$7))*100)</f>
        <v/>
      </c>
      <c r="AB154" s="7">
        <f>IF($D154="","",X154*AA154/100)</f>
        <v/>
      </c>
      <c r="AC154" s="7">
        <f>IF($D154="","",X154-AB154)</f>
        <v/>
      </c>
      <c r="AD154" s="7">
        <f>IF($D154="","",AC154-P154)</f>
        <v/>
      </c>
      <c r="AH154" s="7" t="n"/>
      <c r="AK154" s="11" t="n"/>
      <c r="AM154">
        <f>IF($D154="","",IF(COUNTIF($D$2:$D154,$D154)=1,1,0))</f>
        <v/>
      </c>
      <c r="AN154">
        <f>IF($AM154=1,SUMPRODUCT(--($AQ$2:$AQ$1001&lt;$AQ154))+1,"")</f>
        <v/>
      </c>
      <c r="AO154">
        <f>IF($D154="","",IF(OR($T154=TRUE(),$T154="TRUE"),1,0))</f>
        <v/>
      </c>
      <c r="AP154">
        <f>IF($D154="","",IF($Z154="Yes",1,0))</f>
        <v/>
      </c>
      <c r="AQ154">
        <f>IF($AM154=1,IFERROR(IF(VALUE($D154)&lt;100000000,VALUE($D154),1000000000),IFERROR(IF(VALUE(MID($D154,2,20))&lt;100000000,VALUE(MID($D154,2,20)),1000000000),1000000000))+ROW()/100000,"")</f>
        <v/>
      </c>
    </row>
    <row r="155">
      <c r="F155" s="11" t="n"/>
      <c r="P155" s="7">
        <f>IF($D155="","",O155*X155/100)</f>
        <v/>
      </c>
      <c r="Q155" s="7" t="n"/>
      <c r="W155" s="7" t="n"/>
      <c r="X155" s="7" t="n"/>
      <c r="AA155">
        <f>IF($D155="","",IF($AP155=1,0,IF($AO155=1,Settings!$C$6,Settings!$C$7))*100)</f>
        <v/>
      </c>
      <c r="AB155" s="7">
        <f>IF($D155="","",X155*AA155/100)</f>
        <v/>
      </c>
      <c r="AC155" s="7">
        <f>IF($D155="","",X155-AB155)</f>
        <v/>
      </c>
      <c r="AD155" s="7">
        <f>IF($D155="","",AC155-P155)</f>
        <v/>
      </c>
      <c r="AH155" s="7" t="n"/>
      <c r="AK155" s="11" t="n"/>
      <c r="AM155">
        <f>IF($D155="","",IF(COUNTIF($D$2:$D155,$D155)=1,1,0))</f>
        <v/>
      </c>
      <c r="AN155">
        <f>IF($AM155=1,SUMPRODUCT(--($AQ$2:$AQ$1001&lt;$AQ155))+1,"")</f>
        <v/>
      </c>
      <c r="AO155">
        <f>IF($D155="","",IF(OR($T155=TRUE(),$T155="TRUE"),1,0))</f>
        <v/>
      </c>
      <c r="AP155">
        <f>IF($D155="","",IF($Z155="Yes",1,0))</f>
        <v/>
      </c>
      <c r="AQ155">
        <f>IF($AM155=1,IFERROR(IF(VALUE($D155)&lt;100000000,VALUE($D155),1000000000),IFERROR(IF(VALUE(MID($D155,2,20))&lt;100000000,VALUE(MID($D155,2,20)),1000000000),1000000000))+ROW()/100000,"")</f>
        <v/>
      </c>
    </row>
    <row r="156">
      <c r="F156" s="11" t="n"/>
      <c r="P156" s="7">
        <f>IF($D156="","",O156*X156/100)</f>
        <v/>
      </c>
      <c r="Q156" s="7" t="n"/>
      <c r="W156" s="7" t="n"/>
      <c r="X156" s="7" t="n"/>
      <c r="AA156">
        <f>IF($D156="","",IF($AP156=1,0,IF($AO156=1,Settings!$C$6,Settings!$C$7))*100)</f>
        <v/>
      </c>
      <c r="AB156" s="7">
        <f>IF($D156="","",X156*AA156/100)</f>
        <v/>
      </c>
      <c r="AC156" s="7">
        <f>IF($D156="","",X156-AB156)</f>
        <v/>
      </c>
      <c r="AD156" s="7">
        <f>IF($D156="","",AC156-P156)</f>
        <v/>
      </c>
      <c r="AH156" s="7" t="n"/>
      <c r="AK156" s="11" t="n"/>
      <c r="AM156">
        <f>IF($D156="","",IF(COUNTIF($D$2:$D156,$D156)=1,1,0))</f>
        <v/>
      </c>
      <c r="AN156">
        <f>IF($AM156=1,SUMPRODUCT(--($AQ$2:$AQ$1001&lt;$AQ156))+1,"")</f>
        <v/>
      </c>
      <c r="AO156">
        <f>IF($D156="","",IF(OR($T156=TRUE(),$T156="TRUE"),1,0))</f>
        <v/>
      </c>
      <c r="AP156">
        <f>IF($D156="","",IF($Z156="Yes",1,0))</f>
        <v/>
      </c>
      <c r="AQ156">
        <f>IF($AM156=1,IFERROR(IF(VALUE($D156)&lt;100000000,VALUE($D156),1000000000),IFERROR(IF(VALUE(MID($D156,2,20))&lt;100000000,VALUE(MID($D156,2,20)),1000000000),1000000000))+ROW()/100000,"")</f>
        <v/>
      </c>
    </row>
    <row r="157">
      <c r="F157" s="11" t="n"/>
      <c r="P157" s="7">
        <f>IF($D157="","",O157*X157/100)</f>
        <v/>
      </c>
      <c r="Q157" s="7" t="n"/>
      <c r="W157" s="7" t="n"/>
      <c r="X157" s="7" t="n"/>
      <c r="AA157">
        <f>IF($D157="","",IF($AP157=1,0,IF($AO157=1,Settings!$C$6,Settings!$C$7))*100)</f>
        <v/>
      </c>
      <c r="AB157" s="7">
        <f>IF($D157="","",X157*AA157/100)</f>
        <v/>
      </c>
      <c r="AC157" s="7">
        <f>IF($D157="","",X157-AB157)</f>
        <v/>
      </c>
      <c r="AD157" s="7">
        <f>IF($D157="","",AC157-P157)</f>
        <v/>
      </c>
      <c r="AH157" s="7" t="n"/>
      <c r="AK157" s="11" t="n"/>
      <c r="AM157">
        <f>IF($D157="","",IF(COUNTIF($D$2:$D157,$D157)=1,1,0))</f>
        <v/>
      </c>
      <c r="AN157">
        <f>IF($AM157=1,SUMPRODUCT(--($AQ$2:$AQ$1001&lt;$AQ157))+1,"")</f>
        <v/>
      </c>
      <c r="AO157">
        <f>IF($D157="","",IF(OR($T157=TRUE(),$T157="TRUE"),1,0))</f>
        <v/>
      </c>
      <c r="AP157">
        <f>IF($D157="","",IF($Z157="Yes",1,0))</f>
        <v/>
      </c>
      <c r="AQ157">
        <f>IF($AM157=1,IFERROR(IF(VALUE($D157)&lt;100000000,VALUE($D157),1000000000),IFERROR(IF(VALUE(MID($D157,2,20))&lt;100000000,VALUE(MID($D157,2,20)),1000000000),1000000000))+ROW()/100000,"")</f>
        <v/>
      </c>
    </row>
    <row r="158">
      <c r="F158" s="11" t="n"/>
      <c r="P158" s="7">
        <f>IF($D158="","",O158*X158/100)</f>
        <v/>
      </c>
      <c r="Q158" s="7" t="n"/>
      <c r="W158" s="7" t="n"/>
      <c r="X158" s="7" t="n"/>
      <c r="AA158">
        <f>IF($D158="","",IF($AP158=1,0,IF($AO158=1,Settings!$C$6,Settings!$C$7))*100)</f>
        <v/>
      </c>
      <c r="AB158" s="7">
        <f>IF($D158="","",X158*AA158/100)</f>
        <v/>
      </c>
      <c r="AC158" s="7">
        <f>IF($D158="","",X158-AB158)</f>
        <v/>
      </c>
      <c r="AD158" s="7">
        <f>IF($D158="","",AC158-P158)</f>
        <v/>
      </c>
      <c r="AH158" s="7" t="n"/>
      <c r="AK158" s="11" t="n"/>
      <c r="AM158">
        <f>IF($D158="","",IF(COUNTIF($D$2:$D158,$D158)=1,1,0))</f>
        <v/>
      </c>
      <c r="AN158">
        <f>IF($AM158=1,SUMPRODUCT(--($AQ$2:$AQ$1001&lt;$AQ158))+1,"")</f>
        <v/>
      </c>
      <c r="AO158">
        <f>IF($D158="","",IF(OR($T158=TRUE(),$T158="TRUE"),1,0))</f>
        <v/>
      </c>
      <c r="AP158">
        <f>IF($D158="","",IF($Z158="Yes",1,0))</f>
        <v/>
      </c>
      <c r="AQ158">
        <f>IF($AM158=1,IFERROR(IF(VALUE($D158)&lt;100000000,VALUE($D158),1000000000),IFERROR(IF(VALUE(MID($D158,2,20))&lt;100000000,VALUE(MID($D158,2,20)),1000000000),1000000000))+ROW()/100000,"")</f>
        <v/>
      </c>
    </row>
    <row r="159">
      <c r="F159" s="11" t="n"/>
      <c r="P159" s="7">
        <f>IF($D159="","",O159*X159/100)</f>
        <v/>
      </c>
      <c r="Q159" s="7" t="n"/>
      <c r="W159" s="7" t="n"/>
      <c r="X159" s="7" t="n"/>
      <c r="AA159">
        <f>IF($D159="","",IF($AP159=1,0,IF($AO159=1,Settings!$C$6,Settings!$C$7))*100)</f>
        <v/>
      </c>
      <c r="AB159" s="7">
        <f>IF($D159="","",X159*AA159/100)</f>
        <v/>
      </c>
      <c r="AC159" s="7">
        <f>IF($D159="","",X159-AB159)</f>
        <v/>
      </c>
      <c r="AD159" s="7">
        <f>IF($D159="","",AC159-P159)</f>
        <v/>
      </c>
      <c r="AH159" s="7" t="n"/>
      <c r="AK159" s="11" t="n"/>
      <c r="AM159">
        <f>IF($D159="","",IF(COUNTIF($D$2:$D159,$D159)=1,1,0))</f>
        <v/>
      </c>
      <c r="AN159">
        <f>IF($AM159=1,SUMPRODUCT(--($AQ$2:$AQ$1001&lt;$AQ159))+1,"")</f>
        <v/>
      </c>
      <c r="AO159">
        <f>IF($D159="","",IF(OR($T159=TRUE(),$T159="TRUE"),1,0))</f>
        <v/>
      </c>
      <c r="AP159">
        <f>IF($D159="","",IF($Z159="Yes",1,0))</f>
        <v/>
      </c>
      <c r="AQ159">
        <f>IF($AM159=1,IFERROR(IF(VALUE($D159)&lt;100000000,VALUE($D159),1000000000),IFERROR(IF(VALUE(MID($D159,2,20))&lt;100000000,VALUE(MID($D159,2,20)),1000000000),1000000000))+ROW()/100000,"")</f>
        <v/>
      </c>
    </row>
    <row r="160">
      <c r="F160" s="11" t="n"/>
      <c r="P160" s="7">
        <f>IF($D160="","",O160*X160/100)</f>
        <v/>
      </c>
      <c r="Q160" s="7" t="n"/>
      <c r="W160" s="7" t="n"/>
      <c r="X160" s="7" t="n"/>
      <c r="AA160">
        <f>IF($D160="","",IF($AP160=1,0,IF($AO160=1,Settings!$C$6,Settings!$C$7))*100)</f>
        <v/>
      </c>
      <c r="AB160" s="7">
        <f>IF($D160="","",X160*AA160/100)</f>
        <v/>
      </c>
      <c r="AC160" s="7">
        <f>IF($D160="","",X160-AB160)</f>
        <v/>
      </c>
      <c r="AD160" s="7">
        <f>IF($D160="","",AC160-P160)</f>
        <v/>
      </c>
      <c r="AH160" s="7" t="n"/>
      <c r="AK160" s="11" t="n"/>
      <c r="AM160">
        <f>IF($D160="","",IF(COUNTIF($D$2:$D160,$D160)=1,1,0))</f>
        <v/>
      </c>
      <c r="AN160">
        <f>IF($AM160=1,SUMPRODUCT(--($AQ$2:$AQ$1001&lt;$AQ160))+1,"")</f>
        <v/>
      </c>
      <c r="AO160">
        <f>IF($D160="","",IF(OR($T160=TRUE(),$T160="TRUE"),1,0))</f>
        <v/>
      </c>
      <c r="AP160">
        <f>IF($D160="","",IF($Z160="Yes",1,0))</f>
        <v/>
      </c>
      <c r="AQ160">
        <f>IF($AM160=1,IFERROR(IF(VALUE($D160)&lt;100000000,VALUE($D160),1000000000),IFERROR(IF(VALUE(MID($D160,2,20))&lt;100000000,VALUE(MID($D160,2,20)),1000000000),1000000000))+ROW()/100000,"")</f>
        <v/>
      </c>
    </row>
    <row r="161">
      <c r="F161" s="11" t="n"/>
      <c r="P161" s="7">
        <f>IF($D161="","",O161*X161/100)</f>
        <v/>
      </c>
      <c r="Q161" s="7" t="n"/>
      <c r="W161" s="7" t="n"/>
      <c r="X161" s="7" t="n"/>
      <c r="AA161">
        <f>IF($D161="","",IF($AP161=1,0,IF($AO161=1,Settings!$C$6,Settings!$C$7))*100)</f>
        <v/>
      </c>
      <c r="AB161" s="7">
        <f>IF($D161="","",X161*AA161/100)</f>
        <v/>
      </c>
      <c r="AC161" s="7">
        <f>IF($D161="","",X161-AB161)</f>
        <v/>
      </c>
      <c r="AD161" s="7">
        <f>IF($D161="","",AC161-P161)</f>
        <v/>
      </c>
      <c r="AH161" s="7" t="n"/>
      <c r="AK161" s="11" t="n"/>
      <c r="AM161">
        <f>IF($D161="","",IF(COUNTIF($D$2:$D161,$D161)=1,1,0))</f>
        <v/>
      </c>
      <c r="AN161">
        <f>IF($AM161=1,SUMPRODUCT(--($AQ$2:$AQ$1001&lt;$AQ161))+1,"")</f>
        <v/>
      </c>
      <c r="AO161">
        <f>IF($D161="","",IF(OR($T161=TRUE(),$T161="TRUE"),1,0))</f>
        <v/>
      </c>
      <c r="AP161">
        <f>IF($D161="","",IF($Z161="Yes",1,0))</f>
        <v/>
      </c>
      <c r="AQ161">
        <f>IF($AM161=1,IFERROR(IF(VALUE($D161)&lt;100000000,VALUE($D161),1000000000),IFERROR(IF(VALUE(MID($D161,2,20))&lt;100000000,VALUE(MID($D161,2,20)),1000000000),1000000000))+ROW()/100000,"")</f>
        <v/>
      </c>
    </row>
    <row r="162">
      <c r="F162" s="11" t="n"/>
      <c r="P162" s="7">
        <f>IF($D162="","",O162*X162/100)</f>
        <v/>
      </c>
      <c r="Q162" s="7" t="n"/>
      <c r="W162" s="7" t="n"/>
      <c r="X162" s="7" t="n"/>
      <c r="AA162">
        <f>IF($D162="","",IF($AP162=1,0,IF($AO162=1,Settings!$C$6,Settings!$C$7))*100)</f>
        <v/>
      </c>
      <c r="AB162" s="7">
        <f>IF($D162="","",X162*AA162/100)</f>
        <v/>
      </c>
      <c r="AC162" s="7">
        <f>IF($D162="","",X162-AB162)</f>
        <v/>
      </c>
      <c r="AD162" s="7">
        <f>IF($D162="","",AC162-P162)</f>
        <v/>
      </c>
      <c r="AH162" s="7" t="n"/>
      <c r="AK162" s="11" t="n"/>
      <c r="AM162">
        <f>IF($D162="","",IF(COUNTIF($D$2:$D162,$D162)=1,1,0))</f>
        <v/>
      </c>
      <c r="AN162">
        <f>IF($AM162=1,SUMPRODUCT(--($AQ$2:$AQ$1001&lt;$AQ162))+1,"")</f>
        <v/>
      </c>
      <c r="AO162">
        <f>IF($D162="","",IF(OR($T162=TRUE(),$T162="TRUE"),1,0))</f>
        <v/>
      </c>
      <c r="AP162">
        <f>IF($D162="","",IF($Z162="Yes",1,0))</f>
        <v/>
      </c>
      <c r="AQ162">
        <f>IF($AM162=1,IFERROR(IF(VALUE($D162)&lt;100000000,VALUE($D162),1000000000),IFERROR(IF(VALUE(MID($D162,2,20))&lt;100000000,VALUE(MID($D162,2,20)),1000000000),1000000000))+ROW()/100000,"")</f>
        <v/>
      </c>
    </row>
    <row r="163">
      <c r="F163" s="11" t="n"/>
      <c r="P163" s="7">
        <f>IF($D163="","",O163*X163/100)</f>
        <v/>
      </c>
      <c r="Q163" s="7" t="n"/>
      <c r="W163" s="7" t="n"/>
      <c r="X163" s="7" t="n"/>
      <c r="AA163">
        <f>IF($D163="","",IF($AP163=1,0,IF($AO163=1,Settings!$C$6,Settings!$C$7))*100)</f>
        <v/>
      </c>
      <c r="AB163" s="7">
        <f>IF($D163="","",X163*AA163/100)</f>
        <v/>
      </c>
      <c r="AC163" s="7">
        <f>IF($D163="","",X163-AB163)</f>
        <v/>
      </c>
      <c r="AD163" s="7">
        <f>IF($D163="","",AC163-P163)</f>
        <v/>
      </c>
      <c r="AH163" s="7" t="n"/>
      <c r="AK163" s="11" t="n"/>
      <c r="AM163">
        <f>IF($D163="","",IF(COUNTIF($D$2:$D163,$D163)=1,1,0))</f>
        <v/>
      </c>
      <c r="AN163">
        <f>IF($AM163=1,SUMPRODUCT(--($AQ$2:$AQ$1001&lt;$AQ163))+1,"")</f>
        <v/>
      </c>
      <c r="AO163">
        <f>IF($D163="","",IF(OR($T163=TRUE(),$T163="TRUE"),1,0))</f>
        <v/>
      </c>
      <c r="AP163">
        <f>IF($D163="","",IF($Z163="Yes",1,0))</f>
        <v/>
      </c>
      <c r="AQ163">
        <f>IF($AM163=1,IFERROR(IF(VALUE($D163)&lt;100000000,VALUE($D163),1000000000),IFERROR(IF(VALUE(MID($D163,2,20))&lt;100000000,VALUE(MID($D163,2,20)),1000000000),1000000000))+ROW()/100000,"")</f>
        <v/>
      </c>
    </row>
    <row r="164">
      <c r="F164" s="11" t="n"/>
      <c r="P164" s="7">
        <f>IF($D164="","",O164*X164/100)</f>
        <v/>
      </c>
      <c r="Q164" s="7" t="n"/>
      <c r="W164" s="7" t="n"/>
      <c r="X164" s="7" t="n"/>
      <c r="AA164">
        <f>IF($D164="","",IF($AP164=1,0,IF($AO164=1,Settings!$C$6,Settings!$C$7))*100)</f>
        <v/>
      </c>
      <c r="AB164" s="7">
        <f>IF($D164="","",X164*AA164/100)</f>
        <v/>
      </c>
      <c r="AC164" s="7">
        <f>IF($D164="","",X164-AB164)</f>
        <v/>
      </c>
      <c r="AD164" s="7">
        <f>IF($D164="","",AC164-P164)</f>
        <v/>
      </c>
      <c r="AH164" s="7" t="n"/>
      <c r="AK164" s="11" t="n"/>
      <c r="AM164">
        <f>IF($D164="","",IF(COUNTIF($D$2:$D164,$D164)=1,1,0))</f>
        <v/>
      </c>
      <c r="AN164">
        <f>IF($AM164=1,SUMPRODUCT(--($AQ$2:$AQ$1001&lt;$AQ164))+1,"")</f>
        <v/>
      </c>
      <c r="AO164">
        <f>IF($D164="","",IF(OR($T164=TRUE(),$T164="TRUE"),1,0))</f>
        <v/>
      </c>
      <c r="AP164">
        <f>IF($D164="","",IF($Z164="Yes",1,0))</f>
        <v/>
      </c>
      <c r="AQ164">
        <f>IF($AM164=1,IFERROR(IF(VALUE($D164)&lt;100000000,VALUE($D164),1000000000),IFERROR(IF(VALUE(MID($D164,2,20))&lt;100000000,VALUE(MID($D164,2,20)),1000000000),1000000000))+ROW()/100000,"")</f>
        <v/>
      </c>
    </row>
    <row r="165">
      <c r="F165" s="11" t="n"/>
      <c r="P165" s="7">
        <f>IF($D165="","",O165*X165/100)</f>
        <v/>
      </c>
      <c r="Q165" s="7" t="n"/>
      <c r="W165" s="7" t="n"/>
      <c r="X165" s="7" t="n"/>
      <c r="AA165">
        <f>IF($D165="","",IF($AP165=1,0,IF($AO165=1,Settings!$C$6,Settings!$C$7))*100)</f>
        <v/>
      </c>
      <c r="AB165" s="7">
        <f>IF($D165="","",X165*AA165/100)</f>
        <v/>
      </c>
      <c r="AC165" s="7">
        <f>IF($D165="","",X165-AB165)</f>
        <v/>
      </c>
      <c r="AD165" s="7">
        <f>IF($D165="","",AC165-P165)</f>
        <v/>
      </c>
      <c r="AH165" s="7" t="n"/>
      <c r="AK165" s="11" t="n"/>
      <c r="AM165">
        <f>IF($D165="","",IF(COUNTIF($D$2:$D165,$D165)=1,1,0))</f>
        <v/>
      </c>
      <c r="AN165">
        <f>IF($AM165=1,SUMPRODUCT(--($AQ$2:$AQ$1001&lt;$AQ165))+1,"")</f>
        <v/>
      </c>
      <c r="AO165">
        <f>IF($D165="","",IF(OR($T165=TRUE(),$T165="TRUE"),1,0))</f>
        <v/>
      </c>
      <c r="AP165">
        <f>IF($D165="","",IF($Z165="Yes",1,0))</f>
        <v/>
      </c>
      <c r="AQ165">
        <f>IF($AM165=1,IFERROR(IF(VALUE($D165)&lt;100000000,VALUE($D165),1000000000),IFERROR(IF(VALUE(MID($D165,2,20))&lt;100000000,VALUE(MID($D165,2,20)),1000000000),1000000000))+ROW()/100000,"")</f>
        <v/>
      </c>
    </row>
    <row r="166">
      <c r="F166" s="11" t="n"/>
      <c r="P166" s="7">
        <f>IF($D166="","",O166*X166/100)</f>
        <v/>
      </c>
      <c r="Q166" s="7" t="n"/>
      <c r="W166" s="7" t="n"/>
      <c r="X166" s="7" t="n"/>
      <c r="AA166">
        <f>IF($D166="","",IF($AP166=1,0,IF($AO166=1,Settings!$C$6,Settings!$C$7))*100)</f>
        <v/>
      </c>
      <c r="AB166" s="7">
        <f>IF($D166="","",X166*AA166/100)</f>
        <v/>
      </c>
      <c r="AC166" s="7">
        <f>IF($D166="","",X166-AB166)</f>
        <v/>
      </c>
      <c r="AD166" s="7">
        <f>IF($D166="","",AC166-P166)</f>
        <v/>
      </c>
      <c r="AH166" s="7" t="n"/>
      <c r="AK166" s="11" t="n"/>
      <c r="AM166">
        <f>IF($D166="","",IF(COUNTIF($D$2:$D166,$D166)=1,1,0))</f>
        <v/>
      </c>
      <c r="AN166">
        <f>IF($AM166=1,SUMPRODUCT(--($AQ$2:$AQ$1001&lt;$AQ166))+1,"")</f>
        <v/>
      </c>
      <c r="AO166">
        <f>IF($D166="","",IF(OR($T166=TRUE(),$T166="TRUE"),1,0))</f>
        <v/>
      </c>
      <c r="AP166">
        <f>IF($D166="","",IF($Z166="Yes",1,0))</f>
        <v/>
      </c>
      <c r="AQ166">
        <f>IF($AM166=1,IFERROR(IF(VALUE($D166)&lt;100000000,VALUE($D166),1000000000),IFERROR(IF(VALUE(MID($D166,2,20))&lt;100000000,VALUE(MID($D166,2,20)),1000000000),1000000000))+ROW()/100000,"")</f>
        <v/>
      </c>
    </row>
    <row r="167">
      <c r="F167" s="11" t="n"/>
      <c r="P167" s="7">
        <f>IF($D167="","",O167*X167/100)</f>
        <v/>
      </c>
      <c r="Q167" s="7" t="n"/>
      <c r="W167" s="7" t="n"/>
      <c r="X167" s="7" t="n"/>
      <c r="AA167">
        <f>IF($D167="","",IF($AP167=1,0,IF($AO167=1,Settings!$C$6,Settings!$C$7))*100)</f>
        <v/>
      </c>
      <c r="AB167" s="7">
        <f>IF($D167="","",X167*AA167/100)</f>
        <v/>
      </c>
      <c r="AC167" s="7">
        <f>IF($D167="","",X167-AB167)</f>
        <v/>
      </c>
      <c r="AD167" s="7">
        <f>IF($D167="","",AC167-P167)</f>
        <v/>
      </c>
      <c r="AH167" s="7" t="n"/>
      <c r="AK167" s="11" t="n"/>
      <c r="AM167">
        <f>IF($D167="","",IF(COUNTIF($D$2:$D167,$D167)=1,1,0))</f>
        <v/>
      </c>
      <c r="AN167">
        <f>IF($AM167=1,SUMPRODUCT(--($AQ$2:$AQ$1001&lt;$AQ167))+1,"")</f>
        <v/>
      </c>
      <c r="AO167">
        <f>IF($D167="","",IF(OR($T167=TRUE(),$T167="TRUE"),1,0))</f>
        <v/>
      </c>
      <c r="AP167">
        <f>IF($D167="","",IF($Z167="Yes",1,0))</f>
        <v/>
      </c>
      <c r="AQ167">
        <f>IF($AM167=1,IFERROR(IF(VALUE($D167)&lt;100000000,VALUE($D167),1000000000),IFERROR(IF(VALUE(MID($D167,2,20))&lt;100000000,VALUE(MID($D167,2,20)),1000000000),1000000000))+ROW()/100000,"")</f>
        <v/>
      </c>
    </row>
    <row r="168">
      <c r="F168" s="11" t="n"/>
      <c r="P168" s="7">
        <f>IF($D168="","",O168*X168/100)</f>
        <v/>
      </c>
      <c r="Q168" s="7" t="n"/>
      <c r="W168" s="7" t="n"/>
      <c r="X168" s="7" t="n"/>
      <c r="AA168">
        <f>IF($D168="","",IF($AP168=1,0,IF($AO168=1,Settings!$C$6,Settings!$C$7))*100)</f>
        <v/>
      </c>
      <c r="AB168" s="7">
        <f>IF($D168="","",X168*AA168/100)</f>
        <v/>
      </c>
      <c r="AC168" s="7">
        <f>IF($D168="","",X168-AB168)</f>
        <v/>
      </c>
      <c r="AD168" s="7">
        <f>IF($D168="","",AC168-P168)</f>
        <v/>
      </c>
      <c r="AH168" s="7" t="n"/>
      <c r="AK168" s="11" t="n"/>
      <c r="AM168">
        <f>IF($D168="","",IF(COUNTIF($D$2:$D168,$D168)=1,1,0))</f>
        <v/>
      </c>
      <c r="AN168">
        <f>IF($AM168=1,SUMPRODUCT(--($AQ$2:$AQ$1001&lt;$AQ168))+1,"")</f>
        <v/>
      </c>
      <c r="AO168">
        <f>IF($D168="","",IF(OR($T168=TRUE(),$T168="TRUE"),1,0))</f>
        <v/>
      </c>
      <c r="AP168">
        <f>IF($D168="","",IF($Z168="Yes",1,0))</f>
        <v/>
      </c>
      <c r="AQ168">
        <f>IF($AM168=1,IFERROR(IF(VALUE($D168)&lt;100000000,VALUE($D168),1000000000),IFERROR(IF(VALUE(MID($D168,2,20))&lt;100000000,VALUE(MID($D168,2,20)),1000000000),1000000000))+ROW()/100000,"")</f>
        <v/>
      </c>
    </row>
    <row r="169">
      <c r="F169" s="11" t="n"/>
      <c r="P169" s="7">
        <f>IF($D169="","",O169*X169/100)</f>
        <v/>
      </c>
      <c r="Q169" s="7" t="n"/>
      <c r="W169" s="7" t="n"/>
      <c r="X169" s="7" t="n"/>
      <c r="AA169">
        <f>IF($D169="","",IF($AP169=1,0,IF($AO169=1,Settings!$C$6,Settings!$C$7))*100)</f>
        <v/>
      </c>
      <c r="AB169" s="7">
        <f>IF($D169="","",X169*AA169/100)</f>
        <v/>
      </c>
      <c r="AC169" s="7">
        <f>IF($D169="","",X169-AB169)</f>
        <v/>
      </c>
      <c r="AD169" s="7">
        <f>IF($D169="","",AC169-P169)</f>
        <v/>
      </c>
      <c r="AH169" s="7" t="n"/>
      <c r="AK169" s="11" t="n"/>
      <c r="AM169">
        <f>IF($D169="","",IF(COUNTIF($D$2:$D169,$D169)=1,1,0))</f>
        <v/>
      </c>
      <c r="AN169">
        <f>IF($AM169=1,SUMPRODUCT(--($AQ$2:$AQ$1001&lt;$AQ169))+1,"")</f>
        <v/>
      </c>
      <c r="AO169">
        <f>IF($D169="","",IF(OR($T169=TRUE(),$T169="TRUE"),1,0))</f>
        <v/>
      </c>
      <c r="AP169">
        <f>IF($D169="","",IF($Z169="Yes",1,0))</f>
        <v/>
      </c>
      <c r="AQ169">
        <f>IF($AM169=1,IFERROR(IF(VALUE($D169)&lt;100000000,VALUE($D169),1000000000),IFERROR(IF(VALUE(MID($D169,2,20))&lt;100000000,VALUE(MID($D169,2,20)),1000000000),1000000000))+ROW()/100000,"")</f>
        <v/>
      </c>
    </row>
    <row r="170">
      <c r="F170" s="11" t="n"/>
      <c r="P170" s="7">
        <f>IF($D170="","",O170*X170/100)</f>
        <v/>
      </c>
      <c r="Q170" s="7" t="n"/>
      <c r="W170" s="7" t="n"/>
      <c r="X170" s="7" t="n"/>
      <c r="AA170">
        <f>IF($D170="","",IF($AP170=1,0,IF($AO170=1,Settings!$C$6,Settings!$C$7))*100)</f>
        <v/>
      </c>
      <c r="AB170" s="7">
        <f>IF($D170="","",X170*AA170/100)</f>
        <v/>
      </c>
      <c r="AC170" s="7">
        <f>IF($D170="","",X170-AB170)</f>
        <v/>
      </c>
      <c r="AD170" s="7">
        <f>IF($D170="","",AC170-P170)</f>
        <v/>
      </c>
      <c r="AH170" s="7" t="n"/>
      <c r="AK170" s="11" t="n"/>
      <c r="AM170">
        <f>IF($D170="","",IF(COUNTIF($D$2:$D170,$D170)=1,1,0))</f>
        <v/>
      </c>
      <c r="AN170">
        <f>IF($AM170=1,SUMPRODUCT(--($AQ$2:$AQ$1001&lt;$AQ170))+1,"")</f>
        <v/>
      </c>
      <c r="AO170">
        <f>IF($D170="","",IF(OR($T170=TRUE(),$T170="TRUE"),1,0))</f>
        <v/>
      </c>
      <c r="AP170">
        <f>IF($D170="","",IF($Z170="Yes",1,0))</f>
        <v/>
      </c>
      <c r="AQ170">
        <f>IF($AM170=1,IFERROR(IF(VALUE($D170)&lt;100000000,VALUE($D170),1000000000),IFERROR(IF(VALUE(MID($D170,2,20))&lt;100000000,VALUE(MID($D170,2,20)),1000000000),1000000000))+ROW()/100000,"")</f>
        <v/>
      </c>
    </row>
    <row r="171">
      <c r="F171" s="11" t="n"/>
      <c r="P171" s="7">
        <f>IF($D171="","",O171*X171/100)</f>
        <v/>
      </c>
      <c r="Q171" s="7" t="n"/>
      <c r="W171" s="7" t="n"/>
      <c r="X171" s="7" t="n"/>
      <c r="AA171">
        <f>IF($D171="","",IF($AP171=1,0,IF($AO171=1,Settings!$C$6,Settings!$C$7))*100)</f>
        <v/>
      </c>
      <c r="AB171" s="7">
        <f>IF($D171="","",X171*AA171/100)</f>
        <v/>
      </c>
      <c r="AC171" s="7">
        <f>IF($D171="","",X171-AB171)</f>
        <v/>
      </c>
      <c r="AD171" s="7">
        <f>IF($D171="","",AC171-P171)</f>
        <v/>
      </c>
      <c r="AH171" s="7" t="n"/>
      <c r="AK171" s="11" t="n"/>
      <c r="AM171">
        <f>IF($D171="","",IF(COUNTIF($D$2:$D171,$D171)=1,1,0))</f>
        <v/>
      </c>
      <c r="AN171">
        <f>IF($AM171=1,SUMPRODUCT(--($AQ$2:$AQ$1001&lt;$AQ171))+1,"")</f>
        <v/>
      </c>
      <c r="AO171">
        <f>IF($D171="","",IF(OR($T171=TRUE(),$T171="TRUE"),1,0))</f>
        <v/>
      </c>
      <c r="AP171">
        <f>IF($D171="","",IF($Z171="Yes",1,0))</f>
        <v/>
      </c>
      <c r="AQ171">
        <f>IF($AM171=1,IFERROR(IF(VALUE($D171)&lt;100000000,VALUE($D171),1000000000),IFERROR(IF(VALUE(MID($D171,2,20))&lt;100000000,VALUE(MID($D171,2,20)),1000000000),1000000000))+ROW()/100000,"")</f>
        <v/>
      </c>
    </row>
    <row r="172">
      <c r="F172" s="11" t="n"/>
      <c r="P172" s="7">
        <f>IF($D172="","",O172*X172/100)</f>
        <v/>
      </c>
      <c r="Q172" s="7" t="n"/>
      <c r="W172" s="7" t="n"/>
      <c r="X172" s="7" t="n"/>
      <c r="AA172">
        <f>IF($D172="","",IF($AP172=1,0,IF($AO172=1,Settings!$C$6,Settings!$C$7))*100)</f>
        <v/>
      </c>
      <c r="AB172" s="7">
        <f>IF($D172="","",X172*AA172/100)</f>
        <v/>
      </c>
      <c r="AC172" s="7">
        <f>IF($D172="","",X172-AB172)</f>
        <v/>
      </c>
      <c r="AD172" s="7">
        <f>IF($D172="","",AC172-P172)</f>
        <v/>
      </c>
      <c r="AH172" s="7" t="n"/>
      <c r="AK172" s="11" t="n"/>
      <c r="AM172">
        <f>IF($D172="","",IF(COUNTIF($D$2:$D172,$D172)=1,1,0))</f>
        <v/>
      </c>
      <c r="AN172">
        <f>IF($AM172=1,SUMPRODUCT(--($AQ$2:$AQ$1001&lt;$AQ172))+1,"")</f>
        <v/>
      </c>
      <c r="AO172">
        <f>IF($D172="","",IF(OR($T172=TRUE(),$T172="TRUE"),1,0))</f>
        <v/>
      </c>
      <c r="AP172">
        <f>IF($D172="","",IF($Z172="Yes",1,0))</f>
        <v/>
      </c>
      <c r="AQ172">
        <f>IF($AM172=1,IFERROR(IF(VALUE($D172)&lt;100000000,VALUE($D172),1000000000),IFERROR(IF(VALUE(MID($D172,2,20))&lt;100000000,VALUE(MID($D172,2,20)),1000000000),1000000000))+ROW()/100000,"")</f>
        <v/>
      </c>
    </row>
    <row r="173">
      <c r="F173" s="11" t="n"/>
      <c r="P173" s="7">
        <f>IF($D173="","",O173*X173/100)</f>
        <v/>
      </c>
      <c r="Q173" s="7" t="n"/>
      <c r="W173" s="7" t="n"/>
      <c r="X173" s="7" t="n"/>
      <c r="AA173">
        <f>IF($D173="","",IF($AP173=1,0,IF($AO173=1,Settings!$C$6,Settings!$C$7))*100)</f>
        <v/>
      </c>
      <c r="AB173" s="7">
        <f>IF($D173="","",X173*AA173/100)</f>
        <v/>
      </c>
      <c r="AC173" s="7">
        <f>IF($D173="","",X173-AB173)</f>
        <v/>
      </c>
      <c r="AD173" s="7">
        <f>IF($D173="","",AC173-P173)</f>
        <v/>
      </c>
      <c r="AH173" s="7" t="n"/>
      <c r="AK173" s="11" t="n"/>
      <c r="AM173">
        <f>IF($D173="","",IF(COUNTIF($D$2:$D173,$D173)=1,1,0))</f>
        <v/>
      </c>
      <c r="AN173">
        <f>IF($AM173=1,SUMPRODUCT(--($AQ$2:$AQ$1001&lt;$AQ173))+1,"")</f>
        <v/>
      </c>
      <c r="AO173">
        <f>IF($D173="","",IF(OR($T173=TRUE(),$T173="TRUE"),1,0))</f>
        <v/>
      </c>
      <c r="AP173">
        <f>IF($D173="","",IF($Z173="Yes",1,0))</f>
        <v/>
      </c>
      <c r="AQ173">
        <f>IF($AM173=1,IFERROR(IF(VALUE($D173)&lt;100000000,VALUE($D173),1000000000),IFERROR(IF(VALUE(MID($D173,2,20))&lt;100000000,VALUE(MID($D173,2,20)),1000000000),1000000000))+ROW()/100000,"")</f>
        <v/>
      </c>
    </row>
    <row r="174">
      <c r="F174" s="11" t="n"/>
      <c r="P174" s="7">
        <f>IF($D174="","",O174*X174/100)</f>
        <v/>
      </c>
      <c r="Q174" s="7" t="n"/>
      <c r="W174" s="7" t="n"/>
      <c r="X174" s="7" t="n"/>
      <c r="AA174">
        <f>IF($D174="","",IF($AP174=1,0,IF($AO174=1,Settings!$C$6,Settings!$C$7))*100)</f>
        <v/>
      </c>
      <c r="AB174" s="7">
        <f>IF($D174="","",X174*AA174/100)</f>
        <v/>
      </c>
      <c r="AC174" s="7">
        <f>IF($D174="","",X174-AB174)</f>
        <v/>
      </c>
      <c r="AD174" s="7">
        <f>IF($D174="","",AC174-P174)</f>
        <v/>
      </c>
      <c r="AH174" s="7" t="n"/>
      <c r="AK174" s="11" t="n"/>
      <c r="AM174">
        <f>IF($D174="","",IF(COUNTIF($D$2:$D174,$D174)=1,1,0))</f>
        <v/>
      </c>
      <c r="AN174">
        <f>IF($AM174=1,SUMPRODUCT(--($AQ$2:$AQ$1001&lt;$AQ174))+1,"")</f>
        <v/>
      </c>
      <c r="AO174">
        <f>IF($D174="","",IF(OR($T174=TRUE(),$T174="TRUE"),1,0))</f>
        <v/>
      </c>
      <c r="AP174">
        <f>IF($D174="","",IF($Z174="Yes",1,0))</f>
        <v/>
      </c>
      <c r="AQ174">
        <f>IF($AM174=1,IFERROR(IF(VALUE($D174)&lt;100000000,VALUE($D174),1000000000),IFERROR(IF(VALUE(MID($D174,2,20))&lt;100000000,VALUE(MID($D174,2,20)),1000000000),1000000000))+ROW()/100000,"")</f>
        <v/>
      </c>
    </row>
    <row r="175">
      <c r="F175" s="11" t="n"/>
      <c r="P175" s="7">
        <f>IF($D175="","",O175*X175/100)</f>
        <v/>
      </c>
      <c r="Q175" s="7" t="n"/>
      <c r="W175" s="7" t="n"/>
      <c r="X175" s="7" t="n"/>
      <c r="AA175">
        <f>IF($D175="","",IF($AP175=1,0,IF($AO175=1,Settings!$C$6,Settings!$C$7))*100)</f>
        <v/>
      </c>
      <c r="AB175" s="7">
        <f>IF($D175="","",X175*AA175/100)</f>
        <v/>
      </c>
      <c r="AC175" s="7">
        <f>IF($D175="","",X175-AB175)</f>
        <v/>
      </c>
      <c r="AD175" s="7">
        <f>IF($D175="","",AC175-P175)</f>
        <v/>
      </c>
      <c r="AH175" s="7" t="n"/>
      <c r="AK175" s="11" t="n"/>
      <c r="AM175">
        <f>IF($D175="","",IF(COUNTIF($D$2:$D175,$D175)=1,1,0))</f>
        <v/>
      </c>
      <c r="AN175">
        <f>IF($AM175=1,SUMPRODUCT(--($AQ$2:$AQ$1001&lt;$AQ175))+1,"")</f>
        <v/>
      </c>
      <c r="AO175">
        <f>IF($D175="","",IF(OR($T175=TRUE(),$T175="TRUE"),1,0))</f>
        <v/>
      </c>
      <c r="AP175">
        <f>IF($D175="","",IF($Z175="Yes",1,0))</f>
        <v/>
      </c>
      <c r="AQ175">
        <f>IF($AM175=1,IFERROR(IF(VALUE($D175)&lt;100000000,VALUE($D175),1000000000),IFERROR(IF(VALUE(MID($D175,2,20))&lt;100000000,VALUE(MID($D175,2,20)),1000000000),1000000000))+ROW()/100000,"")</f>
        <v/>
      </c>
    </row>
    <row r="176">
      <c r="F176" s="11" t="n"/>
      <c r="P176" s="7">
        <f>IF($D176="","",O176*X176/100)</f>
        <v/>
      </c>
      <c r="Q176" s="7" t="n"/>
      <c r="W176" s="7" t="n"/>
      <c r="X176" s="7" t="n"/>
      <c r="AA176">
        <f>IF($D176="","",IF($AP176=1,0,IF($AO176=1,Settings!$C$6,Settings!$C$7))*100)</f>
        <v/>
      </c>
      <c r="AB176" s="7">
        <f>IF($D176="","",X176*AA176/100)</f>
        <v/>
      </c>
      <c r="AC176" s="7">
        <f>IF($D176="","",X176-AB176)</f>
        <v/>
      </c>
      <c r="AD176" s="7">
        <f>IF($D176="","",AC176-P176)</f>
        <v/>
      </c>
      <c r="AH176" s="7" t="n"/>
      <c r="AK176" s="11" t="n"/>
      <c r="AM176">
        <f>IF($D176="","",IF(COUNTIF($D$2:$D176,$D176)=1,1,0))</f>
        <v/>
      </c>
      <c r="AN176">
        <f>IF($AM176=1,SUMPRODUCT(--($AQ$2:$AQ$1001&lt;$AQ176))+1,"")</f>
        <v/>
      </c>
      <c r="AO176">
        <f>IF($D176="","",IF(OR($T176=TRUE(),$T176="TRUE"),1,0))</f>
        <v/>
      </c>
      <c r="AP176">
        <f>IF($D176="","",IF($Z176="Yes",1,0))</f>
        <v/>
      </c>
      <c r="AQ176">
        <f>IF($AM176=1,IFERROR(IF(VALUE($D176)&lt;100000000,VALUE($D176),1000000000),IFERROR(IF(VALUE(MID($D176,2,20))&lt;100000000,VALUE(MID($D176,2,20)),1000000000),1000000000))+ROW()/100000,"")</f>
        <v/>
      </c>
    </row>
    <row r="177">
      <c r="F177" s="11" t="n"/>
      <c r="P177" s="7">
        <f>IF($D177="","",O177*X177/100)</f>
        <v/>
      </c>
      <c r="Q177" s="7" t="n"/>
      <c r="W177" s="7" t="n"/>
      <c r="X177" s="7" t="n"/>
      <c r="AA177">
        <f>IF($D177="","",IF($AP177=1,0,IF($AO177=1,Settings!$C$6,Settings!$C$7))*100)</f>
        <v/>
      </c>
      <c r="AB177" s="7">
        <f>IF($D177="","",X177*AA177/100)</f>
        <v/>
      </c>
      <c r="AC177" s="7">
        <f>IF($D177="","",X177-AB177)</f>
        <v/>
      </c>
      <c r="AD177" s="7">
        <f>IF($D177="","",AC177-P177)</f>
        <v/>
      </c>
      <c r="AH177" s="7" t="n"/>
      <c r="AK177" s="11" t="n"/>
      <c r="AM177">
        <f>IF($D177="","",IF(COUNTIF($D$2:$D177,$D177)=1,1,0))</f>
        <v/>
      </c>
      <c r="AN177">
        <f>IF($AM177=1,SUMPRODUCT(--($AQ$2:$AQ$1001&lt;$AQ177))+1,"")</f>
        <v/>
      </c>
      <c r="AO177">
        <f>IF($D177="","",IF(OR($T177=TRUE(),$T177="TRUE"),1,0))</f>
        <v/>
      </c>
      <c r="AP177">
        <f>IF($D177="","",IF($Z177="Yes",1,0))</f>
        <v/>
      </c>
      <c r="AQ177">
        <f>IF($AM177=1,IFERROR(IF(VALUE($D177)&lt;100000000,VALUE($D177),1000000000),IFERROR(IF(VALUE(MID($D177,2,20))&lt;100000000,VALUE(MID($D177,2,20)),1000000000),1000000000))+ROW()/100000,"")</f>
        <v/>
      </c>
    </row>
    <row r="178">
      <c r="F178" s="11" t="n"/>
      <c r="P178" s="7">
        <f>IF($D178="","",O178*X178/100)</f>
        <v/>
      </c>
      <c r="Q178" s="7" t="n"/>
      <c r="W178" s="7" t="n"/>
      <c r="X178" s="7" t="n"/>
      <c r="AA178">
        <f>IF($D178="","",IF($AP178=1,0,IF($AO178=1,Settings!$C$6,Settings!$C$7))*100)</f>
        <v/>
      </c>
      <c r="AB178" s="7">
        <f>IF($D178="","",X178*AA178/100)</f>
        <v/>
      </c>
      <c r="AC178" s="7">
        <f>IF($D178="","",X178-AB178)</f>
        <v/>
      </c>
      <c r="AD178" s="7">
        <f>IF($D178="","",AC178-P178)</f>
        <v/>
      </c>
      <c r="AH178" s="7" t="n"/>
      <c r="AK178" s="11" t="n"/>
      <c r="AM178">
        <f>IF($D178="","",IF(COUNTIF($D$2:$D178,$D178)=1,1,0))</f>
        <v/>
      </c>
      <c r="AN178">
        <f>IF($AM178=1,SUMPRODUCT(--($AQ$2:$AQ$1001&lt;$AQ178))+1,"")</f>
        <v/>
      </c>
      <c r="AO178">
        <f>IF($D178="","",IF(OR($T178=TRUE(),$T178="TRUE"),1,0))</f>
        <v/>
      </c>
      <c r="AP178">
        <f>IF($D178="","",IF($Z178="Yes",1,0))</f>
        <v/>
      </c>
      <c r="AQ178">
        <f>IF($AM178=1,IFERROR(IF(VALUE($D178)&lt;100000000,VALUE($D178),1000000000),IFERROR(IF(VALUE(MID($D178,2,20))&lt;100000000,VALUE(MID($D178,2,20)),1000000000),1000000000))+ROW()/100000,"")</f>
        <v/>
      </c>
    </row>
    <row r="179">
      <c r="F179" s="11" t="n"/>
      <c r="P179" s="7">
        <f>IF($D179="","",O179*X179/100)</f>
        <v/>
      </c>
      <c r="Q179" s="7" t="n"/>
      <c r="W179" s="7" t="n"/>
      <c r="X179" s="7" t="n"/>
      <c r="AA179">
        <f>IF($D179="","",IF($AP179=1,0,IF($AO179=1,Settings!$C$6,Settings!$C$7))*100)</f>
        <v/>
      </c>
      <c r="AB179" s="7">
        <f>IF($D179="","",X179*AA179/100)</f>
        <v/>
      </c>
      <c r="AC179" s="7">
        <f>IF($D179="","",X179-AB179)</f>
        <v/>
      </c>
      <c r="AD179" s="7">
        <f>IF($D179="","",AC179-P179)</f>
        <v/>
      </c>
      <c r="AH179" s="7" t="n"/>
      <c r="AK179" s="11" t="n"/>
      <c r="AM179">
        <f>IF($D179="","",IF(COUNTIF($D$2:$D179,$D179)=1,1,0))</f>
        <v/>
      </c>
      <c r="AN179">
        <f>IF($AM179=1,SUMPRODUCT(--($AQ$2:$AQ$1001&lt;$AQ179))+1,"")</f>
        <v/>
      </c>
      <c r="AO179">
        <f>IF($D179="","",IF(OR($T179=TRUE(),$T179="TRUE"),1,0))</f>
        <v/>
      </c>
      <c r="AP179">
        <f>IF($D179="","",IF($Z179="Yes",1,0))</f>
        <v/>
      </c>
      <c r="AQ179">
        <f>IF($AM179=1,IFERROR(IF(VALUE($D179)&lt;100000000,VALUE($D179),1000000000),IFERROR(IF(VALUE(MID($D179,2,20))&lt;100000000,VALUE(MID($D179,2,20)),1000000000),1000000000))+ROW()/100000,"")</f>
        <v/>
      </c>
    </row>
    <row r="180">
      <c r="F180" s="11" t="n"/>
      <c r="P180" s="7">
        <f>IF($D180="","",O180*X180/100)</f>
        <v/>
      </c>
      <c r="Q180" s="7" t="n"/>
      <c r="W180" s="7" t="n"/>
      <c r="X180" s="7" t="n"/>
      <c r="AA180">
        <f>IF($D180="","",IF($AP180=1,0,IF($AO180=1,Settings!$C$6,Settings!$C$7))*100)</f>
        <v/>
      </c>
      <c r="AB180" s="7">
        <f>IF($D180="","",X180*AA180/100)</f>
        <v/>
      </c>
      <c r="AC180" s="7">
        <f>IF($D180="","",X180-AB180)</f>
        <v/>
      </c>
      <c r="AD180" s="7">
        <f>IF($D180="","",AC180-P180)</f>
        <v/>
      </c>
      <c r="AH180" s="7" t="n"/>
      <c r="AK180" s="11" t="n"/>
      <c r="AM180">
        <f>IF($D180="","",IF(COUNTIF($D$2:$D180,$D180)=1,1,0))</f>
        <v/>
      </c>
      <c r="AN180">
        <f>IF($AM180=1,SUMPRODUCT(--($AQ$2:$AQ$1001&lt;$AQ180))+1,"")</f>
        <v/>
      </c>
      <c r="AO180">
        <f>IF($D180="","",IF(OR($T180=TRUE(),$T180="TRUE"),1,0))</f>
        <v/>
      </c>
      <c r="AP180">
        <f>IF($D180="","",IF($Z180="Yes",1,0))</f>
        <v/>
      </c>
      <c r="AQ180">
        <f>IF($AM180=1,IFERROR(IF(VALUE($D180)&lt;100000000,VALUE($D180),1000000000),IFERROR(IF(VALUE(MID($D180,2,20))&lt;100000000,VALUE(MID($D180,2,20)),1000000000),1000000000))+ROW()/100000,"")</f>
        <v/>
      </c>
    </row>
    <row r="181">
      <c r="F181" s="11" t="n"/>
      <c r="P181" s="7">
        <f>IF($D181="","",O181*X181/100)</f>
        <v/>
      </c>
      <c r="Q181" s="7" t="n"/>
      <c r="W181" s="7" t="n"/>
      <c r="X181" s="7" t="n"/>
      <c r="AA181">
        <f>IF($D181="","",IF($AP181=1,0,IF($AO181=1,Settings!$C$6,Settings!$C$7))*100)</f>
        <v/>
      </c>
      <c r="AB181" s="7">
        <f>IF($D181="","",X181*AA181/100)</f>
        <v/>
      </c>
      <c r="AC181" s="7">
        <f>IF($D181="","",X181-AB181)</f>
        <v/>
      </c>
      <c r="AD181" s="7">
        <f>IF($D181="","",AC181-P181)</f>
        <v/>
      </c>
      <c r="AH181" s="7" t="n"/>
      <c r="AK181" s="11" t="n"/>
      <c r="AM181">
        <f>IF($D181="","",IF(COUNTIF($D$2:$D181,$D181)=1,1,0))</f>
        <v/>
      </c>
      <c r="AN181">
        <f>IF($AM181=1,SUMPRODUCT(--($AQ$2:$AQ$1001&lt;$AQ181))+1,"")</f>
        <v/>
      </c>
      <c r="AO181">
        <f>IF($D181="","",IF(OR($T181=TRUE(),$T181="TRUE"),1,0))</f>
        <v/>
      </c>
      <c r="AP181">
        <f>IF($D181="","",IF($Z181="Yes",1,0))</f>
        <v/>
      </c>
      <c r="AQ181">
        <f>IF($AM181=1,IFERROR(IF(VALUE($D181)&lt;100000000,VALUE($D181),1000000000),IFERROR(IF(VALUE(MID($D181,2,20))&lt;100000000,VALUE(MID($D181,2,20)),1000000000),1000000000))+ROW()/100000,"")</f>
        <v/>
      </c>
    </row>
    <row r="182">
      <c r="F182" s="11" t="n"/>
      <c r="P182" s="7">
        <f>IF($D182="","",O182*X182/100)</f>
        <v/>
      </c>
      <c r="Q182" s="7" t="n"/>
      <c r="W182" s="7" t="n"/>
      <c r="X182" s="7" t="n"/>
      <c r="AA182">
        <f>IF($D182="","",IF($AP182=1,0,IF($AO182=1,Settings!$C$6,Settings!$C$7))*100)</f>
        <v/>
      </c>
      <c r="AB182" s="7">
        <f>IF($D182="","",X182*AA182/100)</f>
        <v/>
      </c>
      <c r="AC182" s="7">
        <f>IF($D182="","",X182-AB182)</f>
        <v/>
      </c>
      <c r="AD182" s="7">
        <f>IF($D182="","",AC182-P182)</f>
        <v/>
      </c>
      <c r="AH182" s="7" t="n"/>
      <c r="AK182" s="11" t="n"/>
      <c r="AM182">
        <f>IF($D182="","",IF(COUNTIF($D$2:$D182,$D182)=1,1,0))</f>
        <v/>
      </c>
      <c r="AN182">
        <f>IF($AM182=1,SUMPRODUCT(--($AQ$2:$AQ$1001&lt;$AQ182))+1,"")</f>
        <v/>
      </c>
      <c r="AO182">
        <f>IF($D182="","",IF(OR($T182=TRUE(),$T182="TRUE"),1,0))</f>
        <v/>
      </c>
      <c r="AP182">
        <f>IF($D182="","",IF($Z182="Yes",1,0))</f>
        <v/>
      </c>
      <c r="AQ182">
        <f>IF($AM182=1,IFERROR(IF(VALUE($D182)&lt;100000000,VALUE($D182),1000000000),IFERROR(IF(VALUE(MID($D182,2,20))&lt;100000000,VALUE(MID($D182,2,20)),1000000000),1000000000))+ROW()/100000,"")</f>
        <v/>
      </c>
    </row>
    <row r="183">
      <c r="F183" s="11" t="n"/>
      <c r="P183" s="7">
        <f>IF($D183="","",O183*X183/100)</f>
        <v/>
      </c>
      <c r="Q183" s="7" t="n"/>
      <c r="W183" s="7" t="n"/>
      <c r="X183" s="7" t="n"/>
      <c r="AA183">
        <f>IF($D183="","",IF($AP183=1,0,IF($AO183=1,Settings!$C$6,Settings!$C$7))*100)</f>
        <v/>
      </c>
      <c r="AB183" s="7">
        <f>IF($D183="","",X183*AA183/100)</f>
        <v/>
      </c>
      <c r="AC183" s="7">
        <f>IF($D183="","",X183-AB183)</f>
        <v/>
      </c>
      <c r="AD183" s="7">
        <f>IF($D183="","",AC183-P183)</f>
        <v/>
      </c>
      <c r="AH183" s="7" t="n"/>
      <c r="AK183" s="11" t="n"/>
      <c r="AM183">
        <f>IF($D183="","",IF(COUNTIF($D$2:$D183,$D183)=1,1,0))</f>
        <v/>
      </c>
      <c r="AN183">
        <f>IF($AM183=1,SUMPRODUCT(--($AQ$2:$AQ$1001&lt;$AQ183))+1,"")</f>
        <v/>
      </c>
      <c r="AO183">
        <f>IF($D183="","",IF(OR($T183=TRUE(),$T183="TRUE"),1,0))</f>
        <v/>
      </c>
      <c r="AP183">
        <f>IF($D183="","",IF($Z183="Yes",1,0))</f>
        <v/>
      </c>
      <c r="AQ183">
        <f>IF($AM183=1,IFERROR(IF(VALUE($D183)&lt;100000000,VALUE($D183),1000000000),IFERROR(IF(VALUE(MID($D183,2,20))&lt;100000000,VALUE(MID($D183,2,20)),1000000000),1000000000))+ROW()/100000,"")</f>
        <v/>
      </c>
    </row>
    <row r="184">
      <c r="F184" s="11" t="n"/>
      <c r="P184" s="7">
        <f>IF($D184="","",O184*X184/100)</f>
        <v/>
      </c>
      <c r="Q184" s="7" t="n"/>
      <c r="W184" s="7" t="n"/>
      <c r="X184" s="7" t="n"/>
      <c r="AA184">
        <f>IF($D184="","",IF($AP184=1,0,IF($AO184=1,Settings!$C$6,Settings!$C$7))*100)</f>
        <v/>
      </c>
      <c r="AB184" s="7">
        <f>IF($D184="","",X184*AA184/100)</f>
        <v/>
      </c>
      <c r="AC184" s="7">
        <f>IF($D184="","",X184-AB184)</f>
        <v/>
      </c>
      <c r="AD184" s="7">
        <f>IF($D184="","",AC184-P184)</f>
        <v/>
      </c>
      <c r="AH184" s="7" t="n"/>
      <c r="AK184" s="11" t="n"/>
      <c r="AM184">
        <f>IF($D184="","",IF(COUNTIF($D$2:$D184,$D184)=1,1,0))</f>
        <v/>
      </c>
      <c r="AN184">
        <f>IF($AM184=1,SUMPRODUCT(--($AQ$2:$AQ$1001&lt;$AQ184))+1,"")</f>
        <v/>
      </c>
      <c r="AO184">
        <f>IF($D184="","",IF(OR($T184=TRUE(),$T184="TRUE"),1,0))</f>
        <v/>
      </c>
      <c r="AP184">
        <f>IF($D184="","",IF($Z184="Yes",1,0))</f>
        <v/>
      </c>
      <c r="AQ184">
        <f>IF($AM184=1,IFERROR(IF(VALUE($D184)&lt;100000000,VALUE($D184),1000000000),IFERROR(IF(VALUE(MID($D184,2,20))&lt;100000000,VALUE(MID($D184,2,20)),1000000000),1000000000))+ROW()/100000,"")</f>
        <v/>
      </c>
    </row>
    <row r="185">
      <c r="F185" s="11" t="n"/>
      <c r="P185" s="7">
        <f>IF($D185="","",O185*X185/100)</f>
        <v/>
      </c>
      <c r="Q185" s="7" t="n"/>
      <c r="W185" s="7" t="n"/>
      <c r="X185" s="7" t="n"/>
      <c r="AA185">
        <f>IF($D185="","",IF($AP185=1,0,IF($AO185=1,Settings!$C$6,Settings!$C$7))*100)</f>
        <v/>
      </c>
      <c r="AB185" s="7">
        <f>IF($D185="","",X185*AA185/100)</f>
        <v/>
      </c>
      <c r="AC185" s="7">
        <f>IF($D185="","",X185-AB185)</f>
        <v/>
      </c>
      <c r="AD185" s="7">
        <f>IF($D185="","",AC185-P185)</f>
        <v/>
      </c>
      <c r="AH185" s="7" t="n"/>
      <c r="AK185" s="11" t="n"/>
      <c r="AM185">
        <f>IF($D185="","",IF(COUNTIF($D$2:$D185,$D185)=1,1,0))</f>
        <v/>
      </c>
      <c r="AN185">
        <f>IF($AM185=1,SUMPRODUCT(--($AQ$2:$AQ$1001&lt;$AQ185))+1,"")</f>
        <v/>
      </c>
      <c r="AO185">
        <f>IF($D185="","",IF(OR($T185=TRUE(),$T185="TRUE"),1,0))</f>
        <v/>
      </c>
      <c r="AP185">
        <f>IF($D185="","",IF($Z185="Yes",1,0))</f>
        <v/>
      </c>
      <c r="AQ185">
        <f>IF($AM185=1,IFERROR(IF(VALUE($D185)&lt;100000000,VALUE($D185),1000000000),IFERROR(IF(VALUE(MID($D185,2,20))&lt;100000000,VALUE(MID($D185,2,20)),1000000000),1000000000))+ROW()/100000,"")</f>
        <v/>
      </c>
    </row>
    <row r="186">
      <c r="F186" s="11" t="n"/>
      <c r="P186" s="7">
        <f>IF($D186="","",O186*X186/100)</f>
        <v/>
      </c>
      <c r="Q186" s="7" t="n"/>
      <c r="W186" s="7" t="n"/>
      <c r="X186" s="7" t="n"/>
      <c r="AA186">
        <f>IF($D186="","",IF($AP186=1,0,IF($AO186=1,Settings!$C$6,Settings!$C$7))*100)</f>
        <v/>
      </c>
      <c r="AB186" s="7">
        <f>IF($D186="","",X186*AA186/100)</f>
        <v/>
      </c>
      <c r="AC186" s="7">
        <f>IF($D186="","",X186-AB186)</f>
        <v/>
      </c>
      <c r="AD186" s="7">
        <f>IF($D186="","",AC186-P186)</f>
        <v/>
      </c>
      <c r="AH186" s="7" t="n"/>
      <c r="AK186" s="11" t="n"/>
      <c r="AM186">
        <f>IF($D186="","",IF(COUNTIF($D$2:$D186,$D186)=1,1,0))</f>
        <v/>
      </c>
      <c r="AN186">
        <f>IF($AM186=1,SUMPRODUCT(--($AQ$2:$AQ$1001&lt;$AQ186))+1,"")</f>
        <v/>
      </c>
      <c r="AO186">
        <f>IF($D186="","",IF(OR($T186=TRUE(),$T186="TRUE"),1,0))</f>
        <v/>
      </c>
      <c r="AP186">
        <f>IF($D186="","",IF($Z186="Yes",1,0))</f>
        <v/>
      </c>
      <c r="AQ186">
        <f>IF($AM186=1,IFERROR(IF(VALUE($D186)&lt;100000000,VALUE($D186),1000000000),IFERROR(IF(VALUE(MID($D186,2,20))&lt;100000000,VALUE(MID($D186,2,20)),1000000000),1000000000))+ROW()/100000,"")</f>
        <v/>
      </c>
    </row>
    <row r="187">
      <c r="F187" s="11" t="n"/>
      <c r="P187" s="7">
        <f>IF($D187="","",O187*X187/100)</f>
        <v/>
      </c>
      <c r="Q187" s="7" t="n"/>
      <c r="W187" s="7" t="n"/>
      <c r="X187" s="7" t="n"/>
      <c r="AA187">
        <f>IF($D187="","",IF($AP187=1,0,IF($AO187=1,Settings!$C$6,Settings!$C$7))*100)</f>
        <v/>
      </c>
      <c r="AB187" s="7">
        <f>IF($D187="","",X187*AA187/100)</f>
        <v/>
      </c>
      <c r="AC187" s="7">
        <f>IF($D187="","",X187-AB187)</f>
        <v/>
      </c>
      <c r="AD187" s="7">
        <f>IF($D187="","",AC187-P187)</f>
        <v/>
      </c>
      <c r="AH187" s="7" t="n"/>
      <c r="AK187" s="11" t="n"/>
      <c r="AM187">
        <f>IF($D187="","",IF(COUNTIF($D$2:$D187,$D187)=1,1,0))</f>
        <v/>
      </c>
      <c r="AN187">
        <f>IF($AM187=1,SUMPRODUCT(--($AQ$2:$AQ$1001&lt;$AQ187))+1,"")</f>
        <v/>
      </c>
      <c r="AO187">
        <f>IF($D187="","",IF(OR($T187=TRUE(),$T187="TRUE"),1,0))</f>
        <v/>
      </c>
      <c r="AP187">
        <f>IF($D187="","",IF($Z187="Yes",1,0))</f>
        <v/>
      </c>
      <c r="AQ187">
        <f>IF($AM187=1,IFERROR(IF(VALUE($D187)&lt;100000000,VALUE($D187),1000000000),IFERROR(IF(VALUE(MID($D187,2,20))&lt;100000000,VALUE(MID($D187,2,20)),1000000000),1000000000))+ROW()/100000,"")</f>
        <v/>
      </c>
    </row>
    <row r="188">
      <c r="F188" s="11" t="n"/>
      <c r="P188" s="7">
        <f>IF($D188="","",O188*X188/100)</f>
        <v/>
      </c>
      <c r="Q188" s="7" t="n"/>
      <c r="W188" s="7" t="n"/>
      <c r="X188" s="7" t="n"/>
      <c r="AA188">
        <f>IF($D188="","",IF($AP188=1,0,IF($AO188=1,Settings!$C$6,Settings!$C$7))*100)</f>
        <v/>
      </c>
      <c r="AB188" s="7">
        <f>IF($D188="","",X188*AA188/100)</f>
        <v/>
      </c>
      <c r="AC188" s="7">
        <f>IF($D188="","",X188-AB188)</f>
        <v/>
      </c>
      <c r="AD188" s="7">
        <f>IF($D188="","",AC188-P188)</f>
        <v/>
      </c>
      <c r="AH188" s="7" t="n"/>
      <c r="AK188" s="11" t="n"/>
      <c r="AM188">
        <f>IF($D188="","",IF(COUNTIF($D$2:$D188,$D188)=1,1,0))</f>
        <v/>
      </c>
      <c r="AN188">
        <f>IF($AM188=1,SUMPRODUCT(--($AQ$2:$AQ$1001&lt;$AQ188))+1,"")</f>
        <v/>
      </c>
      <c r="AO188">
        <f>IF($D188="","",IF(OR($T188=TRUE(),$T188="TRUE"),1,0))</f>
        <v/>
      </c>
      <c r="AP188">
        <f>IF($D188="","",IF($Z188="Yes",1,0))</f>
        <v/>
      </c>
      <c r="AQ188">
        <f>IF($AM188=1,IFERROR(IF(VALUE($D188)&lt;100000000,VALUE($D188),1000000000),IFERROR(IF(VALUE(MID($D188,2,20))&lt;100000000,VALUE(MID($D188,2,20)),1000000000),1000000000))+ROW()/100000,"")</f>
        <v/>
      </c>
    </row>
    <row r="189">
      <c r="F189" s="11" t="n"/>
      <c r="P189" s="7">
        <f>IF($D189="","",O189*X189/100)</f>
        <v/>
      </c>
      <c r="Q189" s="7" t="n"/>
      <c r="W189" s="7" t="n"/>
      <c r="X189" s="7" t="n"/>
      <c r="AA189">
        <f>IF($D189="","",IF($AP189=1,0,IF($AO189=1,Settings!$C$6,Settings!$C$7))*100)</f>
        <v/>
      </c>
      <c r="AB189" s="7">
        <f>IF($D189="","",X189*AA189/100)</f>
        <v/>
      </c>
      <c r="AC189" s="7">
        <f>IF($D189="","",X189-AB189)</f>
        <v/>
      </c>
      <c r="AD189" s="7">
        <f>IF($D189="","",AC189-P189)</f>
        <v/>
      </c>
      <c r="AH189" s="7" t="n"/>
      <c r="AK189" s="11" t="n"/>
      <c r="AM189">
        <f>IF($D189="","",IF(COUNTIF($D$2:$D189,$D189)=1,1,0))</f>
        <v/>
      </c>
      <c r="AN189">
        <f>IF($AM189=1,SUMPRODUCT(--($AQ$2:$AQ$1001&lt;$AQ189))+1,"")</f>
        <v/>
      </c>
      <c r="AO189">
        <f>IF($D189="","",IF(OR($T189=TRUE(),$T189="TRUE"),1,0))</f>
        <v/>
      </c>
      <c r="AP189">
        <f>IF($D189="","",IF($Z189="Yes",1,0))</f>
        <v/>
      </c>
      <c r="AQ189">
        <f>IF($AM189=1,IFERROR(IF(VALUE($D189)&lt;100000000,VALUE($D189),1000000000),IFERROR(IF(VALUE(MID($D189,2,20))&lt;100000000,VALUE(MID($D189,2,20)),1000000000),1000000000))+ROW()/100000,"")</f>
        <v/>
      </c>
    </row>
    <row r="190">
      <c r="F190" s="11" t="n"/>
      <c r="P190" s="7">
        <f>IF($D190="","",O190*X190/100)</f>
        <v/>
      </c>
      <c r="Q190" s="7" t="n"/>
      <c r="W190" s="7" t="n"/>
      <c r="X190" s="7" t="n"/>
      <c r="AA190">
        <f>IF($D190="","",IF($AP190=1,0,IF($AO190=1,Settings!$C$6,Settings!$C$7))*100)</f>
        <v/>
      </c>
      <c r="AB190" s="7">
        <f>IF($D190="","",X190*AA190/100)</f>
        <v/>
      </c>
      <c r="AC190" s="7">
        <f>IF($D190="","",X190-AB190)</f>
        <v/>
      </c>
      <c r="AD190" s="7">
        <f>IF($D190="","",AC190-P190)</f>
        <v/>
      </c>
      <c r="AH190" s="7" t="n"/>
      <c r="AK190" s="11" t="n"/>
      <c r="AM190">
        <f>IF($D190="","",IF(COUNTIF($D$2:$D190,$D190)=1,1,0))</f>
        <v/>
      </c>
      <c r="AN190">
        <f>IF($AM190=1,SUMPRODUCT(--($AQ$2:$AQ$1001&lt;$AQ190))+1,"")</f>
        <v/>
      </c>
      <c r="AO190">
        <f>IF($D190="","",IF(OR($T190=TRUE(),$T190="TRUE"),1,0))</f>
        <v/>
      </c>
      <c r="AP190">
        <f>IF($D190="","",IF($Z190="Yes",1,0))</f>
        <v/>
      </c>
      <c r="AQ190">
        <f>IF($AM190=1,IFERROR(IF(VALUE($D190)&lt;100000000,VALUE($D190),1000000000),IFERROR(IF(VALUE(MID($D190,2,20))&lt;100000000,VALUE(MID($D190,2,20)),1000000000),1000000000))+ROW()/100000,"")</f>
        <v/>
      </c>
    </row>
    <row r="191">
      <c r="F191" s="11" t="n"/>
      <c r="P191" s="7">
        <f>IF($D191="","",O191*X191/100)</f>
        <v/>
      </c>
      <c r="Q191" s="7" t="n"/>
      <c r="W191" s="7" t="n"/>
      <c r="X191" s="7" t="n"/>
      <c r="AA191">
        <f>IF($D191="","",IF($AP191=1,0,IF($AO191=1,Settings!$C$6,Settings!$C$7))*100)</f>
        <v/>
      </c>
      <c r="AB191" s="7">
        <f>IF($D191="","",X191*AA191/100)</f>
        <v/>
      </c>
      <c r="AC191" s="7">
        <f>IF($D191="","",X191-AB191)</f>
        <v/>
      </c>
      <c r="AD191" s="7">
        <f>IF($D191="","",AC191-P191)</f>
        <v/>
      </c>
      <c r="AH191" s="7" t="n"/>
      <c r="AK191" s="11" t="n"/>
      <c r="AM191">
        <f>IF($D191="","",IF(COUNTIF($D$2:$D191,$D191)=1,1,0))</f>
        <v/>
      </c>
      <c r="AN191">
        <f>IF($AM191=1,SUMPRODUCT(--($AQ$2:$AQ$1001&lt;$AQ191))+1,"")</f>
        <v/>
      </c>
      <c r="AO191">
        <f>IF($D191="","",IF(OR($T191=TRUE(),$T191="TRUE"),1,0))</f>
        <v/>
      </c>
      <c r="AP191">
        <f>IF($D191="","",IF($Z191="Yes",1,0))</f>
        <v/>
      </c>
      <c r="AQ191">
        <f>IF($AM191=1,IFERROR(IF(VALUE($D191)&lt;100000000,VALUE($D191),1000000000),IFERROR(IF(VALUE(MID($D191,2,20))&lt;100000000,VALUE(MID($D191,2,20)),1000000000),1000000000))+ROW()/100000,"")</f>
        <v/>
      </c>
    </row>
    <row r="192">
      <c r="F192" s="11" t="n"/>
      <c r="P192" s="7">
        <f>IF($D192="","",O192*X192/100)</f>
        <v/>
      </c>
      <c r="Q192" s="7" t="n"/>
      <c r="W192" s="7" t="n"/>
      <c r="X192" s="7" t="n"/>
      <c r="AA192">
        <f>IF($D192="","",IF($AP192=1,0,IF($AO192=1,Settings!$C$6,Settings!$C$7))*100)</f>
        <v/>
      </c>
      <c r="AB192" s="7">
        <f>IF($D192="","",X192*AA192/100)</f>
        <v/>
      </c>
      <c r="AC192" s="7">
        <f>IF($D192="","",X192-AB192)</f>
        <v/>
      </c>
      <c r="AD192" s="7">
        <f>IF($D192="","",AC192-P192)</f>
        <v/>
      </c>
      <c r="AH192" s="7" t="n"/>
      <c r="AK192" s="11" t="n"/>
      <c r="AM192">
        <f>IF($D192="","",IF(COUNTIF($D$2:$D192,$D192)=1,1,0))</f>
        <v/>
      </c>
      <c r="AN192">
        <f>IF($AM192=1,SUMPRODUCT(--($AQ$2:$AQ$1001&lt;$AQ192))+1,"")</f>
        <v/>
      </c>
      <c r="AO192">
        <f>IF($D192="","",IF(OR($T192=TRUE(),$T192="TRUE"),1,0))</f>
        <v/>
      </c>
      <c r="AP192">
        <f>IF($D192="","",IF($Z192="Yes",1,0))</f>
        <v/>
      </c>
      <c r="AQ192">
        <f>IF($AM192=1,IFERROR(IF(VALUE($D192)&lt;100000000,VALUE($D192),1000000000),IFERROR(IF(VALUE(MID($D192,2,20))&lt;100000000,VALUE(MID($D192,2,20)),1000000000),1000000000))+ROW()/100000,"")</f>
        <v/>
      </c>
    </row>
    <row r="193">
      <c r="F193" s="11" t="n"/>
      <c r="P193" s="7">
        <f>IF($D193="","",O193*X193/100)</f>
        <v/>
      </c>
      <c r="Q193" s="7" t="n"/>
      <c r="W193" s="7" t="n"/>
      <c r="X193" s="7" t="n"/>
      <c r="AA193">
        <f>IF($D193="","",IF($AP193=1,0,IF($AO193=1,Settings!$C$6,Settings!$C$7))*100)</f>
        <v/>
      </c>
      <c r="AB193" s="7">
        <f>IF($D193="","",X193*AA193/100)</f>
        <v/>
      </c>
      <c r="AC193" s="7">
        <f>IF($D193="","",X193-AB193)</f>
        <v/>
      </c>
      <c r="AD193" s="7">
        <f>IF($D193="","",AC193-P193)</f>
        <v/>
      </c>
      <c r="AH193" s="7" t="n"/>
      <c r="AK193" s="11" t="n"/>
      <c r="AM193">
        <f>IF($D193="","",IF(COUNTIF($D$2:$D193,$D193)=1,1,0))</f>
        <v/>
      </c>
      <c r="AN193">
        <f>IF($AM193=1,SUMPRODUCT(--($AQ$2:$AQ$1001&lt;$AQ193))+1,"")</f>
        <v/>
      </c>
      <c r="AO193">
        <f>IF($D193="","",IF(OR($T193=TRUE(),$T193="TRUE"),1,0))</f>
        <v/>
      </c>
      <c r="AP193">
        <f>IF($D193="","",IF($Z193="Yes",1,0))</f>
        <v/>
      </c>
      <c r="AQ193">
        <f>IF($AM193=1,IFERROR(IF(VALUE($D193)&lt;100000000,VALUE($D193),1000000000),IFERROR(IF(VALUE(MID($D193,2,20))&lt;100000000,VALUE(MID($D193,2,20)),1000000000),1000000000))+ROW()/100000,"")</f>
        <v/>
      </c>
    </row>
    <row r="194">
      <c r="F194" s="11" t="n"/>
      <c r="P194" s="7">
        <f>IF($D194="","",O194*X194/100)</f>
        <v/>
      </c>
      <c r="Q194" s="7" t="n"/>
      <c r="W194" s="7" t="n"/>
      <c r="X194" s="7" t="n"/>
      <c r="AA194">
        <f>IF($D194="","",IF($AP194=1,0,IF($AO194=1,Settings!$C$6,Settings!$C$7))*100)</f>
        <v/>
      </c>
      <c r="AB194" s="7">
        <f>IF($D194="","",X194*AA194/100)</f>
        <v/>
      </c>
      <c r="AC194" s="7">
        <f>IF($D194="","",X194-AB194)</f>
        <v/>
      </c>
      <c r="AD194" s="7">
        <f>IF($D194="","",AC194-P194)</f>
        <v/>
      </c>
      <c r="AH194" s="7" t="n"/>
      <c r="AK194" s="11" t="n"/>
      <c r="AM194">
        <f>IF($D194="","",IF(COUNTIF($D$2:$D194,$D194)=1,1,0))</f>
        <v/>
      </c>
      <c r="AN194">
        <f>IF($AM194=1,SUMPRODUCT(--($AQ$2:$AQ$1001&lt;$AQ194))+1,"")</f>
        <v/>
      </c>
      <c r="AO194">
        <f>IF($D194="","",IF(OR($T194=TRUE(),$T194="TRUE"),1,0))</f>
        <v/>
      </c>
      <c r="AP194">
        <f>IF($D194="","",IF($Z194="Yes",1,0))</f>
        <v/>
      </c>
      <c r="AQ194">
        <f>IF($AM194=1,IFERROR(IF(VALUE($D194)&lt;100000000,VALUE($D194),1000000000),IFERROR(IF(VALUE(MID($D194,2,20))&lt;100000000,VALUE(MID($D194,2,20)),1000000000),1000000000))+ROW()/100000,"")</f>
        <v/>
      </c>
    </row>
    <row r="195">
      <c r="F195" s="11" t="n"/>
      <c r="P195" s="7">
        <f>IF($D195="","",O195*X195/100)</f>
        <v/>
      </c>
      <c r="Q195" s="7" t="n"/>
      <c r="W195" s="7" t="n"/>
      <c r="X195" s="7" t="n"/>
      <c r="AA195">
        <f>IF($D195="","",IF($AP195=1,0,IF($AO195=1,Settings!$C$6,Settings!$C$7))*100)</f>
        <v/>
      </c>
      <c r="AB195" s="7">
        <f>IF($D195="","",X195*AA195/100)</f>
        <v/>
      </c>
      <c r="AC195" s="7">
        <f>IF($D195="","",X195-AB195)</f>
        <v/>
      </c>
      <c r="AD195" s="7">
        <f>IF($D195="","",AC195-P195)</f>
        <v/>
      </c>
      <c r="AH195" s="7" t="n"/>
      <c r="AK195" s="11" t="n"/>
      <c r="AM195">
        <f>IF($D195="","",IF(COUNTIF($D$2:$D195,$D195)=1,1,0))</f>
        <v/>
      </c>
      <c r="AN195">
        <f>IF($AM195=1,SUMPRODUCT(--($AQ$2:$AQ$1001&lt;$AQ195))+1,"")</f>
        <v/>
      </c>
      <c r="AO195">
        <f>IF($D195="","",IF(OR($T195=TRUE(),$T195="TRUE"),1,0))</f>
        <v/>
      </c>
      <c r="AP195">
        <f>IF($D195="","",IF($Z195="Yes",1,0))</f>
        <v/>
      </c>
      <c r="AQ195">
        <f>IF($AM195=1,IFERROR(IF(VALUE($D195)&lt;100000000,VALUE($D195),1000000000),IFERROR(IF(VALUE(MID($D195,2,20))&lt;100000000,VALUE(MID($D195,2,20)),1000000000),1000000000))+ROW()/100000,"")</f>
        <v/>
      </c>
    </row>
    <row r="196">
      <c r="F196" s="11" t="n"/>
      <c r="P196" s="7">
        <f>IF($D196="","",O196*X196/100)</f>
        <v/>
      </c>
      <c r="Q196" s="7" t="n"/>
      <c r="W196" s="7" t="n"/>
      <c r="X196" s="7" t="n"/>
      <c r="AA196">
        <f>IF($D196="","",IF($AP196=1,0,IF($AO196=1,Settings!$C$6,Settings!$C$7))*100)</f>
        <v/>
      </c>
      <c r="AB196" s="7">
        <f>IF($D196="","",X196*AA196/100)</f>
        <v/>
      </c>
      <c r="AC196" s="7">
        <f>IF($D196="","",X196-AB196)</f>
        <v/>
      </c>
      <c r="AD196" s="7">
        <f>IF($D196="","",AC196-P196)</f>
        <v/>
      </c>
      <c r="AH196" s="7" t="n"/>
      <c r="AK196" s="11" t="n"/>
      <c r="AM196">
        <f>IF($D196="","",IF(COUNTIF($D$2:$D196,$D196)=1,1,0))</f>
        <v/>
      </c>
      <c r="AN196">
        <f>IF($AM196=1,SUMPRODUCT(--($AQ$2:$AQ$1001&lt;$AQ196))+1,"")</f>
        <v/>
      </c>
      <c r="AO196">
        <f>IF($D196="","",IF(OR($T196=TRUE(),$T196="TRUE"),1,0))</f>
        <v/>
      </c>
      <c r="AP196">
        <f>IF($D196="","",IF($Z196="Yes",1,0))</f>
        <v/>
      </c>
      <c r="AQ196">
        <f>IF($AM196=1,IFERROR(IF(VALUE($D196)&lt;100000000,VALUE($D196),1000000000),IFERROR(IF(VALUE(MID($D196,2,20))&lt;100000000,VALUE(MID($D196,2,20)),1000000000),1000000000))+ROW()/100000,"")</f>
        <v/>
      </c>
    </row>
    <row r="197">
      <c r="F197" s="11" t="n"/>
      <c r="P197" s="7">
        <f>IF($D197="","",O197*X197/100)</f>
        <v/>
      </c>
      <c r="Q197" s="7" t="n"/>
      <c r="W197" s="7" t="n"/>
      <c r="X197" s="7" t="n"/>
      <c r="AA197">
        <f>IF($D197="","",IF($AP197=1,0,IF($AO197=1,Settings!$C$6,Settings!$C$7))*100)</f>
        <v/>
      </c>
      <c r="AB197" s="7">
        <f>IF($D197="","",X197*AA197/100)</f>
        <v/>
      </c>
      <c r="AC197" s="7">
        <f>IF($D197="","",X197-AB197)</f>
        <v/>
      </c>
      <c r="AD197" s="7">
        <f>IF($D197="","",AC197-P197)</f>
        <v/>
      </c>
      <c r="AH197" s="7" t="n"/>
      <c r="AK197" s="11" t="n"/>
      <c r="AM197">
        <f>IF($D197="","",IF(COUNTIF($D$2:$D197,$D197)=1,1,0))</f>
        <v/>
      </c>
      <c r="AN197">
        <f>IF($AM197=1,SUMPRODUCT(--($AQ$2:$AQ$1001&lt;$AQ197))+1,"")</f>
        <v/>
      </c>
      <c r="AO197">
        <f>IF($D197="","",IF(OR($T197=TRUE(),$T197="TRUE"),1,0))</f>
        <v/>
      </c>
      <c r="AP197">
        <f>IF($D197="","",IF($Z197="Yes",1,0))</f>
        <v/>
      </c>
      <c r="AQ197">
        <f>IF($AM197=1,IFERROR(IF(VALUE($D197)&lt;100000000,VALUE($D197),1000000000),IFERROR(IF(VALUE(MID($D197,2,20))&lt;100000000,VALUE(MID($D197,2,20)),1000000000),1000000000))+ROW()/100000,"")</f>
        <v/>
      </c>
    </row>
    <row r="198">
      <c r="F198" s="11" t="n"/>
      <c r="P198" s="7">
        <f>IF($D198="","",O198*X198/100)</f>
        <v/>
      </c>
      <c r="Q198" s="7" t="n"/>
      <c r="W198" s="7" t="n"/>
      <c r="X198" s="7" t="n"/>
      <c r="AA198">
        <f>IF($D198="","",IF($AP198=1,0,IF($AO198=1,Settings!$C$6,Settings!$C$7))*100)</f>
        <v/>
      </c>
      <c r="AB198" s="7">
        <f>IF($D198="","",X198*AA198/100)</f>
        <v/>
      </c>
      <c r="AC198" s="7">
        <f>IF($D198="","",X198-AB198)</f>
        <v/>
      </c>
      <c r="AD198" s="7">
        <f>IF($D198="","",AC198-P198)</f>
        <v/>
      </c>
      <c r="AH198" s="7" t="n"/>
      <c r="AK198" s="11" t="n"/>
      <c r="AM198">
        <f>IF($D198="","",IF(COUNTIF($D$2:$D198,$D198)=1,1,0))</f>
        <v/>
      </c>
      <c r="AN198">
        <f>IF($AM198=1,SUMPRODUCT(--($AQ$2:$AQ$1001&lt;$AQ198))+1,"")</f>
        <v/>
      </c>
      <c r="AO198">
        <f>IF($D198="","",IF(OR($T198=TRUE(),$T198="TRUE"),1,0))</f>
        <v/>
      </c>
      <c r="AP198">
        <f>IF($D198="","",IF($Z198="Yes",1,0))</f>
        <v/>
      </c>
      <c r="AQ198">
        <f>IF($AM198=1,IFERROR(IF(VALUE($D198)&lt;100000000,VALUE($D198),1000000000),IFERROR(IF(VALUE(MID($D198,2,20))&lt;100000000,VALUE(MID($D198,2,20)),1000000000),1000000000))+ROW()/100000,"")</f>
        <v/>
      </c>
    </row>
    <row r="199">
      <c r="F199" s="11" t="n"/>
      <c r="P199" s="7">
        <f>IF($D199="","",O199*X199/100)</f>
        <v/>
      </c>
      <c r="Q199" s="7" t="n"/>
      <c r="W199" s="7" t="n"/>
      <c r="X199" s="7" t="n"/>
      <c r="AA199">
        <f>IF($D199="","",IF($AP199=1,0,IF($AO199=1,Settings!$C$6,Settings!$C$7))*100)</f>
        <v/>
      </c>
      <c r="AB199" s="7">
        <f>IF($D199="","",X199*AA199/100)</f>
        <v/>
      </c>
      <c r="AC199" s="7">
        <f>IF($D199="","",X199-AB199)</f>
        <v/>
      </c>
      <c r="AD199" s="7">
        <f>IF($D199="","",AC199-P199)</f>
        <v/>
      </c>
      <c r="AH199" s="7" t="n"/>
      <c r="AK199" s="11" t="n"/>
      <c r="AM199">
        <f>IF($D199="","",IF(COUNTIF($D$2:$D199,$D199)=1,1,0))</f>
        <v/>
      </c>
      <c r="AN199">
        <f>IF($AM199=1,SUMPRODUCT(--($AQ$2:$AQ$1001&lt;$AQ199))+1,"")</f>
        <v/>
      </c>
      <c r="AO199">
        <f>IF($D199="","",IF(OR($T199=TRUE(),$T199="TRUE"),1,0))</f>
        <v/>
      </c>
      <c r="AP199">
        <f>IF($D199="","",IF($Z199="Yes",1,0))</f>
        <v/>
      </c>
      <c r="AQ199">
        <f>IF($AM199=1,IFERROR(IF(VALUE($D199)&lt;100000000,VALUE($D199),1000000000),IFERROR(IF(VALUE(MID($D199,2,20))&lt;100000000,VALUE(MID($D199,2,20)),1000000000),1000000000))+ROW()/100000,"")</f>
        <v/>
      </c>
    </row>
    <row r="200">
      <c r="F200" s="11" t="n"/>
      <c r="P200" s="7">
        <f>IF($D200="","",O200*X200/100)</f>
        <v/>
      </c>
      <c r="Q200" s="7" t="n"/>
      <c r="W200" s="7" t="n"/>
      <c r="X200" s="7" t="n"/>
      <c r="AA200">
        <f>IF($D200="","",IF($AP200=1,0,IF($AO200=1,Settings!$C$6,Settings!$C$7))*100)</f>
        <v/>
      </c>
      <c r="AB200" s="7">
        <f>IF($D200="","",X200*AA200/100)</f>
        <v/>
      </c>
      <c r="AC200" s="7">
        <f>IF($D200="","",X200-AB200)</f>
        <v/>
      </c>
      <c r="AD200" s="7">
        <f>IF($D200="","",AC200-P200)</f>
        <v/>
      </c>
      <c r="AH200" s="7" t="n"/>
      <c r="AK200" s="11" t="n"/>
      <c r="AM200">
        <f>IF($D200="","",IF(COUNTIF($D$2:$D200,$D200)=1,1,0))</f>
        <v/>
      </c>
      <c r="AN200">
        <f>IF($AM200=1,SUMPRODUCT(--($AQ$2:$AQ$1001&lt;$AQ200))+1,"")</f>
        <v/>
      </c>
      <c r="AO200">
        <f>IF($D200="","",IF(OR($T200=TRUE(),$T200="TRUE"),1,0))</f>
        <v/>
      </c>
      <c r="AP200">
        <f>IF($D200="","",IF($Z200="Yes",1,0))</f>
        <v/>
      </c>
      <c r="AQ200">
        <f>IF($AM200=1,IFERROR(IF(VALUE($D200)&lt;100000000,VALUE($D200),1000000000),IFERROR(IF(VALUE(MID($D200,2,20))&lt;100000000,VALUE(MID($D200,2,20)),1000000000),1000000000))+ROW()/100000,"")</f>
        <v/>
      </c>
    </row>
    <row r="201">
      <c r="F201" s="11" t="n"/>
      <c r="P201" s="7">
        <f>IF($D201="","",O201*X201/100)</f>
        <v/>
      </c>
      <c r="Q201" s="7" t="n"/>
      <c r="W201" s="7" t="n"/>
      <c r="X201" s="7" t="n"/>
      <c r="AA201">
        <f>IF($D201="","",IF($AP201=1,0,IF($AO201=1,Settings!$C$6,Settings!$C$7))*100)</f>
        <v/>
      </c>
      <c r="AB201" s="7">
        <f>IF($D201="","",X201*AA201/100)</f>
        <v/>
      </c>
      <c r="AC201" s="7">
        <f>IF($D201="","",X201-AB201)</f>
        <v/>
      </c>
      <c r="AD201" s="7">
        <f>IF($D201="","",AC201-P201)</f>
        <v/>
      </c>
      <c r="AH201" s="7" t="n"/>
      <c r="AK201" s="11" t="n"/>
      <c r="AM201">
        <f>IF($D201="","",IF(COUNTIF($D$2:$D201,$D201)=1,1,0))</f>
        <v/>
      </c>
      <c r="AN201">
        <f>IF($AM201=1,SUMPRODUCT(--($AQ$2:$AQ$1001&lt;$AQ201))+1,"")</f>
        <v/>
      </c>
      <c r="AO201">
        <f>IF($D201="","",IF(OR($T201=TRUE(),$T201="TRUE"),1,0))</f>
        <v/>
      </c>
      <c r="AP201">
        <f>IF($D201="","",IF($Z201="Yes",1,0))</f>
        <v/>
      </c>
      <c r="AQ201">
        <f>IF($AM201=1,IFERROR(IF(VALUE($D201)&lt;100000000,VALUE($D201),1000000000),IFERROR(IF(VALUE(MID($D201,2,20))&lt;100000000,VALUE(MID($D201,2,20)),1000000000),1000000000))+ROW()/100000,"")</f>
        <v/>
      </c>
    </row>
    <row r="202">
      <c r="F202" s="11" t="n"/>
      <c r="P202" s="7">
        <f>IF($D202="","",O202*X202/100)</f>
        <v/>
      </c>
      <c r="Q202" s="7" t="n"/>
      <c r="W202" s="7" t="n"/>
      <c r="X202" s="7" t="n"/>
      <c r="AA202">
        <f>IF($D202="","",IF($AP202=1,0,IF($AO202=1,Settings!$C$6,Settings!$C$7))*100)</f>
        <v/>
      </c>
      <c r="AB202" s="7">
        <f>IF($D202="","",X202*AA202/100)</f>
        <v/>
      </c>
      <c r="AC202" s="7">
        <f>IF($D202="","",X202-AB202)</f>
        <v/>
      </c>
      <c r="AD202" s="7">
        <f>IF($D202="","",AC202-P202)</f>
        <v/>
      </c>
      <c r="AH202" s="7" t="n"/>
      <c r="AK202" s="11" t="n"/>
      <c r="AM202">
        <f>IF($D202="","",IF(COUNTIF($D$2:$D202,$D202)=1,1,0))</f>
        <v/>
      </c>
      <c r="AN202">
        <f>IF($AM202=1,SUMPRODUCT(--($AQ$2:$AQ$1001&lt;$AQ202))+1,"")</f>
        <v/>
      </c>
      <c r="AO202">
        <f>IF($D202="","",IF(OR($T202=TRUE(),$T202="TRUE"),1,0))</f>
        <v/>
      </c>
      <c r="AP202">
        <f>IF($D202="","",IF($Z202="Yes",1,0))</f>
        <v/>
      </c>
      <c r="AQ202">
        <f>IF($AM202=1,IFERROR(IF(VALUE($D202)&lt;100000000,VALUE($D202),1000000000),IFERROR(IF(VALUE(MID($D202,2,20))&lt;100000000,VALUE(MID($D202,2,20)),1000000000),1000000000))+ROW()/100000,"")</f>
        <v/>
      </c>
    </row>
    <row r="203">
      <c r="F203" s="11" t="n"/>
      <c r="P203" s="7">
        <f>IF($D203="","",O203*X203/100)</f>
        <v/>
      </c>
      <c r="Q203" s="7" t="n"/>
      <c r="W203" s="7" t="n"/>
      <c r="X203" s="7" t="n"/>
      <c r="AA203">
        <f>IF($D203="","",IF($AP203=1,0,IF($AO203=1,Settings!$C$6,Settings!$C$7))*100)</f>
        <v/>
      </c>
      <c r="AB203" s="7">
        <f>IF($D203="","",X203*AA203/100)</f>
        <v/>
      </c>
      <c r="AC203" s="7">
        <f>IF($D203="","",X203-AB203)</f>
        <v/>
      </c>
      <c r="AD203" s="7">
        <f>IF($D203="","",AC203-P203)</f>
        <v/>
      </c>
      <c r="AH203" s="7" t="n"/>
      <c r="AK203" s="11" t="n"/>
      <c r="AM203">
        <f>IF($D203="","",IF(COUNTIF($D$2:$D203,$D203)=1,1,0))</f>
        <v/>
      </c>
      <c r="AN203">
        <f>IF($AM203=1,SUMPRODUCT(--($AQ$2:$AQ$1001&lt;$AQ203))+1,"")</f>
        <v/>
      </c>
      <c r="AO203">
        <f>IF($D203="","",IF(OR($T203=TRUE(),$T203="TRUE"),1,0))</f>
        <v/>
      </c>
      <c r="AP203">
        <f>IF($D203="","",IF($Z203="Yes",1,0))</f>
        <v/>
      </c>
      <c r="AQ203">
        <f>IF($AM203=1,IFERROR(IF(VALUE($D203)&lt;100000000,VALUE($D203),1000000000),IFERROR(IF(VALUE(MID($D203,2,20))&lt;100000000,VALUE(MID($D203,2,20)),1000000000),1000000000))+ROW()/100000,"")</f>
        <v/>
      </c>
    </row>
    <row r="204">
      <c r="F204" s="11" t="n"/>
      <c r="P204" s="7">
        <f>IF($D204="","",O204*X204/100)</f>
        <v/>
      </c>
      <c r="Q204" s="7" t="n"/>
      <c r="W204" s="7" t="n"/>
      <c r="X204" s="7" t="n"/>
      <c r="AA204">
        <f>IF($D204="","",IF($AP204=1,0,IF($AO204=1,Settings!$C$6,Settings!$C$7))*100)</f>
        <v/>
      </c>
      <c r="AB204" s="7">
        <f>IF($D204="","",X204*AA204/100)</f>
        <v/>
      </c>
      <c r="AC204" s="7">
        <f>IF($D204="","",X204-AB204)</f>
        <v/>
      </c>
      <c r="AD204" s="7">
        <f>IF($D204="","",AC204-P204)</f>
        <v/>
      </c>
      <c r="AH204" s="7" t="n"/>
      <c r="AK204" s="11" t="n"/>
      <c r="AM204">
        <f>IF($D204="","",IF(COUNTIF($D$2:$D204,$D204)=1,1,0))</f>
        <v/>
      </c>
      <c r="AN204">
        <f>IF($AM204=1,SUMPRODUCT(--($AQ$2:$AQ$1001&lt;$AQ204))+1,"")</f>
        <v/>
      </c>
      <c r="AO204">
        <f>IF($D204="","",IF(OR($T204=TRUE(),$T204="TRUE"),1,0))</f>
        <v/>
      </c>
      <c r="AP204">
        <f>IF($D204="","",IF($Z204="Yes",1,0))</f>
        <v/>
      </c>
      <c r="AQ204">
        <f>IF($AM204=1,IFERROR(IF(VALUE($D204)&lt;100000000,VALUE($D204),1000000000),IFERROR(IF(VALUE(MID($D204,2,20))&lt;100000000,VALUE(MID($D204,2,20)),1000000000),1000000000))+ROW()/100000,"")</f>
        <v/>
      </c>
    </row>
    <row r="205">
      <c r="F205" s="11" t="n"/>
      <c r="P205" s="7">
        <f>IF($D205="","",O205*X205/100)</f>
        <v/>
      </c>
      <c r="Q205" s="7" t="n"/>
      <c r="W205" s="7" t="n"/>
      <c r="X205" s="7" t="n"/>
      <c r="AA205">
        <f>IF($D205="","",IF($AP205=1,0,IF($AO205=1,Settings!$C$6,Settings!$C$7))*100)</f>
        <v/>
      </c>
      <c r="AB205" s="7">
        <f>IF($D205="","",X205*AA205/100)</f>
        <v/>
      </c>
      <c r="AC205" s="7">
        <f>IF($D205="","",X205-AB205)</f>
        <v/>
      </c>
      <c r="AD205" s="7">
        <f>IF($D205="","",AC205-P205)</f>
        <v/>
      </c>
      <c r="AH205" s="7" t="n"/>
      <c r="AK205" s="11" t="n"/>
      <c r="AM205">
        <f>IF($D205="","",IF(COUNTIF($D$2:$D205,$D205)=1,1,0))</f>
        <v/>
      </c>
      <c r="AN205">
        <f>IF($AM205=1,SUMPRODUCT(--($AQ$2:$AQ$1001&lt;$AQ205))+1,"")</f>
        <v/>
      </c>
      <c r="AO205">
        <f>IF($D205="","",IF(OR($T205=TRUE(),$T205="TRUE"),1,0))</f>
        <v/>
      </c>
      <c r="AP205">
        <f>IF($D205="","",IF($Z205="Yes",1,0))</f>
        <v/>
      </c>
      <c r="AQ205">
        <f>IF($AM205=1,IFERROR(IF(VALUE($D205)&lt;100000000,VALUE($D205),1000000000),IFERROR(IF(VALUE(MID($D205,2,20))&lt;100000000,VALUE(MID($D205,2,20)),1000000000),1000000000))+ROW()/100000,"")</f>
        <v/>
      </c>
    </row>
    <row r="206">
      <c r="F206" s="11" t="n"/>
      <c r="P206" s="7">
        <f>IF($D206="","",O206*X206/100)</f>
        <v/>
      </c>
      <c r="Q206" s="7" t="n"/>
      <c r="W206" s="7" t="n"/>
      <c r="X206" s="7" t="n"/>
      <c r="AA206">
        <f>IF($D206="","",IF($AP206=1,0,IF($AO206=1,Settings!$C$6,Settings!$C$7))*100)</f>
        <v/>
      </c>
      <c r="AB206" s="7">
        <f>IF($D206="","",X206*AA206/100)</f>
        <v/>
      </c>
      <c r="AC206" s="7">
        <f>IF($D206="","",X206-AB206)</f>
        <v/>
      </c>
      <c r="AD206" s="7">
        <f>IF($D206="","",AC206-P206)</f>
        <v/>
      </c>
      <c r="AH206" s="7" t="n"/>
      <c r="AK206" s="11" t="n"/>
      <c r="AM206">
        <f>IF($D206="","",IF(COUNTIF($D$2:$D206,$D206)=1,1,0))</f>
        <v/>
      </c>
      <c r="AN206">
        <f>IF($AM206=1,SUMPRODUCT(--($AQ$2:$AQ$1001&lt;$AQ206))+1,"")</f>
        <v/>
      </c>
      <c r="AO206">
        <f>IF($D206="","",IF(OR($T206=TRUE(),$T206="TRUE"),1,0))</f>
        <v/>
      </c>
      <c r="AP206">
        <f>IF($D206="","",IF($Z206="Yes",1,0))</f>
        <v/>
      </c>
      <c r="AQ206">
        <f>IF($AM206=1,IFERROR(IF(VALUE($D206)&lt;100000000,VALUE($D206),1000000000),IFERROR(IF(VALUE(MID($D206,2,20))&lt;100000000,VALUE(MID($D206,2,20)),1000000000),1000000000))+ROW()/100000,"")</f>
        <v/>
      </c>
    </row>
    <row r="207">
      <c r="F207" s="11" t="n"/>
      <c r="P207" s="7">
        <f>IF($D207="","",O207*X207/100)</f>
        <v/>
      </c>
      <c r="Q207" s="7" t="n"/>
      <c r="W207" s="7" t="n"/>
      <c r="X207" s="7" t="n"/>
      <c r="AA207">
        <f>IF($D207="","",IF($AP207=1,0,IF($AO207=1,Settings!$C$6,Settings!$C$7))*100)</f>
        <v/>
      </c>
      <c r="AB207" s="7">
        <f>IF($D207="","",X207*AA207/100)</f>
        <v/>
      </c>
      <c r="AC207" s="7">
        <f>IF($D207="","",X207-AB207)</f>
        <v/>
      </c>
      <c r="AD207" s="7">
        <f>IF($D207="","",AC207-P207)</f>
        <v/>
      </c>
      <c r="AH207" s="7" t="n"/>
      <c r="AK207" s="11" t="n"/>
      <c r="AM207">
        <f>IF($D207="","",IF(COUNTIF($D$2:$D207,$D207)=1,1,0))</f>
        <v/>
      </c>
      <c r="AN207">
        <f>IF($AM207=1,SUMPRODUCT(--($AQ$2:$AQ$1001&lt;$AQ207))+1,"")</f>
        <v/>
      </c>
      <c r="AO207">
        <f>IF($D207="","",IF(OR($T207=TRUE(),$T207="TRUE"),1,0))</f>
        <v/>
      </c>
      <c r="AP207">
        <f>IF($D207="","",IF($Z207="Yes",1,0))</f>
        <v/>
      </c>
      <c r="AQ207">
        <f>IF($AM207=1,IFERROR(IF(VALUE($D207)&lt;100000000,VALUE($D207),1000000000),IFERROR(IF(VALUE(MID($D207,2,20))&lt;100000000,VALUE(MID($D207,2,20)),1000000000),1000000000))+ROW()/100000,"")</f>
        <v/>
      </c>
    </row>
    <row r="208">
      <c r="F208" s="11" t="n"/>
      <c r="P208" s="7">
        <f>IF($D208="","",O208*X208/100)</f>
        <v/>
      </c>
      <c r="Q208" s="7" t="n"/>
      <c r="W208" s="7" t="n"/>
      <c r="X208" s="7" t="n"/>
      <c r="AA208">
        <f>IF($D208="","",IF($AP208=1,0,IF($AO208=1,Settings!$C$6,Settings!$C$7))*100)</f>
        <v/>
      </c>
      <c r="AB208" s="7">
        <f>IF($D208="","",X208*AA208/100)</f>
        <v/>
      </c>
      <c r="AC208" s="7">
        <f>IF($D208="","",X208-AB208)</f>
        <v/>
      </c>
      <c r="AD208" s="7">
        <f>IF($D208="","",AC208-P208)</f>
        <v/>
      </c>
      <c r="AH208" s="7" t="n"/>
      <c r="AK208" s="11" t="n"/>
      <c r="AM208">
        <f>IF($D208="","",IF(COUNTIF($D$2:$D208,$D208)=1,1,0))</f>
        <v/>
      </c>
      <c r="AN208">
        <f>IF($AM208=1,SUMPRODUCT(--($AQ$2:$AQ$1001&lt;$AQ208))+1,"")</f>
        <v/>
      </c>
      <c r="AO208">
        <f>IF($D208="","",IF(OR($T208=TRUE(),$T208="TRUE"),1,0))</f>
        <v/>
      </c>
      <c r="AP208">
        <f>IF($D208="","",IF($Z208="Yes",1,0))</f>
        <v/>
      </c>
      <c r="AQ208">
        <f>IF($AM208=1,IFERROR(IF(VALUE($D208)&lt;100000000,VALUE($D208),1000000000),IFERROR(IF(VALUE(MID($D208,2,20))&lt;100000000,VALUE(MID($D208,2,20)),1000000000),1000000000))+ROW()/100000,"")</f>
        <v/>
      </c>
    </row>
    <row r="209">
      <c r="F209" s="11" t="n"/>
      <c r="P209" s="7">
        <f>IF($D209="","",O209*X209/100)</f>
        <v/>
      </c>
      <c r="Q209" s="7" t="n"/>
      <c r="W209" s="7" t="n"/>
      <c r="X209" s="7" t="n"/>
      <c r="AA209">
        <f>IF($D209="","",IF($AP209=1,0,IF($AO209=1,Settings!$C$6,Settings!$C$7))*100)</f>
        <v/>
      </c>
      <c r="AB209" s="7">
        <f>IF($D209="","",X209*AA209/100)</f>
        <v/>
      </c>
      <c r="AC209" s="7">
        <f>IF($D209="","",X209-AB209)</f>
        <v/>
      </c>
      <c r="AD209" s="7">
        <f>IF($D209="","",AC209-P209)</f>
        <v/>
      </c>
      <c r="AH209" s="7" t="n"/>
      <c r="AK209" s="11" t="n"/>
      <c r="AM209">
        <f>IF($D209="","",IF(COUNTIF($D$2:$D209,$D209)=1,1,0))</f>
        <v/>
      </c>
      <c r="AN209">
        <f>IF($AM209=1,SUMPRODUCT(--($AQ$2:$AQ$1001&lt;$AQ209))+1,"")</f>
        <v/>
      </c>
      <c r="AO209">
        <f>IF($D209="","",IF(OR($T209=TRUE(),$T209="TRUE"),1,0))</f>
        <v/>
      </c>
      <c r="AP209">
        <f>IF($D209="","",IF($Z209="Yes",1,0))</f>
        <v/>
      </c>
      <c r="AQ209">
        <f>IF($AM209=1,IFERROR(IF(VALUE($D209)&lt;100000000,VALUE($D209),1000000000),IFERROR(IF(VALUE(MID($D209,2,20))&lt;100000000,VALUE(MID($D209,2,20)),1000000000),1000000000))+ROW()/100000,"")</f>
        <v/>
      </c>
    </row>
    <row r="210">
      <c r="F210" s="11" t="n"/>
      <c r="P210" s="7">
        <f>IF($D210="","",O210*X210/100)</f>
        <v/>
      </c>
      <c r="Q210" s="7" t="n"/>
      <c r="W210" s="7" t="n"/>
      <c r="X210" s="7" t="n"/>
      <c r="AA210">
        <f>IF($D210="","",IF($AP210=1,0,IF($AO210=1,Settings!$C$6,Settings!$C$7))*100)</f>
        <v/>
      </c>
      <c r="AB210" s="7">
        <f>IF($D210="","",X210*AA210/100)</f>
        <v/>
      </c>
      <c r="AC210" s="7">
        <f>IF($D210="","",X210-AB210)</f>
        <v/>
      </c>
      <c r="AD210" s="7">
        <f>IF($D210="","",AC210-P210)</f>
        <v/>
      </c>
      <c r="AH210" s="7" t="n"/>
      <c r="AK210" s="11" t="n"/>
      <c r="AM210">
        <f>IF($D210="","",IF(COUNTIF($D$2:$D210,$D210)=1,1,0))</f>
        <v/>
      </c>
      <c r="AN210">
        <f>IF($AM210=1,SUMPRODUCT(--($AQ$2:$AQ$1001&lt;$AQ210))+1,"")</f>
        <v/>
      </c>
      <c r="AO210">
        <f>IF($D210="","",IF(OR($T210=TRUE(),$T210="TRUE"),1,0))</f>
        <v/>
      </c>
      <c r="AP210">
        <f>IF($D210="","",IF($Z210="Yes",1,0))</f>
        <v/>
      </c>
      <c r="AQ210">
        <f>IF($AM210=1,IFERROR(IF(VALUE($D210)&lt;100000000,VALUE($D210),1000000000),IFERROR(IF(VALUE(MID($D210,2,20))&lt;100000000,VALUE(MID($D210,2,20)),1000000000),1000000000))+ROW()/100000,"")</f>
        <v/>
      </c>
    </row>
    <row r="211">
      <c r="F211" s="11" t="n"/>
      <c r="P211" s="7">
        <f>IF($D211="","",O211*X211/100)</f>
        <v/>
      </c>
      <c r="Q211" s="7" t="n"/>
      <c r="W211" s="7" t="n"/>
      <c r="X211" s="7" t="n"/>
      <c r="AA211">
        <f>IF($D211="","",IF($AP211=1,0,IF($AO211=1,Settings!$C$6,Settings!$C$7))*100)</f>
        <v/>
      </c>
      <c r="AB211" s="7">
        <f>IF($D211="","",X211*AA211/100)</f>
        <v/>
      </c>
      <c r="AC211" s="7">
        <f>IF($D211="","",X211-AB211)</f>
        <v/>
      </c>
      <c r="AD211" s="7">
        <f>IF($D211="","",AC211-P211)</f>
        <v/>
      </c>
      <c r="AH211" s="7" t="n"/>
      <c r="AK211" s="11" t="n"/>
      <c r="AM211">
        <f>IF($D211="","",IF(COUNTIF($D$2:$D211,$D211)=1,1,0))</f>
        <v/>
      </c>
      <c r="AN211">
        <f>IF($AM211=1,SUMPRODUCT(--($AQ$2:$AQ$1001&lt;$AQ211))+1,"")</f>
        <v/>
      </c>
      <c r="AO211">
        <f>IF($D211="","",IF(OR($T211=TRUE(),$T211="TRUE"),1,0))</f>
        <v/>
      </c>
      <c r="AP211">
        <f>IF($D211="","",IF($Z211="Yes",1,0))</f>
        <v/>
      </c>
      <c r="AQ211">
        <f>IF($AM211=1,IFERROR(IF(VALUE($D211)&lt;100000000,VALUE($D211),1000000000),IFERROR(IF(VALUE(MID($D211,2,20))&lt;100000000,VALUE(MID($D211,2,20)),1000000000),1000000000))+ROW()/100000,"")</f>
        <v/>
      </c>
    </row>
    <row r="212">
      <c r="F212" s="11" t="n"/>
      <c r="P212" s="7">
        <f>IF($D212="","",O212*X212/100)</f>
        <v/>
      </c>
      <c r="Q212" s="7" t="n"/>
      <c r="W212" s="7" t="n"/>
      <c r="X212" s="7" t="n"/>
      <c r="AA212">
        <f>IF($D212="","",IF($AP212=1,0,IF($AO212=1,Settings!$C$6,Settings!$C$7))*100)</f>
        <v/>
      </c>
      <c r="AB212" s="7">
        <f>IF($D212="","",X212*AA212/100)</f>
        <v/>
      </c>
      <c r="AC212" s="7">
        <f>IF($D212="","",X212-AB212)</f>
        <v/>
      </c>
      <c r="AD212" s="7">
        <f>IF($D212="","",AC212-P212)</f>
        <v/>
      </c>
      <c r="AH212" s="7" t="n"/>
      <c r="AK212" s="11" t="n"/>
      <c r="AM212">
        <f>IF($D212="","",IF(COUNTIF($D$2:$D212,$D212)=1,1,0))</f>
        <v/>
      </c>
      <c r="AN212">
        <f>IF($AM212=1,SUMPRODUCT(--($AQ$2:$AQ$1001&lt;$AQ212))+1,"")</f>
        <v/>
      </c>
      <c r="AO212">
        <f>IF($D212="","",IF(OR($T212=TRUE(),$T212="TRUE"),1,0))</f>
        <v/>
      </c>
      <c r="AP212">
        <f>IF($D212="","",IF($Z212="Yes",1,0))</f>
        <v/>
      </c>
      <c r="AQ212">
        <f>IF($AM212=1,IFERROR(IF(VALUE($D212)&lt;100000000,VALUE($D212),1000000000),IFERROR(IF(VALUE(MID($D212,2,20))&lt;100000000,VALUE(MID($D212,2,20)),1000000000),1000000000))+ROW()/100000,"")</f>
        <v/>
      </c>
    </row>
    <row r="213">
      <c r="F213" s="11" t="n"/>
      <c r="P213" s="7">
        <f>IF($D213="","",O213*X213/100)</f>
        <v/>
      </c>
      <c r="Q213" s="7" t="n"/>
      <c r="W213" s="7" t="n"/>
      <c r="X213" s="7" t="n"/>
      <c r="AA213">
        <f>IF($D213="","",IF($AP213=1,0,IF($AO213=1,Settings!$C$6,Settings!$C$7))*100)</f>
        <v/>
      </c>
      <c r="AB213" s="7">
        <f>IF($D213="","",X213*AA213/100)</f>
        <v/>
      </c>
      <c r="AC213" s="7">
        <f>IF($D213="","",X213-AB213)</f>
        <v/>
      </c>
      <c r="AD213" s="7">
        <f>IF($D213="","",AC213-P213)</f>
        <v/>
      </c>
      <c r="AH213" s="7" t="n"/>
      <c r="AK213" s="11" t="n"/>
      <c r="AM213">
        <f>IF($D213="","",IF(COUNTIF($D$2:$D213,$D213)=1,1,0))</f>
        <v/>
      </c>
      <c r="AN213">
        <f>IF($AM213=1,SUMPRODUCT(--($AQ$2:$AQ$1001&lt;$AQ213))+1,"")</f>
        <v/>
      </c>
      <c r="AO213">
        <f>IF($D213="","",IF(OR($T213=TRUE(),$T213="TRUE"),1,0))</f>
        <v/>
      </c>
      <c r="AP213">
        <f>IF($D213="","",IF($Z213="Yes",1,0))</f>
        <v/>
      </c>
      <c r="AQ213">
        <f>IF($AM213=1,IFERROR(IF(VALUE($D213)&lt;100000000,VALUE($D213),1000000000),IFERROR(IF(VALUE(MID($D213,2,20))&lt;100000000,VALUE(MID($D213,2,20)),1000000000),1000000000))+ROW()/100000,"")</f>
        <v/>
      </c>
    </row>
    <row r="214">
      <c r="F214" s="11" t="n"/>
      <c r="P214" s="7">
        <f>IF($D214="","",O214*X214/100)</f>
        <v/>
      </c>
      <c r="Q214" s="7" t="n"/>
      <c r="W214" s="7" t="n"/>
      <c r="X214" s="7" t="n"/>
      <c r="AA214">
        <f>IF($D214="","",IF($AP214=1,0,IF($AO214=1,Settings!$C$6,Settings!$C$7))*100)</f>
        <v/>
      </c>
      <c r="AB214" s="7">
        <f>IF($D214="","",X214*AA214/100)</f>
        <v/>
      </c>
      <c r="AC214" s="7">
        <f>IF($D214="","",X214-AB214)</f>
        <v/>
      </c>
      <c r="AD214" s="7">
        <f>IF($D214="","",AC214-P214)</f>
        <v/>
      </c>
      <c r="AH214" s="7" t="n"/>
      <c r="AK214" s="11" t="n"/>
      <c r="AM214">
        <f>IF($D214="","",IF(COUNTIF($D$2:$D214,$D214)=1,1,0))</f>
        <v/>
      </c>
      <c r="AN214">
        <f>IF($AM214=1,SUMPRODUCT(--($AQ$2:$AQ$1001&lt;$AQ214))+1,"")</f>
        <v/>
      </c>
      <c r="AO214">
        <f>IF($D214="","",IF(OR($T214=TRUE(),$T214="TRUE"),1,0))</f>
        <v/>
      </c>
      <c r="AP214">
        <f>IF($D214="","",IF($Z214="Yes",1,0))</f>
        <v/>
      </c>
      <c r="AQ214">
        <f>IF($AM214=1,IFERROR(IF(VALUE($D214)&lt;100000000,VALUE($D214),1000000000),IFERROR(IF(VALUE(MID($D214,2,20))&lt;100000000,VALUE(MID($D214,2,20)),1000000000),1000000000))+ROW()/100000,"")</f>
        <v/>
      </c>
    </row>
    <row r="215">
      <c r="F215" s="11" t="n"/>
      <c r="P215" s="7">
        <f>IF($D215="","",O215*X215/100)</f>
        <v/>
      </c>
      <c r="Q215" s="7" t="n"/>
      <c r="W215" s="7" t="n"/>
      <c r="X215" s="7" t="n"/>
      <c r="AA215">
        <f>IF($D215="","",IF($AP215=1,0,IF($AO215=1,Settings!$C$6,Settings!$C$7))*100)</f>
        <v/>
      </c>
      <c r="AB215" s="7">
        <f>IF($D215="","",X215*AA215/100)</f>
        <v/>
      </c>
      <c r="AC215" s="7">
        <f>IF($D215="","",X215-AB215)</f>
        <v/>
      </c>
      <c r="AD215" s="7">
        <f>IF($D215="","",AC215-P215)</f>
        <v/>
      </c>
      <c r="AH215" s="7" t="n"/>
      <c r="AK215" s="11" t="n"/>
      <c r="AM215">
        <f>IF($D215="","",IF(COUNTIF($D$2:$D215,$D215)=1,1,0))</f>
        <v/>
      </c>
      <c r="AN215">
        <f>IF($AM215=1,SUMPRODUCT(--($AQ$2:$AQ$1001&lt;$AQ215))+1,"")</f>
        <v/>
      </c>
      <c r="AO215">
        <f>IF($D215="","",IF(OR($T215=TRUE(),$T215="TRUE"),1,0))</f>
        <v/>
      </c>
      <c r="AP215">
        <f>IF($D215="","",IF($Z215="Yes",1,0))</f>
        <v/>
      </c>
      <c r="AQ215">
        <f>IF($AM215=1,IFERROR(IF(VALUE($D215)&lt;100000000,VALUE($D215),1000000000),IFERROR(IF(VALUE(MID($D215,2,20))&lt;100000000,VALUE(MID($D215,2,20)),1000000000),1000000000))+ROW()/100000,"")</f>
        <v/>
      </c>
    </row>
    <row r="216">
      <c r="F216" s="11" t="n"/>
      <c r="P216" s="7">
        <f>IF($D216="","",O216*X216/100)</f>
        <v/>
      </c>
      <c r="Q216" s="7" t="n"/>
      <c r="W216" s="7" t="n"/>
      <c r="X216" s="7" t="n"/>
      <c r="AA216">
        <f>IF($D216="","",IF($AP216=1,0,IF($AO216=1,Settings!$C$6,Settings!$C$7))*100)</f>
        <v/>
      </c>
      <c r="AB216" s="7">
        <f>IF($D216="","",X216*AA216/100)</f>
        <v/>
      </c>
      <c r="AC216" s="7">
        <f>IF($D216="","",X216-AB216)</f>
        <v/>
      </c>
      <c r="AD216" s="7">
        <f>IF($D216="","",AC216-P216)</f>
        <v/>
      </c>
      <c r="AH216" s="7" t="n"/>
      <c r="AK216" s="11" t="n"/>
      <c r="AM216">
        <f>IF($D216="","",IF(COUNTIF($D$2:$D216,$D216)=1,1,0))</f>
        <v/>
      </c>
      <c r="AN216">
        <f>IF($AM216=1,SUMPRODUCT(--($AQ$2:$AQ$1001&lt;$AQ216))+1,"")</f>
        <v/>
      </c>
      <c r="AO216">
        <f>IF($D216="","",IF(OR($T216=TRUE(),$T216="TRUE"),1,0))</f>
        <v/>
      </c>
      <c r="AP216">
        <f>IF($D216="","",IF($Z216="Yes",1,0))</f>
        <v/>
      </c>
      <c r="AQ216">
        <f>IF($AM216=1,IFERROR(IF(VALUE($D216)&lt;100000000,VALUE($D216),1000000000),IFERROR(IF(VALUE(MID($D216,2,20))&lt;100000000,VALUE(MID($D216,2,20)),1000000000),1000000000))+ROW()/100000,"")</f>
        <v/>
      </c>
    </row>
    <row r="217">
      <c r="F217" s="11" t="n"/>
      <c r="P217" s="7">
        <f>IF($D217="","",O217*X217/100)</f>
        <v/>
      </c>
      <c r="Q217" s="7" t="n"/>
      <c r="W217" s="7" t="n"/>
      <c r="X217" s="7" t="n"/>
      <c r="AA217">
        <f>IF($D217="","",IF($AP217=1,0,IF($AO217=1,Settings!$C$6,Settings!$C$7))*100)</f>
        <v/>
      </c>
      <c r="AB217" s="7">
        <f>IF($D217="","",X217*AA217/100)</f>
        <v/>
      </c>
      <c r="AC217" s="7">
        <f>IF($D217="","",X217-AB217)</f>
        <v/>
      </c>
      <c r="AD217" s="7">
        <f>IF($D217="","",AC217-P217)</f>
        <v/>
      </c>
      <c r="AH217" s="7" t="n"/>
      <c r="AK217" s="11" t="n"/>
      <c r="AM217">
        <f>IF($D217="","",IF(COUNTIF($D$2:$D217,$D217)=1,1,0))</f>
        <v/>
      </c>
      <c r="AN217">
        <f>IF($AM217=1,SUMPRODUCT(--($AQ$2:$AQ$1001&lt;$AQ217))+1,"")</f>
        <v/>
      </c>
      <c r="AO217">
        <f>IF($D217="","",IF(OR($T217=TRUE(),$T217="TRUE"),1,0))</f>
        <v/>
      </c>
      <c r="AP217">
        <f>IF($D217="","",IF($Z217="Yes",1,0))</f>
        <v/>
      </c>
      <c r="AQ217">
        <f>IF($AM217=1,IFERROR(IF(VALUE($D217)&lt;100000000,VALUE($D217),1000000000),IFERROR(IF(VALUE(MID($D217,2,20))&lt;100000000,VALUE(MID($D217,2,20)),1000000000),1000000000))+ROW()/100000,"")</f>
        <v/>
      </c>
    </row>
    <row r="218">
      <c r="F218" s="11" t="n"/>
      <c r="P218" s="7">
        <f>IF($D218="","",O218*X218/100)</f>
        <v/>
      </c>
      <c r="Q218" s="7" t="n"/>
      <c r="W218" s="7" t="n"/>
      <c r="X218" s="7" t="n"/>
      <c r="AA218">
        <f>IF($D218="","",IF($AP218=1,0,IF($AO218=1,Settings!$C$6,Settings!$C$7))*100)</f>
        <v/>
      </c>
      <c r="AB218" s="7">
        <f>IF($D218="","",X218*AA218/100)</f>
        <v/>
      </c>
      <c r="AC218" s="7">
        <f>IF($D218="","",X218-AB218)</f>
        <v/>
      </c>
      <c r="AD218" s="7">
        <f>IF($D218="","",AC218-P218)</f>
        <v/>
      </c>
      <c r="AH218" s="7" t="n"/>
      <c r="AK218" s="11" t="n"/>
      <c r="AM218">
        <f>IF($D218="","",IF(COUNTIF($D$2:$D218,$D218)=1,1,0))</f>
        <v/>
      </c>
      <c r="AN218">
        <f>IF($AM218=1,SUMPRODUCT(--($AQ$2:$AQ$1001&lt;$AQ218))+1,"")</f>
        <v/>
      </c>
      <c r="AO218">
        <f>IF($D218="","",IF(OR($T218=TRUE(),$T218="TRUE"),1,0))</f>
        <v/>
      </c>
      <c r="AP218">
        <f>IF($D218="","",IF($Z218="Yes",1,0))</f>
        <v/>
      </c>
      <c r="AQ218">
        <f>IF($AM218=1,IFERROR(IF(VALUE($D218)&lt;100000000,VALUE($D218),1000000000),IFERROR(IF(VALUE(MID($D218,2,20))&lt;100000000,VALUE(MID($D218,2,20)),1000000000),1000000000))+ROW()/100000,"")</f>
        <v/>
      </c>
    </row>
    <row r="219">
      <c r="F219" s="11" t="n"/>
      <c r="P219" s="7">
        <f>IF($D219="","",O219*X219/100)</f>
        <v/>
      </c>
      <c r="Q219" s="7" t="n"/>
      <c r="W219" s="7" t="n"/>
      <c r="X219" s="7" t="n"/>
      <c r="AA219">
        <f>IF($D219="","",IF($AP219=1,0,IF($AO219=1,Settings!$C$6,Settings!$C$7))*100)</f>
        <v/>
      </c>
      <c r="AB219" s="7">
        <f>IF($D219="","",X219*AA219/100)</f>
        <v/>
      </c>
      <c r="AC219" s="7">
        <f>IF($D219="","",X219-AB219)</f>
        <v/>
      </c>
      <c r="AD219" s="7">
        <f>IF($D219="","",AC219-P219)</f>
        <v/>
      </c>
      <c r="AH219" s="7" t="n"/>
      <c r="AK219" s="11" t="n"/>
      <c r="AM219">
        <f>IF($D219="","",IF(COUNTIF($D$2:$D219,$D219)=1,1,0))</f>
        <v/>
      </c>
      <c r="AN219">
        <f>IF($AM219=1,SUMPRODUCT(--($AQ$2:$AQ$1001&lt;$AQ219))+1,"")</f>
        <v/>
      </c>
      <c r="AO219">
        <f>IF($D219="","",IF(OR($T219=TRUE(),$T219="TRUE"),1,0))</f>
        <v/>
      </c>
      <c r="AP219">
        <f>IF($D219="","",IF($Z219="Yes",1,0))</f>
        <v/>
      </c>
      <c r="AQ219">
        <f>IF($AM219=1,IFERROR(IF(VALUE($D219)&lt;100000000,VALUE($D219),1000000000),IFERROR(IF(VALUE(MID($D219,2,20))&lt;100000000,VALUE(MID($D219,2,20)),1000000000),1000000000))+ROW()/100000,"")</f>
        <v/>
      </c>
    </row>
    <row r="220">
      <c r="F220" s="11" t="n"/>
      <c r="P220" s="7">
        <f>IF($D220="","",O220*X220/100)</f>
        <v/>
      </c>
      <c r="Q220" s="7" t="n"/>
      <c r="W220" s="7" t="n"/>
      <c r="X220" s="7" t="n"/>
      <c r="AA220">
        <f>IF($D220="","",IF($AP220=1,0,IF($AO220=1,Settings!$C$6,Settings!$C$7))*100)</f>
        <v/>
      </c>
      <c r="AB220" s="7">
        <f>IF($D220="","",X220*AA220/100)</f>
        <v/>
      </c>
      <c r="AC220" s="7">
        <f>IF($D220="","",X220-AB220)</f>
        <v/>
      </c>
      <c r="AD220" s="7">
        <f>IF($D220="","",AC220-P220)</f>
        <v/>
      </c>
      <c r="AH220" s="7" t="n"/>
      <c r="AK220" s="11" t="n"/>
      <c r="AM220">
        <f>IF($D220="","",IF(COUNTIF($D$2:$D220,$D220)=1,1,0))</f>
        <v/>
      </c>
      <c r="AN220">
        <f>IF($AM220=1,SUMPRODUCT(--($AQ$2:$AQ$1001&lt;$AQ220))+1,"")</f>
        <v/>
      </c>
      <c r="AO220">
        <f>IF($D220="","",IF(OR($T220=TRUE(),$T220="TRUE"),1,0))</f>
        <v/>
      </c>
      <c r="AP220">
        <f>IF($D220="","",IF($Z220="Yes",1,0))</f>
        <v/>
      </c>
      <c r="AQ220">
        <f>IF($AM220=1,IFERROR(IF(VALUE($D220)&lt;100000000,VALUE($D220),1000000000),IFERROR(IF(VALUE(MID($D220,2,20))&lt;100000000,VALUE(MID($D220,2,20)),1000000000),1000000000))+ROW()/100000,"")</f>
        <v/>
      </c>
    </row>
    <row r="221">
      <c r="F221" s="11" t="n"/>
      <c r="P221" s="7">
        <f>IF($D221="","",O221*X221/100)</f>
        <v/>
      </c>
      <c r="Q221" s="7" t="n"/>
      <c r="W221" s="7" t="n"/>
      <c r="X221" s="7" t="n"/>
      <c r="AA221">
        <f>IF($D221="","",IF($AP221=1,0,IF($AO221=1,Settings!$C$6,Settings!$C$7))*100)</f>
        <v/>
      </c>
      <c r="AB221" s="7">
        <f>IF($D221="","",X221*AA221/100)</f>
        <v/>
      </c>
      <c r="AC221" s="7">
        <f>IF($D221="","",X221-AB221)</f>
        <v/>
      </c>
      <c r="AD221" s="7">
        <f>IF($D221="","",AC221-P221)</f>
        <v/>
      </c>
      <c r="AH221" s="7" t="n"/>
      <c r="AK221" s="11" t="n"/>
      <c r="AM221">
        <f>IF($D221="","",IF(COUNTIF($D$2:$D221,$D221)=1,1,0))</f>
        <v/>
      </c>
      <c r="AN221">
        <f>IF($AM221=1,SUMPRODUCT(--($AQ$2:$AQ$1001&lt;$AQ221))+1,"")</f>
        <v/>
      </c>
      <c r="AO221">
        <f>IF($D221="","",IF(OR($T221=TRUE(),$T221="TRUE"),1,0))</f>
        <v/>
      </c>
      <c r="AP221">
        <f>IF($D221="","",IF($Z221="Yes",1,0))</f>
        <v/>
      </c>
      <c r="AQ221">
        <f>IF($AM221=1,IFERROR(IF(VALUE($D221)&lt;100000000,VALUE($D221),1000000000),IFERROR(IF(VALUE(MID($D221,2,20))&lt;100000000,VALUE(MID($D221,2,20)),1000000000),1000000000))+ROW()/100000,"")</f>
        <v/>
      </c>
    </row>
    <row r="222">
      <c r="F222" s="11" t="n"/>
      <c r="P222" s="7">
        <f>IF($D222="","",O222*X222/100)</f>
        <v/>
      </c>
      <c r="Q222" s="7" t="n"/>
      <c r="W222" s="7" t="n"/>
      <c r="X222" s="7" t="n"/>
      <c r="AA222">
        <f>IF($D222="","",IF($AP222=1,0,IF($AO222=1,Settings!$C$6,Settings!$C$7))*100)</f>
        <v/>
      </c>
      <c r="AB222" s="7">
        <f>IF($D222="","",X222*AA222/100)</f>
        <v/>
      </c>
      <c r="AC222" s="7">
        <f>IF($D222="","",X222-AB222)</f>
        <v/>
      </c>
      <c r="AD222" s="7">
        <f>IF($D222="","",AC222-P222)</f>
        <v/>
      </c>
      <c r="AH222" s="7" t="n"/>
      <c r="AK222" s="11" t="n"/>
      <c r="AM222">
        <f>IF($D222="","",IF(COUNTIF($D$2:$D222,$D222)=1,1,0))</f>
        <v/>
      </c>
      <c r="AN222">
        <f>IF($AM222=1,SUMPRODUCT(--($AQ$2:$AQ$1001&lt;$AQ222))+1,"")</f>
        <v/>
      </c>
      <c r="AO222">
        <f>IF($D222="","",IF(OR($T222=TRUE(),$T222="TRUE"),1,0))</f>
        <v/>
      </c>
      <c r="AP222">
        <f>IF($D222="","",IF($Z222="Yes",1,0))</f>
        <v/>
      </c>
      <c r="AQ222">
        <f>IF($AM222=1,IFERROR(IF(VALUE($D222)&lt;100000000,VALUE($D222),1000000000),IFERROR(IF(VALUE(MID($D222,2,20))&lt;100000000,VALUE(MID($D222,2,20)),1000000000),1000000000))+ROW()/100000,"")</f>
        <v/>
      </c>
    </row>
    <row r="223">
      <c r="F223" s="11" t="n"/>
      <c r="P223" s="7">
        <f>IF($D223="","",O223*X223/100)</f>
        <v/>
      </c>
      <c r="Q223" s="7" t="n"/>
      <c r="W223" s="7" t="n"/>
      <c r="X223" s="7" t="n"/>
      <c r="AA223">
        <f>IF($D223="","",IF($AP223=1,0,IF($AO223=1,Settings!$C$6,Settings!$C$7))*100)</f>
        <v/>
      </c>
      <c r="AB223" s="7">
        <f>IF($D223="","",X223*AA223/100)</f>
        <v/>
      </c>
      <c r="AC223" s="7">
        <f>IF($D223="","",X223-AB223)</f>
        <v/>
      </c>
      <c r="AD223" s="7">
        <f>IF($D223="","",AC223-P223)</f>
        <v/>
      </c>
      <c r="AH223" s="7" t="n"/>
      <c r="AK223" s="11" t="n"/>
      <c r="AM223">
        <f>IF($D223="","",IF(COUNTIF($D$2:$D223,$D223)=1,1,0))</f>
        <v/>
      </c>
      <c r="AN223">
        <f>IF($AM223=1,SUMPRODUCT(--($AQ$2:$AQ$1001&lt;$AQ223))+1,"")</f>
        <v/>
      </c>
      <c r="AO223">
        <f>IF($D223="","",IF(OR($T223=TRUE(),$T223="TRUE"),1,0))</f>
        <v/>
      </c>
      <c r="AP223">
        <f>IF($D223="","",IF($Z223="Yes",1,0))</f>
        <v/>
      </c>
      <c r="AQ223">
        <f>IF($AM223=1,IFERROR(IF(VALUE($D223)&lt;100000000,VALUE($D223),1000000000),IFERROR(IF(VALUE(MID($D223,2,20))&lt;100000000,VALUE(MID($D223,2,20)),1000000000),1000000000))+ROW()/100000,"")</f>
        <v/>
      </c>
    </row>
    <row r="224">
      <c r="F224" s="11" t="n"/>
      <c r="P224" s="7">
        <f>IF($D224="","",O224*X224/100)</f>
        <v/>
      </c>
      <c r="Q224" s="7" t="n"/>
      <c r="W224" s="7" t="n"/>
      <c r="X224" s="7" t="n"/>
      <c r="AA224">
        <f>IF($D224="","",IF($AP224=1,0,IF($AO224=1,Settings!$C$6,Settings!$C$7))*100)</f>
        <v/>
      </c>
      <c r="AB224" s="7">
        <f>IF($D224="","",X224*AA224/100)</f>
        <v/>
      </c>
      <c r="AC224" s="7">
        <f>IF($D224="","",X224-AB224)</f>
        <v/>
      </c>
      <c r="AD224" s="7">
        <f>IF($D224="","",AC224-P224)</f>
        <v/>
      </c>
      <c r="AH224" s="7" t="n"/>
      <c r="AK224" s="11" t="n"/>
      <c r="AM224">
        <f>IF($D224="","",IF(COUNTIF($D$2:$D224,$D224)=1,1,0))</f>
        <v/>
      </c>
      <c r="AN224">
        <f>IF($AM224=1,SUMPRODUCT(--($AQ$2:$AQ$1001&lt;$AQ224))+1,"")</f>
        <v/>
      </c>
      <c r="AO224">
        <f>IF($D224="","",IF(OR($T224=TRUE(),$T224="TRUE"),1,0))</f>
        <v/>
      </c>
      <c r="AP224">
        <f>IF($D224="","",IF($Z224="Yes",1,0))</f>
        <v/>
      </c>
      <c r="AQ224">
        <f>IF($AM224=1,IFERROR(IF(VALUE($D224)&lt;100000000,VALUE($D224),1000000000),IFERROR(IF(VALUE(MID($D224,2,20))&lt;100000000,VALUE(MID($D224,2,20)),1000000000),1000000000))+ROW()/100000,"")</f>
        <v/>
      </c>
    </row>
    <row r="225">
      <c r="F225" s="11" t="n"/>
      <c r="P225" s="7">
        <f>IF($D225="","",O225*X225/100)</f>
        <v/>
      </c>
      <c r="Q225" s="7" t="n"/>
      <c r="W225" s="7" t="n"/>
      <c r="X225" s="7" t="n"/>
      <c r="AA225">
        <f>IF($D225="","",IF($AP225=1,0,IF($AO225=1,Settings!$C$6,Settings!$C$7))*100)</f>
        <v/>
      </c>
      <c r="AB225" s="7">
        <f>IF($D225="","",X225*AA225/100)</f>
        <v/>
      </c>
      <c r="AC225" s="7">
        <f>IF($D225="","",X225-AB225)</f>
        <v/>
      </c>
      <c r="AD225" s="7">
        <f>IF($D225="","",AC225-P225)</f>
        <v/>
      </c>
      <c r="AH225" s="7" t="n"/>
      <c r="AK225" s="11" t="n"/>
      <c r="AM225">
        <f>IF($D225="","",IF(COUNTIF($D$2:$D225,$D225)=1,1,0))</f>
        <v/>
      </c>
      <c r="AN225">
        <f>IF($AM225=1,SUMPRODUCT(--($AQ$2:$AQ$1001&lt;$AQ225))+1,"")</f>
        <v/>
      </c>
      <c r="AO225">
        <f>IF($D225="","",IF(OR($T225=TRUE(),$T225="TRUE"),1,0))</f>
        <v/>
      </c>
      <c r="AP225">
        <f>IF($D225="","",IF($Z225="Yes",1,0))</f>
        <v/>
      </c>
      <c r="AQ225">
        <f>IF($AM225=1,IFERROR(IF(VALUE($D225)&lt;100000000,VALUE($D225),1000000000),IFERROR(IF(VALUE(MID($D225,2,20))&lt;100000000,VALUE(MID($D225,2,20)),1000000000),1000000000))+ROW()/100000,"")</f>
        <v/>
      </c>
    </row>
    <row r="226">
      <c r="F226" s="11" t="n"/>
      <c r="P226" s="7">
        <f>IF($D226="","",O226*X226/100)</f>
        <v/>
      </c>
      <c r="Q226" s="7" t="n"/>
      <c r="W226" s="7" t="n"/>
      <c r="X226" s="7" t="n"/>
      <c r="AA226">
        <f>IF($D226="","",IF($AP226=1,0,IF($AO226=1,Settings!$C$6,Settings!$C$7))*100)</f>
        <v/>
      </c>
      <c r="AB226" s="7">
        <f>IF($D226="","",X226*AA226/100)</f>
        <v/>
      </c>
      <c r="AC226" s="7">
        <f>IF($D226="","",X226-AB226)</f>
        <v/>
      </c>
      <c r="AD226" s="7">
        <f>IF($D226="","",AC226-P226)</f>
        <v/>
      </c>
      <c r="AH226" s="7" t="n"/>
      <c r="AK226" s="11" t="n"/>
      <c r="AM226">
        <f>IF($D226="","",IF(COUNTIF($D$2:$D226,$D226)=1,1,0))</f>
        <v/>
      </c>
      <c r="AN226">
        <f>IF($AM226=1,SUMPRODUCT(--($AQ$2:$AQ$1001&lt;$AQ226))+1,"")</f>
        <v/>
      </c>
      <c r="AO226">
        <f>IF($D226="","",IF(OR($T226=TRUE(),$T226="TRUE"),1,0))</f>
        <v/>
      </c>
      <c r="AP226">
        <f>IF($D226="","",IF($Z226="Yes",1,0))</f>
        <v/>
      </c>
      <c r="AQ226">
        <f>IF($AM226=1,IFERROR(IF(VALUE($D226)&lt;100000000,VALUE($D226),1000000000),IFERROR(IF(VALUE(MID($D226,2,20))&lt;100000000,VALUE(MID($D226,2,20)),1000000000),1000000000))+ROW()/100000,"")</f>
        <v/>
      </c>
    </row>
    <row r="227">
      <c r="F227" s="11" t="n"/>
      <c r="P227" s="7">
        <f>IF($D227="","",O227*X227/100)</f>
        <v/>
      </c>
      <c r="Q227" s="7" t="n"/>
      <c r="W227" s="7" t="n"/>
      <c r="X227" s="7" t="n"/>
      <c r="AA227">
        <f>IF($D227="","",IF($AP227=1,0,IF($AO227=1,Settings!$C$6,Settings!$C$7))*100)</f>
        <v/>
      </c>
      <c r="AB227" s="7">
        <f>IF($D227="","",X227*AA227/100)</f>
        <v/>
      </c>
      <c r="AC227" s="7">
        <f>IF($D227="","",X227-AB227)</f>
        <v/>
      </c>
      <c r="AD227" s="7">
        <f>IF($D227="","",AC227-P227)</f>
        <v/>
      </c>
      <c r="AH227" s="7" t="n"/>
      <c r="AK227" s="11" t="n"/>
      <c r="AM227">
        <f>IF($D227="","",IF(COUNTIF($D$2:$D227,$D227)=1,1,0))</f>
        <v/>
      </c>
      <c r="AN227">
        <f>IF($AM227=1,SUMPRODUCT(--($AQ$2:$AQ$1001&lt;$AQ227))+1,"")</f>
        <v/>
      </c>
      <c r="AO227">
        <f>IF($D227="","",IF(OR($T227=TRUE(),$T227="TRUE"),1,0))</f>
        <v/>
      </c>
      <c r="AP227">
        <f>IF($D227="","",IF($Z227="Yes",1,0))</f>
        <v/>
      </c>
      <c r="AQ227">
        <f>IF($AM227=1,IFERROR(IF(VALUE($D227)&lt;100000000,VALUE($D227),1000000000),IFERROR(IF(VALUE(MID($D227,2,20))&lt;100000000,VALUE(MID($D227,2,20)),1000000000),1000000000))+ROW()/100000,"")</f>
        <v/>
      </c>
    </row>
    <row r="228">
      <c r="F228" s="11" t="n"/>
      <c r="P228" s="7">
        <f>IF($D228="","",O228*X228/100)</f>
        <v/>
      </c>
      <c r="Q228" s="7" t="n"/>
      <c r="W228" s="7" t="n"/>
      <c r="X228" s="7" t="n"/>
      <c r="AA228">
        <f>IF($D228="","",IF($AP228=1,0,IF($AO228=1,Settings!$C$6,Settings!$C$7))*100)</f>
        <v/>
      </c>
      <c r="AB228" s="7">
        <f>IF($D228="","",X228*AA228/100)</f>
        <v/>
      </c>
      <c r="AC228" s="7">
        <f>IF($D228="","",X228-AB228)</f>
        <v/>
      </c>
      <c r="AD228" s="7">
        <f>IF($D228="","",AC228-P228)</f>
        <v/>
      </c>
      <c r="AH228" s="7" t="n"/>
      <c r="AK228" s="11" t="n"/>
      <c r="AM228">
        <f>IF($D228="","",IF(COUNTIF($D$2:$D228,$D228)=1,1,0))</f>
        <v/>
      </c>
      <c r="AN228">
        <f>IF($AM228=1,SUMPRODUCT(--($AQ$2:$AQ$1001&lt;$AQ228))+1,"")</f>
        <v/>
      </c>
      <c r="AO228">
        <f>IF($D228="","",IF(OR($T228=TRUE(),$T228="TRUE"),1,0))</f>
        <v/>
      </c>
      <c r="AP228">
        <f>IF($D228="","",IF($Z228="Yes",1,0))</f>
        <v/>
      </c>
      <c r="AQ228">
        <f>IF($AM228=1,IFERROR(IF(VALUE($D228)&lt;100000000,VALUE($D228),1000000000),IFERROR(IF(VALUE(MID($D228,2,20))&lt;100000000,VALUE(MID($D228,2,20)),1000000000),1000000000))+ROW()/100000,"")</f>
        <v/>
      </c>
    </row>
    <row r="229">
      <c r="F229" s="11" t="n"/>
      <c r="P229" s="7">
        <f>IF($D229="","",O229*X229/100)</f>
        <v/>
      </c>
      <c r="Q229" s="7" t="n"/>
      <c r="W229" s="7" t="n"/>
      <c r="X229" s="7" t="n"/>
      <c r="AA229">
        <f>IF($D229="","",IF($AP229=1,0,IF($AO229=1,Settings!$C$6,Settings!$C$7))*100)</f>
        <v/>
      </c>
      <c r="AB229" s="7">
        <f>IF($D229="","",X229*AA229/100)</f>
        <v/>
      </c>
      <c r="AC229" s="7">
        <f>IF($D229="","",X229-AB229)</f>
        <v/>
      </c>
      <c r="AD229" s="7">
        <f>IF($D229="","",AC229-P229)</f>
        <v/>
      </c>
      <c r="AH229" s="7" t="n"/>
      <c r="AK229" s="11" t="n"/>
      <c r="AM229">
        <f>IF($D229="","",IF(COUNTIF($D$2:$D229,$D229)=1,1,0))</f>
        <v/>
      </c>
      <c r="AN229">
        <f>IF($AM229=1,SUMPRODUCT(--($AQ$2:$AQ$1001&lt;$AQ229))+1,"")</f>
        <v/>
      </c>
      <c r="AO229">
        <f>IF($D229="","",IF(OR($T229=TRUE(),$T229="TRUE"),1,0))</f>
        <v/>
      </c>
      <c r="AP229">
        <f>IF($D229="","",IF($Z229="Yes",1,0))</f>
        <v/>
      </c>
      <c r="AQ229">
        <f>IF($AM229=1,IFERROR(IF(VALUE($D229)&lt;100000000,VALUE($D229),1000000000),IFERROR(IF(VALUE(MID($D229,2,20))&lt;100000000,VALUE(MID($D229,2,20)),1000000000),1000000000))+ROW()/100000,"")</f>
        <v/>
      </c>
    </row>
    <row r="230">
      <c r="F230" s="11" t="n"/>
      <c r="P230" s="7">
        <f>IF($D230="","",O230*X230/100)</f>
        <v/>
      </c>
      <c r="Q230" s="7" t="n"/>
      <c r="W230" s="7" t="n"/>
      <c r="X230" s="7" t="n"/>
      <c r="AA230">
        <f>IF($D230="","",IF($AP230=1,0,IF($AO230=1,Settings!$C$6,Settings!$C$7))*100)</f>
        <v/>
      </c>
      <c r="AB230" s="7">
        <f>IF($D230="","",X230*AA230/100)</f>
        <v/>
      </c>
      <c r="AC230" s="7">
        <f>IF($D230="","",X230-AB230)</f>
        <v/>
      </c>
      <c r="AD230" s="7">
        <f>IF($D230="","",AC230-P230)</f>
        <v/>
      </c>
      <c r="AH230" s="7" t="n"/>
      <c r="AK230" s="11" t="n"/>
      <c r="AM230">
        <f>IF($D230="","",IF(COUNTIF($D$2:$D230,$D230)=1,1,0))</f>
        <v/>
      </c>
      <c r="AN230">
        <f>IF($AM230=1,SUMPRODUCT(--($AQ$2:$AQ$1001&lt;$AQ230))+1,"")</f>
        <v/>
      </c>
      <c r="AO230">
        <f>IF($D230="","",IF(OR($T230=TRUE(),$T230="TRUE"),1,0))</f>
        <v/>
      </c>
      <c r="AP230">
        <f>IF($D230="","",IF($Z230="Yes",1,0))</f>
        <v/>
      </c>
      <c r="AQ230">
        <f>IF($AM230=1,IFERROR(IF(VALUE($D230)&lt;100000000,VALUE($D230),1000000000),IFERROR(IF(VALUE(MID($D230,2,20))&lt;100000000,VALUE(MID($D230,2,20)),1000000000),1000000000))+ROW()/100000,"")</f>
        <v/>
      </c>
    </row>
    <row r="231">
      <c r="F231" s="11" t="n"/>
      <c r="P231" s="7">
        <f>IF($D231="","",O231*X231/100)</f>
        <v/>
      </c>
      <c r="Q231" s="7" t="n"/>
      <c r="W231" s="7" t="n"/>
      <c r="X231" s="7" t="n"/>
      <c r="AA231">
        <f>IF($D231="","",IF($AP231=1,0,IF($AO231=1,Settings!$C$6,Settings!$C$7))*100)</f>
        <v/>
      </c>
      <c r="AB231" s="7">
        <f>IF($D231="","",X231*AA231/100)</f>
        <v/>
      </c>
      <c r="AC231" s="7">
        <f>IF($D231="","",X231-AB231)</f>
        <v/>
      </c>
      <c r="AD231" s="7">
        <f>IF($D231="","",AC231-P231)</f>
        <v/>
      </c>
      <c r="AH231" s="7" t="n"/>
      <c r="AK231" s="11" t="n"/>
      <c r="AM231">
        <f>IF($D231="","",IF(COUNTIF($D$2:$D231,$D231)=1,1,0))</f>
        <v/>
      </c>
      <c r="AN231">
        <f>IF($AM231=1,SUMPRODUCT(--($AQ$2:$AQ$1001&lt;$AQ231))+1,"")</f>
        <v/>
      </c>
      <c r="AO231">
        <f>IF($D231="","",IF(OR($T231=TRUE(),$T231="TRUE"),1,0))</f>
        <v/>
      </c>
      <c r="AP231">
        <f>IF($D231="","",IF($Z231="Yes",1,0))</f>
        <v/>
      </c>
      <c r="AQ231">
        <f>IF($AM231=1,IFERROR(IF(VALUE($D231)&lt;100000000,VALUE($D231),1000000000),IFERROR(IF(VALUE(MID($D231,2,20))&lt;100000000,VALUE(MID($D231,2,20)),1000000000),1000000000))+ROW()/100000,"")</f>
        <v/>
      </c>
    </row>
    <row r="232">
      <c r="F232" s="11" t="n"/>
      <c r="P232" s="7">
        <f>IF($D232="","",O232*X232/100)</f>
        <v/>
      </c>
      <c r="Q232" s="7" t="n"/>
      <c r="W232" s="7" t="n"/>
      <c r="X232" s="7" t="n"/>
      <c r="AA232">
        <f>IF($D232="","",IF($AP232=1,0,IF($AO232=1,Settings!$C$6,Settings!$C$7))*100)</f>
        <v/>
      </c>
      <c r="AB232" s="7">
        <f>IF($D232="","",X232*AA232/100)</f>
        <v/>
      </c>
      <c r="AC232" s="7">
        <f>IF($D232="","",X232-AB232)</f>
        <v/>
      </c>
      <c r="AD232" s="7">
        <f>IF($D232="","",AC232-P232)</f>
        <v/>
      </c>
      <c r="AH232" s="7" t="n"/>
      <c r="AK232" s="11" t="n"/>
      <c r="AM232">
        <f>IF($D232="","",IF(COUNTIF($D$2:$D232,$D232)=1,1,0))</f>
        <v/>
      </c>
      <c r="AN232">
        <f>IF($AM232=1,SUMPRODUCT(--($AQ$2:$AQ$1001&lt;$AQ232))+1,"")</f>
        <v/>
      </c>
      <c r="AO232">
        <f>IF($D232="","",IF(OR($T232=TRUE(),$T232="TRUE"),1,0))</f>
        <v/>
      </c>
      <c r="AP232">
        <f>IF($D232="","",IF($Z232="Yes",1,0))</f>
        <v/>
      </c>
      <c r="AQ232">
        <f>IF($AM232=1,IFERROR(IF(VALUE($D232)&lt;100000000,VALUE($D232),1000000000),IFERROR(IF(VALUE(MID($D232,2,20))&lt;100000000,VALUE(MID($D232,2,20)),1000000000),1000000000))+ROW()/100000,"")</f>
        <v/>
      </c>
    </row>
    <row r="233">
      <c r="F233" s="11" t="n"/>
      <c r="P233" s="7">
        <f>IF($D233="","",O233*X233/100)</f>
        <v/>
      </c>
      <c r="Q233" s="7" t="n"/>
      <c r="W233" s="7" t="n"/>
      <c r="X233" s="7" t="n"/>
      <c r="AA233">
        <f>IF($D233="","",IF($AP233=1,0,IF($AO233=1,Settings!$C$6,Settings!$C$7))*100)</f>
        <v/>
      </c>
      <c r="AB233" s="7">
        <f>IF($D233="","",X233*AA233/100)</f>
        <v/>
      </c>
      <c r="AC233" s="7">
        <f>IF($D233="","",X233-AB233)</f>
        <v/>
      </c>
      <c r="AD233" s="7">
        <f>IF($D233="","",AC233-P233)</f>
        <v/>
      </c>
      <c r="AH233" s="7" t="n"/>
      <c r="AK233" s="11" t="n"/>
      <c r="AM233">
        <f>IF($D233="","",IF(COUNTIF($D$2:$D233,$D233)=1,1,0))</f>
        <v/>
      </c>
      <c r="AN233">
        <f>IF($AM233=1,SUMPRODUCT(--($AQ$2:$AQ$1001&lt;$AQ233))+1,"")</f>
        <v/>
      </c>
      <c r="AO233">
        <f>IF($D233="","",IF(OR($T233=TRUE(),$T233="TRUE"),1,0))</f>
        <v/>
      </c>
      <c r="AP233">
        <f>IF($D233="","",IF($Z233="Yes",1,0))</f>
        <v/>
      </c>
      <c r="AQ233">
        <f>IF($AM233=1,IFERROR(IF(VALUE($D233)&lt;100000000,VALUE($D233),1000000000),IFERROR(IF(VALUE(MID($D233,2,20))&lt;100000000,VALUE(MID($D233,2,20)),1000000000),1000000000))+ROW()/100000,"")</f>
        <v/>
      </c>
    </row>
    <row r="234">
      <c r="F234" s="11" t="n"/>
      <c r="P234" s="7">
        <f>IF($D234="","",O234*X234/100)</f>
        <v/>
      </c>
      <c r="Q234" s="7" t="n"/>
      <c r="W234" s="7" t="n"/>
      <c r="X234" s="7" t="n"/>
      <c r="AA234">
        <f>IF($D234="","",IF($AP234=1,0,IF($AO234=1,Settings!$C$6,Settings!$C$7))*100)</f>
        <v/>
      </c>
      <c r="AB234" s="7">
        <f>IF($D234="","",X234*AA234/100)</f>
        <v/>
      </c>
      <c r="AC234" s="7">
        <f>IF($D234="","",X234-AB234)</f>
        <v/>
      </c>
      <c r="AD234" s="7">
        <f>IF($D234="","",AC234-P234)</f>
        <v/>
      </c>
      <c r="AH234" s="7" t="n"/>
      <c r="AK234" s="11" t="n"/>
      <c r="AM234">
        <f>IF($D234="","",IF(COUNTIF($D$2:$D234,$D234)=1,1,0))</f>
        <v/>
      </c>
      <c r="AN234">
        <f>IF($AM234=1,SUMPRODUCT(--($AQ$2:$AQ$1001&lt;$AQ234))+1,"")</f>
        <v/>
      </c>
      <c r="AO234">
        <f>IF($D234="","",IF(OR($T234=TRUE(),$T234="TRUE"),1,0))</f>
        <v/>
      </c>
      <c r="AP234">
        <f>IF($D234="","",IF($Z234="Yes",1,0))</f>
        <v/>
      </c>
      <c r="AQ234">
        <f>IF($AM234=1,IFERROR(IF(VALUE($D234)&lt;100000000,VALUE($D234),1000000000),IFERROR(IF(VALUE(MID($D234,2,20))&lt;100000000,VALUE(MID($D234,2,20)),1000000000),1000000000))+ROW()/100000,"")</f>
        <v/>
      </c>
    </row>
    <row r="235">
      <c r="F235" s="11" t="n"/>
      <c r="P235" s="7">
        <f>IF($D235="","",O235*X235/100)</f>
        <v/>
      </c>
      <c r="Q235" s="7" t="n"/>
      <c r="W235" s="7" t="n"/>
      <c r="X235" s="7" t="n"/>
      <c r="AA235">
        <f>IF($D235="","",IF($AP235=1,0,IF($AO235=1,Settings!$C$6,Settings!$C$7))*100)</f>
        <v/>
      </c>
      <c r="AB235" s="7">
        <f>IF($D235="","",X235*AA235/100)</f>
        <v/>
      </c>
      <c r="AC235" s="7">
        <f>IF($D235="","",X235-AB235)</f>
        <v/>
      </c>
      <c r="AD235" s="7">
        <f>IF($D235="","",AC235-P235)</f>
        <v/>
      </c>
      <c r="AH235" s="7" t="n"/>
      <c r="AK235" s="11" t="n"/>
      <c r="AM235">
        <f>IF($D235="","",IF(COUNTIF($D$2:$D235,$D235)=1,1,0))</f>
        <v/>
      </c>
      <c r="AN235">
        <f>IF($AM235=1,SUMPRODUCT(--($AQ$2:$AQ$1001&lt;$AQ235))+1,"")</f>
        <v/>
      </c>
      <c r="AO235">
        <f>IF($D235="","",IF(OR($T235=TRUE(),$T235="TRUE"),1,0))</f>
        <v/>
      </c>
      <c r="AP235">
        <f>IF($D235="","",IF($Z235="Yes",1,0))</f>
        <v/>
      </c>
      <c r="AQ235">
        <f>IF($AM235=1,IFERROR(IF(VALUE($D235)&lt;100000000,VALUE($D235),1000000000),IFERROR(IF(VALUE(MID($D235,2,20))&lt;100000000,VALUE(MID($D235,2,20)),1000000000),1000000000))+ROW()/100000,"")</f>
        <v/>
      </c>
    </row>
    <row r="236">
      <c r="F236" s="11" t="n"/>
      <c r="P236" s="7">
        <f>IF($D236="","",O236*X236/100)</f>
        <v/>
      </c>
      <c r="Q236" s="7" t="n"/>
      <c r="W236" s="7" t="n"/>
      <c r="X236" s="7" t="n"/>
      <c r="AA236">
        <f>IF($D236="","",IF($AP236=1,0,IF($AO236=1,Settings!$C$6,Settings!$C$7))*100)</f>
        <v/>
      </c>
      <c r="AB236" s="7">
        <f>IF($D236="","",X236*AA236/100)</f>
        <v/>
      </c>
      <c r="AC236" s="7">
        <f>IF($D236="","",X236-AB236)</f>
        <v/>
      </c>
      <c r="AD236" s="7">
        <f>IF($D236="","",AC236-P236)</f>
        <v/>
      </c>
      <c r="AH236" s="7" t="n"/>
      <c r="AK236" s="11" t="n"/>
      <c r="AM236">
        <f>IF($D236="","",IF(COUNTIF($D$2:$D236,$D236)=1,1,0))</f>
        <v/>
      </c>
      <c r="AN236">
        <f>IF($AM236=1,SUMPRODUCT(--($AQ$2:$AQ$1001&lt;$AQ236))+1,"")</f>
        <v/>
      </c>
      <c r="AO236">
        <f>IF($D236="","",IF(OR($T236=TRUE(),$T236="TRUE"),1,0))</f>
        <v/>
      </c>
      <c r="AP236">
        <f>IF($D236="","",IF($Z236="Yes",1,0))</f>
        <v/>
      </c>
      <c r="AQ236">
        <f>IF($AM236=1,IFERROR(IF(VALUE($D236)&lt;100000000,VALUE($D236),1000000000),IFERROR(IF(VALUE(MID($D236,2,20))&lt;100000000,VALUE(MID($D236,2,20)),1000000000),1000000000))+ROW()/100000,"")</f>
        <v/>
      </c>
    </row>
    <row r="237">
      <c r="F237" s="11" t="n"/>
      <c r="P237" s="7">
        <f>IF($D237="","",O237*X237/100)</f>
        <v/>
      </c>
      <c r="Q237" s="7" t="n"/>
      <c r="W237" s="7" t="n"/>
      <c r="X237" s="7" t="n"/>
      <c r="AA237">
        <f>IF($D237="","",IF($AP237=1,0,IF($AO237=1,Settings!$C$6,Settings!$C$7))*100)</f>
        <v/>
      </c>
      <c r="AB237" s="7">
        <f>IF($D237="","",X237*AA237/100)</f>
        <v/>
      </c>
      <c r="AC237" s="7">
        <f>IF($D237="","",X237-AB237)</f>
        <v/>
      </c>
      <c r="AD237" s="7">
        <f>IF($D237="","",AC237-P237)</f>
        <v/>
      </c>
      <c r="AH237" s="7" t="n"/>
      <c r="AK237" s="11" t="n"/>
      <c r="AM237">
        <f>IF($D237="","",IF(COUNTIF($D$2:$D237,$D237)=1,1,0))</f>
        <v/>
      </c>
      <c r="AN237">
        <f>IF($AM237=1,SUMPRODUCT(--($AQ$2:$AQ$1001&lt;$AQ237))+1,"")</f>
        <v/>
      </c>
      <c r="AO237">
        <f>IF($D237="","",IF(OR($T237=TRUE(),$T237="TRUE"),1,0))</f>
        <v/>
      </c>
      <c r="AP237">
        <f>IF($D237="","",IF($Z237="Yes",1,0))</f>
        <v/>
      </c>
      <c r="AQ237">
        <f>IF($AM237=1,IFERROR(IF(VALUE($D237)&lt;100000000,VALUE($D237),1000000000),IFERROR(IF(VALUE(MID($D237,2,20))&lt;100000000,VALUE(MID($D237,2,20)),1000000000),1000000000))+ROW()/100000,"")</f>
        <v/>
      </c>
    </row>
    <row r="238">
      <c r="F238" s="11" t="n"/>
      <c r="P238" s="7">
        <f>IF($D238="","",O238*X238/100)</f>
        <v/>
      </c>
      <c r="Q238" s="7" t="n"/>
      <c r="W238" s="7" t="n"/>
      <c r="X238" s="7" t="n"/>
      <c r="AA238">
        <f>IF($D238="","",IF($AP238=1,0,IF($AO238=1,Settings!$C$6,Settings!$C$7))*100)</f>
        <v/>
      </c>
      <c r="AB238" s="7">
        <f>IF($D238="","",X238*AA238/100)</f>
        <v/>
      </c>
      <c r="AC238" s="7">
        <f>IF($D238="","",X238-AB238)</f>
        <v/>
      </c>
      <c r="AD238" s="7">
        <f>IF($D238="","",AC238-P238)</f>
        <v/>
      </c>
      <c r="AH238" s="7" t="n"/>
      <c r="AK238" s="11" t="n"/>
      <c r="AM238">
        <f>IF($D238="","",IF(COUNTIF($D$2:$D238,$D238)=1,1,0))</f>
        <v/>
      </c>
      <c r="AN238">
        <f>IF($AM238=1,SUMPRODUCT(--($AQ$2:$AQ$1001&lt;$AQ238))+1,"")</f>
        <v/>
      </c>
      <c r="AO238">
        <f>IF($D238="","",IF(OR($T238=TRUE(),$T238="TRUE"),1,0))</f>
        <v/>
      </c>
      <c r="AP238">
        <f>IF($D238="","",IF($Z238="Yes",1,0))</f>
        <v/>
      </c>
      <c r="AQ238">
        <f>IF($AM238=1,IFERROR(IF(VALUE($D238)&lt;100000000,VALUE($D238),1000000000),IFERROR(IF(VALUE(MID($D238,2,20))&lt;100000000,VALUE(MID($D238,2,20)),1000000000),1000000000))+ROW()/100000,"")</f>
        <v/>
      </c>
    </row>
    <row r="239">
      <c r="F239" s="11" t="n"/>
      <c r="P239" s="7">
        <f>IF($D239="","",O239*X239/100)</f>
        <v/>
      </c>
      <c r="Q239" s="7" t="n"/>
      <c r="W239" s="7" t="n"/>
      <c r="X239" s="7" t="n"/>
      <c r="AA239">
        <f>IF($D239="","",IF($AP239=1,0,IF($AO239=1,Settings!$C$6,Settings!$C$7))*100)</f>
        <v/>
      </c>
      <c r="AB239" s="7">
        <f>IF($D239="","",X239*AA239/100)</f>
        <v/>
      </c>
      <c r="AC239" s="7">
        <f>IF($D239="","",X239-AB239)</f>
        <v/>
      </c>
      <c r="AD239" s="7">
        <f>IF($D239="","",AC239-P239)</f>
        <v/>
      </c>
      <c r="AH239" s="7" t="n"/>
      <c r="AK239" s="11" t="n"/>
      <c r="AM239">
        <f>IF($D239="","",IF(COUNTIF($D$2:$D239,$D239)=1,1,0))</f>
        <v/>
      </c>
      <c r="AN239">
        <f>IF($AM239=1,SUMPRODUCT(--($AQ$2:$AQ$1001&lt;$AQ239))+1,"")</f>
        <v/>
      </c>
      <c r="AO239">
        <f>IF($D239="","",IF(OR($T239=TRUE(),$T239="TRUE"),1,0))</f>
        <v/>
      </c>
      <c r="AP239">
        <f>IF($D239="","",IF($Z239="Yes",1,0))</f>
        <v/>
      </c>
      <c r="AQ239">
        <f>IF($AM239=1,IFERROR(IF(VALUE($D239)&lt;100000000,VALUE($D239),1000000000),IFERROR(IF(VALUE(MID($D239,2,20))&lt;100000000,VALUE(MID($D239,2,20)),1000000000),1000000000))+ROW()/100000,"")</f>
        <v/>
      </c>
    </row>
    <row r="240">
      <c r="F240" s="11" t="n"/>
      <c r="P240" s="7">
        <f>IF($D240="","",O240*X240/100)</f>
        <v/>
      </c>
      <c r="Q240" s="7" t="n"/>
      <c r="W240" s="7" t="n"/>
      <c r="X240" s="7" t="n"/>
      <c r="AA240">
        <f>IF($D240="","",IF($AP240=1,0,IF($AO240=1,Settings!$C$6,Settings!$C$7))*100)</f>
        <v/>
      </c>
      <c r="AB240" s="7">
        <f>IF($D240="","",X240*AA240/100)</f>
        <v/>
      </c>
      <c r="AC240" s="7">
        <f>IF($D240="","",X240-AB240)</f>
        <v/>
      </c>
      <c r="AD240" s="7">
        <f>IF($D240="","",AC240-P240)</f>
        <v/>
      </c>
      <c r="AH240" s="7" t="n"/>
      <c r="AK240" s="11" t="n"/>
      <c r="AM240">
        <f>IF($D240="","",IF(COUNTIF($D$2:$D240,$D240)=1,1,0))</f>
        <v/>
      </c>
      <c r="AN240">
        <f>IF($AM240=1,SUMPRODUCT(--($AQ$2:$AQ$1001&lt;$AQ240))+1,"")</f>
        <v/>
      </c>
      <c r="AO240">
        <f>IF($D240="","",IF(OR($T240=TRUE(),$T240="TRUE"),1,0))</f>
        <v/>
      </c>
      <c r="AP240">
        <f>IF($D240="","",IF($Z240="Yes",1,0))</f>
        <v/>
      </c>
      <c r="AQ240">
        <f>IF($AM240=1,IFERROR(IF(VALUE($D240)&lt;100000000,VALUE($D240),1000000000),IFERROR(IF(VALUE(MID($D240,2,20))&lt;100000000,VALUE(MID($D240,2,20)),1000000000),1000000000))+ROW()/100000,"")</f>
        <v/>
      </c>
    </row>
    <row r="241">
      <c r="F241" s="11" t="n"/>
      <c r="P241" s="7">
        <f>IF($D241="","",O241*X241/100)</f>
        <v/>
      </c>
      <c r="Q241" s="7" t="n"/>
      <c r="W241" s="7" t="n"/>
      <c r="X241" s="7" t="n"/>
      <c r="AA241">
        <f>IF($D241="","",IF($AP241=1,0,IF($AO241=1,Settings!$C$6,Settings!$C$7))*100)</f>
        <v/>
      </c>
      <c r="AB241" s="7">
        <f>IF($D241="","",X241*AA241/100)</f>
        <v/>
      </c>
      <c r="AC241" s="7">
        <f>IF($D241="","",X241-AB241)</f>
        <v/>
      </c>
      <c r="AD241" s="7">
        <f>IF($D241="","",AC241-P241)</f>
        <v/>
      </c>
      <c r="AH241" s="7" t="n"/>
      <c r="AK241" s="11" t="n"/>
      <c r="AM241">
        <f>IF($D241="","",IF(COUNTIF($D$2:$D241,$D241)=1,1,0))</f>
        <v/>
      </c>
      <c r="AN241">
        <f>IF($AM241=1,SUMPRODUCT(--($AQ$2:$AQ$1001&lt;$AQ241))+1,"")</f>
        <v/>
      </c>
      <c r="AO241">
        <f>IF($D241="","",IF(OR($T241=TRUE(),$T241="TRUE"),1,0))</f>
        <v/>
      </c>
      <c r="AP241">
        <f>IF($D241="","",IF($Z241="Yes",1,0))</f>
        <v/>
      </c>
      <c r="AQ241">
        <f>IF($AM241=1,IFERROR(IF(VALUE($D241)&lt;100000000,VALUE($D241),1000000000),IFERROR(IF(VALUE(MID($D241,2,20))&lt;100000000,VALUE(MID($D241,2,20)),1000000000),1000000000))+ROW()/100000,"")</f>
        <v/>
      </c>
    </row>
    <row r="242">
      <c r="F242" s="11" t="n"/>
      <c r="P242" s="7">
        <f>IF($D242="","",O242*X242/100)</f>
        <v/>
      </c>
      <c r="Q242" s="7" t="n"/>
      <c r="W242" s="7" t="n"/>
      <c r="X242" s="7" t="n"/>
      <c r="AA242">
        <f>IF($D242="","",IF($AP242=1,0,IF($AO242=1,Settings!$C$6,Settings!$C$7))*100)</f>
        <v/>
      </c>
      <c r="AB242" s="7">
        <f>IF($D242="","",X242*AA242/100)</f>
        <v/>
      </c>
      <c r="AC242" s="7">
        <f>IF($D242="","",X242-AB242)</f>
        <v/>
      </c>
      <c r="AD242" s="7">
        <f>IF($D242="","",AC242-P242)</f>
        <v/>
      </c>
      <c r="AH242" s="7" t="n"/>
      <c r="AK242" s="11" t="n"/>
      <c r="AM242">
        <f>IF($D242="","",IF(COUNTIF($D$2:$D242,$D242)=1,1,0))</f>
        <v/>
      </c>
      <c r="AN242">
        <f>IF($AM242=1,SUMPRODUCT(--($AQ$2:$AQ$1001&lt;$AQ242))+1,"")</f>
        <v/>
      </c>
      <c r="AO242">
        <f>IF($D242="","",IF(OR($T242=TRUE(),$T242="TRUE"),1,0))</f>
        <v/>
      </c>
      <c r="AP242">
        <f>IF($D242="","",IF($Z242="Yes",1,0))</f>
        <v/>
      </c>
      <c r="AQ242">
        <f>IF($AM242=1,IFERROR(IF(VALUE($D242)&lt;100000000,VALUE($D242),1000000000),IFERROR(IF(VALUE(MID($D242,2,20))&lt;100000000,VALUE(MID($D242,2,20)),1000000000),1000000000))+ROW()/100000,"")</f>
        <v/>
      </c>
    </row>
    <row r="243">
      <c r="F243" s="11" t="n"/>
      <c r="P243" s="7">
        <f>IF($D243="","",O243*X243/100)</f>
        <v/>
      </c>
      <c r="Q243" s="7" t="n"/>
      <c r="W243" s="7" t="n"/>
      <c r="X243" s="7" t="n"/>
      <c r="AA243">
        <f>IF($D243="","",IF($AP243=1,0,IF($AO243=1,Settings!$C$6,Settings!$C$7))*100)</f>
        <v/>
      </c>
      <c r="AB243" s="7">
        <f>IF($D243="","",X243*AA243/100)</f>
        <v/>
      </c>
      <c r="AC243" s="7">
        <f>IF($D243="","",X243-AB243)</f>
        <v/>
      </c>
      <c r="AD243" s="7">
        <f>IF($D243="","",AC243-P243)</f>
        <v/>
      </c>
      <c r="AH243" s="7" t="n"/>
      <c r="AK243" s="11" t="n"/>
      <c r="AM243">
        <f>IF($D243="","",IF(COUNTIF($D$2:$D243,$D243)=1,1,0))</f>
        <v/>
      </c>
      <c r="AN243">
        <f>IF($AM243=1,SUMPRODUCT(--($AQ$2:$AQ$1001&lt;$AQ243))+1,"")</f>
        <v/>
      </c>
      <c r="AO243">
        <f>IF($D243="","",IF(OR($T243=TRUE(),$T243="TRUE"),1,0))</f>
        <v/>
      </c>
      <c r="AP243">
        <f>IF($D243="","",IF($Z243="Yes",1,0))</f>
        <v/>
      </c>
      <c r="AQ243">
        <f>IF($AM243=1,IFERROR(IF(VALUE($D243)&lt;100000000,VALUE($D243),1000000000),IFERROR(IF(VALUE(MID($D243,2,20))&lt;100000000,VALUE(MID($D243,2,20)),1000000000),1000000000))+ROW()/100000,"")</f>
        <v/>
      </c>
    </row>
    <row r="244">
      <c r="F244" s="11" t="n"/>
      <c r="P244" s="7">
        <f>IF($D244="","",O244*X244/100)</f>
        <v/>
      </c>
      <c r="Q244" s="7" t="n"/>
      <c r="W244" s="7" t="n"/>
      <c r="X244" s="7" t="n"/>
      <c r="AA244">
        <f>IF($D244="","",IF($AP244=1,0,IF($AO244=1,Settings!$C$6,Settings!$C$7))*100)</f>
        <v/>
      </c>
      <c r="AB244" s="7">
        <f>IF($D244="","",X244*AA244/100)</f>
        <v/>
      </c>
      <c r="AC244" s="7">
        <f>IF($D244="","",X244-AB244)</f>
        <v/>
      </c>
      <c r="AD244" s="7">
        <f>IF($D244="","",AC244-P244)</f>
        <v/>
      </c>
      <c r="AH244" s="7" t="n"/>
      <c r="AK244" s="11" t="n"/>
      <c r="AM244">
        <f>IF($D244="","",IF(COUNTIF($D$2:$D244,$D244)=1,1,0))</f>
        <v/>
      </c>
      <c r="AN244">
        <f>IF($AM244=1,SUMPRODUCT(--($AQ$2:$AQ$1001&lt;$AQ244))+1,"")</f>
        <v/>
      </c>
      <c r="AO244">
        <f>IF($D244="","",IF(OR($T244=TRUE(),$T244="TRUE"),1,0))</f>
        <v/>
      </c>
      <c r="AP244">
        <f>IF($D244="","",IF($Z244="Yes",1,0))</f>
        <v/>
      </c>
      <c r="AQ244">
        <f>IF($AM244=1,IFERROR(IF(VALUE($D244)&lt;100000000,VALUE($D244),1000000000),IFERROR(IF(VALUE(MID($D244,2,20))&lt;100000000,VALUE(MID($D244,2,20)),1000000000),1000000000))+ROW()/100000,"")</f>
        <v/>
      </c>
    </row>
    <row r="245">
      <c r="F245" s="11" t="n"/>
      <c r="P245" s="7">
        <f>IF($D245="","",O245*X245/100)</f>
        <v/>
      </c>
      <c r="Q245" s="7" t="n"/>
      <c r="W245" s="7" t="n"/>
      <c r="X245" s="7" t="n"/>
      <c r="AA245">
        <f>IF($D245="","",IF($AP245=1,0,IF($AO245=1,Settings!$C$6,Settings!$C$7))*100)</f>
        <v/>
      </c>
      <c r="AB245" s="7">
        <f>IF($D245="","",X245*AA245/100)</f>
        <v/>
      </c>
      <c r="AC245" s="7">
        <f>IF($D245="","",X245-AB245)</f>
        <v/>
      </c>
      <c r="AD245" s="7">
        <f>IF($D245="","",AC245-P245)</f>
        <v/>
      </c>
      <c r="AH245" s="7" t="n"/>
      <c r="AK245" s="11" t="n"/>
      <c r="AM245">
        <f>IF($D245="","",IF(COUNTIF($D$2:$D245,$D245)=1,1,0))</f>
        <v/>
      </c>
      <c r="AN245">
        <f>IF($AM245=1,SUMPRODUCT(--($AQ$2:$AQ$1001&lt;$AQ245))+1,"")</f>
        <v/>
      </c>
      <c r="AO245">
        <f>IF($D245="","",IF(OR($T245=TRUE(),$T245="TRUE"),1,0))</f>
        <v/>
      </c>
      <c r="AP245">
        <f>IF($D245="","",IF($Z245="Yes",1,0))</f>
        <v/>
      </c>
      <c r="AQ245">
        <f>IF($AM245=1,IFERROR(IF(VALUE($D245)&lt;100000000,VALUE($D245),1000000000),IFERROR(IF(VALUE(MID($D245,2,20))&lt;100000000,VALUE(MID($D245,2,20)),1000000000),1000000000))+ROW()/100000,"")</f>
        <v/>
      </c>
    </row>
    <row r="246">
      <c r="F246" s="11" t="n"/>
      <c r="P246" s="7">
        <f>IF($D246="","",O246*X246/100)</f>
        <v/>
      </c>
      <c r="Q246" s="7" t="n"/>
      <c r="W246" s="7" t="n"/>
      <c r="X246" s="7" t="n"/>
      <c r="AA246">
        <f>IF($D246="","",IF($AP246=1,0,IF($AO246=1,Settings!$C$6,Settings!$C$7))*100)</f>
        <v/>
      </c>
      <c r="AB246" s="7">
        <f>IF($D246="","",X246*AA246/100)</f>
        <v/>
      </c>
      <c r="AC246" s="7">
        <f>IF($D246="","",X246-AB246)</f>
        <v/>
      </c>
      <c r="AD246" s="7">
        <f>IF($D246="","",AC246-P246)</f>
        <v/>
      </c>
      <c r="AH246" s="7" t="n"/>
      <c r="AK246" s="11" t="n"/>
      <c r="AM246">
        <f>IF($D246="","",IF(COUNTIF($D$2:$D246,$D246)=1,1,0))</f>
        <v/>
      </c>
      <c r="AN246">
        <f>IF($AM246=1,SUMPRODUCT(--($AQ$2:$AQ$1001&lt;$AQ246))+1,"")</f>
        <v/>
      </c>
      <c r="AO246">
        <f>IF($D246="","",IF(OR($T246=TRUE(),$T246="TRUE"),1,0))</f>
        <v/>
      </c>
      <c r="AP246">
        <f>IF($D246="","",IF($Z246="Yes",1,0))</f>
        <v/>
      </c>
      <c r="AQ246">
        <f>IF($AM246=1,IFERROR(IF(VALUE($D246)&lt;100000000,VALUE($D246),1000000000),IFERROR(IF(VALUE(MID($D246,2,20))&lt;100000000,VALUE(MID($D246,2,20)),1000000000),1000000000))+ROW()/100000,"")</f>
        <v/>
      </c>
    </row>
    <row r="247">
      <c r="F247" s="11" t="n"/>
      <c r="P247" s="7">
        <f>IF($D247="","",O247*X247/100)</f>
        <v/>
      </c>
      <c r="Q247" s="7" t="n"/>
      <c r="W247" s="7" t="n"/>
      <c r="X247" s="7" t="n"/>
      <c r="AA247">
        <f>IF($D247="","",IF($AP247=1,0,IF($AO247=1,Settings!$C$6,Settings!$C$7))*100)</f>
        <v/>
      </c>
      <c r="AB247" s="7">
        <f>IF($D247="","",X247*AA247/100)</f>
        <v/>
      </c>
      <c r="AC247" s="7">
        <f>IF($D247="","",X247-AB247)</f>
        <v/>
      </c>
      <c r="AD247" s="7">
        <f>IF($D247="","",AC247-P247)</f>
        <v/>
      </c>
      <c r="AH247" s="7" t="n"/>
      <c r="AK247" s="11" t="n"/>
      <c r="AM247">
        <f>IF($D247="","",IF(COUNTIF($D$2:$D247,$D247)=1,1,0))</f>
        <v/>
      </c>
      <c r="AN247">
        <f>IF($AM247=1,SUMPRODUCT(--($AQ$2:$AQ$1001&lt;$AQ247))+1,"")</f>
        <v/>
      </c>
      <c r="AO247">
        <f>IF($D247="","",IF(OR($T247=TRUE(),$T247="TRUE"),1,0))</f>
        <v/>
      </c>
      <c r="AP247">
        <f>IF($D247="","",IF($Z247="Yes",1,0))</f>
        <v/>
      </c>
      <c r="AQ247">
        <f>IF($AM247=1,IFERROR(IF(VALUE($D247)&lt;100000000,VALUE($D247),1000000000),IFERROR(IF(VALUE(MID($D247,2,20))&lt;100000000,VALUE(MID($D247,2,20)),1000000000),1000000000))+ROW()/100000,"")</f>
        <v/>
      </c>
    </row>
    <row r="248">
      <c r="F248" s="11" t="n"/>
      <c r="P248" s="7">
        <f>IF($D248="","",O248*X248/100)</f>
        <v/>
      </c>
      <c r="Q248" s="7" t="n"/>
      <c r="W248" s="7" t="n"/>
      <c r="X248" s="7" t="n"/>
      <c r="AA248">
        <f>IF($D248="","",IF($AP248=1,0,IF($AO248=1,Settings!$C$6,Settings!$C$7))*100)</f>
        <v/>
      </c>
      <c r="AB248" s="7">
        <f>IF($D248="","",X248*AA248/100)</f>
        <v/>
      </c>
      <c r="AC248" s="7">
        <f>IF($D248="","",X248-AB248)</f>
        <v/>
      </c>
      <c r="AD248" s="7">
        <f>IF($D248="","",AC248-P248)</f>
        <v/>
      </c>
      <c r="AH248" s="7" t="n"/>
      <c r="AK248" s="11" t="n"/>
      <c r="AM248">
        <f>IF($D248="","",IF(COUNTIF($D$2:$D248,$D248)=1,1,0))</f>
        <v/>
      </c>
      <c r="AN248">
        <f>IF($AM248=1,SUMPRODUCT(--($AQ$2:$AQ$1001&lt;$AQ248))+1,"")</f>
        <v/>
      </c>
      <c r="AO248">
        <f>IF($D248="","",IF(OR($T248=TRUE(),$T248="TRUE"),1,0))</f>
        <v/>
      </c>
      <c r="AP248">
        <f>IF($D248="","",IF($Z248="Yes",1,0))</f>
        <v/>
      </c>
      <c r="AQ248">
        <f>IF($AM248=1,IFERROR(IF(VALUE($D248)&lt;100000000,VALUE($D248),1000000000),IFERROR(IF(VALUE(MID($D248,2,20))&lt;100000000,VALUE(MID($D248,2,20)),1000000000),1000000000))+ROW()/100000,"")</f>
        <v/>
      </c>
    </row>
    <row r="249">
      <c r="F249" s="11" t="n"/>
      <c r="P249" s="7">
        <f>IF($D249="","",O249*X249/100)</f>
        <v/>
      </c>
      <c r="Q249" s="7" t="n"/>
      <c r="W249" s="7" t="n"/>
      <c r="X249" s="7" t="n"/>
      <c r="AA249">
        <f>IF($D249="","",IF($AP249=1,0,IF($AO249=1,Settings!$C$6,Settings!$C$7))*100)</f>
        <v/>
      </c>
      <c r="AB249" s="7">
        <f>IF($D249="","",X249*AA249/100)</f>
        <v/>
      </c>
      <c r="AC249" s="7">
        <f>IF($D249="","",X249-AB249)</f>
        <v/>
      </c>
      <c r="AD249" s="7">
        <f>IF($D249="","",AC249-P249)</f>
        <v/>
      </c>
      <c r="AH249" s="7" t="n"/>
      <c r="AK249" s="11" t="n"/>
      <c r="AM249">
        <f>IF($D249="","",IF(COUNTIF($D$2:$D249,$D249)=1,1,0))</f>
        <v/>
      </c>
      <c r="AN249">
        <f>IF($AM249=1,SUMPRODUCT(--($AQ$2:$AQ$1001&lt;$AQ249))+1,"")</f>
        <v/>
      </c>
      <c r="AO249">
        <f>IF($D249="","",IF(OR($T249=TRUE(),$T249="TRUE"),1,0))</f>
        <v/>
      </c>
      <c r="AP249">
        <f>IF($D249="","",IF($Z249="Yes",1,0))</f>
        <v/>
      </c>
      <c r="AQ249">
        <f>IF($AM249=1,IFERROR(IF(VALUE($D249)&lt;100000000,VALUE($D249),1000000000),IFERROR(IF(VALUE(MID($D249,2,20))&lt;100000000,VALUE(MID($D249,2,20)),1000000000),1000000000))+ROW()/100000,"")</f>
        <v/>
      </c>
    </row>
    <row r="250">
      <c r="F250" s="11" t="n"/>
      <c r="P250" s="7">
        <f>IF($D250="","",O250*X250/100)</f>
        <v/>
      </c>
      <c r="Q250" s="7" t="n"/>
      <c r="W250" s="7" t="n"/>
      <c r="X250" s="7" t="n"/>
      <c r="AA250">
        <f>IF($D250="","",IF($AP250=1,0,IF($AO250=1,Settings!$C$6,Settings!$C$7))*100)</f>
        <v/>
      </c>
      <c r="AB250" s="7">
        <f>IF($D250="","",X250*AA250/100)</f>
        <v/>
      </c>
      <c r="AC250" s="7">
        <f>IF($D250="","",X250-AB250)</f>
        <v/>
      </c>
      <c r="AD250" s="7">
        <f>IF($D250="","",AC250-P250)</f>
        <v/>
      </c>
      <c r="AH250" s="7" t="n"/>
      <c r="AK250" s="11" t="n"/>
      <c r="AM250">
        <f>IF($D250="","",IF(COUNTIF($D$2:$D250,$D250)=1,1,0))</f>
        <v/>
      </c>
      <c r="AN250">
        <f>IF($AM250=1,SUMPRODUCT(--($AQ$2:$AQ$1001&lt;$AQ250))+1,"")</f>
        <v/>
      </c>
      <c r="AO250">
        <f>IF($D250="","",IF(OR($T250=TRUE(),$T250="TRUE"),1,0))</f>
        <v/>
      </c>
      <c r="AP250">
        <f>IF($D250="","",IF($Z250="Yes",1,0))</f>
        <v/>
      </c>
      <c r="AQ250">
        <f>IF($AM250=1,IFERROR(IF(VALUE($D250)&lt;100000000,VALUE($D250),1000000000),IFERROR(IF(VALUE(MID($D250,2,20))&lt;100000000,VALUE(MID($D250,2,20)),1000000000),1000000000))+ROW()/100000,"")</f>
        <v/>
      </c>
    </row>
    <row r="251">
      <c r="F251" s="11" t="n"/>
      <c r="P251" s="7">
        <f>IF($D251="","",O251*X251/100)</f>
        <v/>
      </c>
      <c r="Q251" s="7" t="n"/>
      <c r="W251" s="7" t="n"/>
      <c r="X251" s="7" t="n"/>
      <c r="AA251">
        <f>IF($D251="","",IF($AP251=1,0,IF($AO251=1,Settings!$C$6,Settings!$C$7))*100)</f>
        <v/>
      </c>
      <c r="AB251" s="7">
        <f>IF($D251="","",X251*AA251/100)</f>
        <v/>
      </c>
      <c r="AC251" s="7">
        <f>IF($D251="","",X251-AB251)</f>
        <v/>
      </c>
      <c r="AD251" s="7">
        <f>IF($D251="","",AC251-P251)</f>
        <v/>
      </c>
      <c r="AH251" s="7" t="n"/>
      <c r="AK251" s="11" t="n"/>
      <c r="AM251">
        <f>IF($D251="","",IF(COUNTIF($D$2:$D251,$D251)=1,1,0))</f>
        <v/>
      </c>
      <c r="AN251">
        <f>IF($AM251=1,SUMPRODUCT(--($AQ$2:$AQ$1001&lt;$AQ251))+1,"")</f>
        <v/>
      </c>
      <c r="AO251">
        <f>IF($D251="","",IF(OR($T251=TRUE(),$T251="TRUE"),1,0))</f>
        <v/>
      </c>
      <c r="AP251">
        <f>IF($D251="","",IF($Z251="Yes",1,0))</f>
        <v/>
      </c>
      <c r="AQ251">
        <f>IF($AM251=1,IFERROR(IF(VALUE($D251)&lt;100000000,VALUE($D251),1000000000),IFERROR(IF(VALUE(MID($D251,2,20))&lt;100000000,VALUE(MID($D251,2,20)),1000000000),1000000000))+ROW()/100000,"")</f>
        <v/>
      </c>
    </row>
    <row r="252">
      <c r="F252" s="11" t="n"/>
      <c r="P252" s="7">
        <f>IF($D252="","",O252*X252/100)</f>
        <v/>
      </c>
      <c r="Q252" s="7" t="n"/>
      <c r="W252" s="7" t="n"/>
      <c r="X252" s="7" t="n"/>
      <c r="AA252">
        <f>IF($D252="","",IF($AP252=1,0,IF($AO252=1,Settings!$C$6,Settings!$C$7))*100)</f>
        <v/>
      </c>
      <c r="AB252" s="7">
        <f>IF($D252="","",X252*AA252/100)</f>
        <v/>
      </c>
      <c r="AC252" s="7">
        <f>IF($D252="","",X252-AB252)</f>
        <v/>
      </c>
      <c r="AD252" s="7">
        <f>IF($D252="","",AC252-P252)</f>
        <v/>
      </c>
      <c r="AH252" s="7" t="n"/>
      <c r="AK252" s="11" t="n"/>
      <c r="AM252">
        <f>IF($D252="","",IF(COUNTIF($D$2:$D252,$D252)=1,1,0))</f>
        <v/>
      </c>
      <c r="AN252">
        <f>IF($AM252=1,SUMPRODUCT(--($AQ$2:$AQ$1001&lt;$AQ252))+1,"")</f>
        <v/>
      </c>
      <c r="AO252">
        <f>IF($D252="","",IF(OR($T252=TRUE(),$T252="TRUE"),1,0))</f>
        <v/>
      </c>
      <c r="AP252">
        <f>IF($D252="","",IF($Z252="Yes",1,0))</f>
        <v/>
      </c>
      <c r="AQ252">
        <f>IF($AM252=1,IFERROR(IF(VALUE($D252)&lt;100000000,VALUE($D252),1000000000),IFERROR(IF(VALUE(MID($D252,2,20))&lt;100000000,VALUE(MID($D252,2,20)),1000000000),1000000000))+ROW()/100000,"")</f>
        <v/>
      </c>
    </row>
    <row r="253">
      <c r="F253" s="11" t="n"/>
      <c r="P253" s="7">
        <f>IF($D253="","",O253*X253/100)</f>
        <v/>
      </c>
      <c r="Q253" s="7" t="n"/>
      <c r="W253" s="7" t="n"/>
      <c r="X253" s="7" t="n"/>
      <c r="AA253">
        <f>IF($D253="","",IF($AP253=1,0,IF($AO253=1,Settings!$C$6,Settings!$C$7))*100)</f>
        <v/>
      </c>
      <c r="AB253" s="7">
        <f>IF($D253="","",X253*AA253/100)</f>
        <v/>
      </c>
      <c r="AC253" s="7">
        <f>IF($D253="","",X253-AB253)</f>
        <v/>
      </c>
      <c r="AD253" s="7">
        <f>IF($D253="","",AC253-P253)</f>
        <v/>
      </c>
      <c r="AH253" s="7" t="n"/>
      <c r="AK253" s="11" t="n"/>
      <c r="AM253">
        <f>IF($D253="","",IF(COUNTIF($D$2:$D253,$D253)=1,1,0))</f>
        <v/>
      </c>
      <c r="AN253">
        <f>IF($AM253=1,SUMPRODUCT(--($AQ$2:$AQ$1001&lt;$AQ253))+1,"")</f>
        <v/>
      </c>
      <c r="AO253">
        <f>IF($D253="","",IF(OR($T253=TRUE(),$T253="TRUE"),1,0))</f>
        <v/>
      </c>
      <c r="AP253">
        <f>IF($D253="","",IF($Z253="Yes",1,0))</f>
        <v/>
      </c>
      <c r="AQ253">
        <f>IF($AM253=1,IFERROR(IF(VALUE($D253)&lt;100000000,VALUE($D253),1000000000),IFERROR(IF(VALUE(MID($D253,2,20))&lt;100000000,VALUE(MID($D253,2,20)),1000000000),1000000000))+ROW()/100000,"")</f>
        <v/>
      </c>
    </row>
    <row r="254">
      <c r="F254" s="11" t="n"/>
      <c r="P254" s="7">
        <f>IF($D254="","",O254*X254/100)</f>
        <v/>
      </c>
      <c r="Q254" s="7" t="n"/>
      <c r="W254" s="7" t="n"/>
      <c r="X254" s="7" t="n"/>
      <c r="AA254">
        <f>IF($D254="","",IF($AP254=1,0,IF($AO254=1,Settings!$C$6,Settings!$C$7))*100)</f>
        <v/>
      </c>
      <c r="AB254" s="7">
        <f>IF($D254="","",X254*AA254/100)</f>
        <v/>
      </c>
      <c r="AC254" s="7">
        <f>IF($D254="","",X254-AB254)</f>
        <v/>
      </c>
      <c r="AD254" s="7">
        <f>IF($D254="","",AC254-P254)</f>
        <v/>
      </c>
      <c r="AH254" s="7" t="n"/>
      <c r="AK254" s="11" t="n"/>
      <c r="AM254">
        <f>IF($D254="","",IF(COUNTIF($D$2:$D254,$D254)=1,1,0))</f>
        <v/>
      </c>
      <c r="AN254">
        <f>IF($AM254=1,SUMPRODUCT(--($AQ$2:$AQ$1001&lt;$AQ254))+1,"")</f>
        <v/>
      </c>
      <c r="AO254">
        <f>IF($D254="","",IF(OR($T254=TRUE(),$T254="TRUE"),1,0))</f>
        <v/>
      </c>
      <c r="AP254">
        <f>IF($D254="","",IF($Z254="Yes",1,0))</f>
        <v/>
      </c>
      <c r="AQ254">
        <f>IF($AM254=1,IFERROR(IF(VALUE($D254)&lt;100000000,VALUE($D254),1000000000),IFERROR(IF(VALUE(MID($D254,2,20))&lt;100000000,VALUE(MID($D254,2,20)),1000000000),1000000000))+ROW()/100000,"")</f>
        <v/>
      </c>
    </row>
    <row r="255">
      <c r="F255" s="11" t="n"/>
      <c r="P255" s="7">
        <f>IF($D255="","",O255*X255/100)</f>
        <v/>
      </c>
      <c r="Q255" s="7" t="n"/>
      <c r="W255" s="7" t="n"/>
      <c r="X255" s="7" t="n"/>
      <c r="AA255">
        <f>IF($D255="","",IF($AP255=1,0,IF($AO255=1,Settings!$C$6,Settings!$C$7))*100)</f>
        <v/>
      </c>
      <c r="AB255" s="7">
        <f>IF($D255="","",X255*AA255/100)</f>
        <v/>
      </c>
      <c r="AC255" s="7">
        <f>IF($D255="","",X255-AB255)</f>
        <v/>
      </c>
      <c r="AD255" s="7">
        <f>IF($D255="","",AC255-P255)</f>
        <v/>
      </c>
      <c r="AH255" s="7" t="n"/>
      <c r="AK255" s="11" t="n"/>
      <c r="AM255">
        <f>IF($D255="","",IF(COUNTIF($D$2:$D255,$D255)=1,1,0))</f>
        <v/>
      </c>
      <c r="AN255">
        <f>IF($AM255=1,SUMPRODUCT(--($AQ$2:$AQ$1001&lt;$AQ255))+1,"")</f>
        <v/>
      </c>
      <c r="AO255">
        <f>IF($D255="","",IF(OR($T255=TRUE(),$T255="TRUE"),1,0))</f>
        <v/>
      </c>
      <c r="AP255">
        <f>IF($D255="","",IF($Z255="Yes",1,0))</f>
        <v/>
      </c>
      <c r="AQ255">
        <f>IF($AM255=1,IFERROR(IF(VALUE($D255)&lt;100000000,VALUE($D255),1000000000),IFERROR(IF(VALUE(MID($D255,2,20))&lt;100000000,VALUE(MID($D255,2,20)),1000000000),1000000000))+ROW()/100000,"")</f>
        <v/>
      </c>
    </row>
    <row r="256">
      <c r="F256" s="11" t="n"/>
      <c r="P256" s="7">
        <f>IF($D256="","",O256*X256/100)</f>
        <v/>
      </c>
      <c r="Q256" s="7" t="n"/>
      <c r="W256" s="7" t="n"/>
      <c r="X256" s="7" t="n"/>
      <c r="AA256">
        <f>IF($D256="","",IF($AP256=1,0,IF($AO256=1,Settings!$C$6,Settings!$C$7))*100)</f>
        <v/>
      </c>
      <c r="AB256" s="7">
        <f>IF($D256="","",X256*AA256/100)</f>
        <v/>
      </c>
      <c r="AC256" s="7">
        <f>IF($D256="","",X256-AB256)</f>
        <v/>
      </c>
      <c r="AD256" s="7">
        <f>IF($D256="","",AC256-P256)</f>
        <v/>
      </c>
      <c r="AH256" s="7" t="n"/>
      <c r="AK256" s="11" t="n"/>
      <c r="AM256">
        <f>IF($D256="","",IF(COUNTIF($D$2:$D256,$D256)=1,1,0))</f>
        <v/>
      </c>
      <c r="AN256">
        <f>IF($AM256=1,SUMPRODUCT(--($AQ$2:$AQ$1001&lt;$AQ256))+1,"")</f>
        <v/>
      </c>
      <c r="AO256">
        <f>IF($D256="","",IF(OR($T256=TRUE(),$T256="TRUE"),1,0))</f>
        <v/>
      </c>
      <c r="AP256">
        <f>IF($D256="","",IF($Z256="Yes",1,0))</f>
        <v/>
      </c>
      <c r="AQ256">
        <f>IF($AM256=1,IFERROR(IF(VALUE($D256)&lt;100000000,VALUE($D256),1000000000),IFERROR(IF(VALUE(MID($D256,2,20))&lt;100000000,VALUE(MID($D256,2,20)),1000000000),1000000000))+ROW()/100000,"")</f>
        <v/>
      </c>
    </row>
    <row r="257">
      <c r="F257" s="11" t="n"/>
      <c r="P257" s="7">
        <f>IF($D257="","",O257*X257/100)</f>
        <v/>
      </c>
      <c r="Q257" s="7" t="n"/>
      <c r="W257" s="7" t="n"/>
      <c r="X257" s="7" t="n"/>
      <c r="AA257">
        <f>IF($D257="","",IF($AP257=1,0,IF($AO257=1,Settings!$C$6,Settings!$C$7))*100)</f>
        <v/>
      </c>
      <c r="AB257" s="7">
        <f>IF($D257="","",X257*AA257/100)</f>
        <v/>
      </c>
      <c r="AC257" s="7">
        <f>IF($D257="","",X257-AB257)</f>
        <v/>
      </c>
      <c r="AD257" s="7">
        <f>IF($D257="","",AC257-P257)</f>
        <v/>
      </c>
      <c r="AH257" s="7" t="n"/>
      <c r="AK257" s="11" t="n"/>
      <c r="AM257">
        <f>IF($D257="","",IF(COUNTIF($D$2:$D257,$D257)=1,1,0))</f>
        <v/>
      </c>
      <c r="AN257">
        <f>IF($AM257=1,SUMPRODUCT(--($AQ$2:$AQ$1001&lt;$AQ257))+1,"")</f>
        <v/>
      </c>
      <c r="AO257">
        <f>IF($D257="","",IF(OR($T257=TRUE(),$T257="TRUE"),1,0))</f>
        <v/>
      </c>
      <c r="AP257">
        <f>IF($D257="","",IF($Z257="Yes",1,0))</f>
        <v/>
      </c>
      <c r="AQ257">
        <f>IF($AM257=1,IFERROR(IF(VALUE($D257)&lt;100000000,VALUE($D257),1000000000),IFERROR(IF(VALUE(MID($D257,2,20))&lt;100000000,VALUE(MID($D257,2,20)),1000000000),1000000000))+ROW()/100000,"")</f>
        <v/>
      </c>
    </row>
    <row r="258">
      <c r="F258" s="11" t="n"/>
      <c r="P258" s="7">
        <f>IF($D258="","",O258*X258/100)</f>
        <v/>
      </c>
      <c r="Q258" s="7" t="n"/>
      <c r="W258" s="7" t="n"/>
      <c r="X258" s="7" t="n"/>
      <c r="AA258">
        <f>IF($D258="","",IF($AP258=1,0,IF($AO258=1,Settings!$C$6,Settings!$C$7))*100)</f>
        <v/>
      </c>
      <c r="AB258" s="7">
        <f>IF($D258="","",X258*AA258/100)</f>
        <v/>
      </c>
      <c r="AC258" s="7">
        <f>IF($D258="","",X258-AB258)</f>
        <v/>
      </c>
      <c r="AD258" s="7">
        <f>IF($D258="","",AC258-P258)</f>
        <v/>
      </c>
      <c r="AH258" s="7" t="n"/>
      <c r="AK258" s="11" t="n"/>
      <c r="AM258">
        <f>IF($D258="","",IF(COUNTIF($D$2:$D258,$D258)=1,1,0))</f>
        <v/>
      </c>
      <c r="AN258">
        <f>IF($AM258=1,SUMPRODUCT(--($AQ$2:$AQ$1001&lt;$AQ258))+1,"")</f>
        <v/>
      </c>
      <c r="AO258">
        <f>IF($D258="","",IF(OR($T258=TRUE(),$T258="TRUE"),1,0))</f>
        <v/>
      </c>
      <c r="AP258">
        <f>IF($D258="","",IF($Z258="Yes",1,0))</f>
        <v/>
      </c>
      <c r="AQ258">
        <f>IF($AM258=1,IFERROR(IF(VALUE($D258)&lt;100000000,VALUE($D258),1000000000),IFERROR(IF(VALUE(MID($D258,2,20))&lt;100000000,VALUE(MID($D258,2,20)),1000000000),1000000000))+ROW()/100000,"")</f>
        <v/>
      </c>
    </row>
    <row r="259">
      <c r="F259" s="11" t="n"/>
      <c r="P259" s="7">
        <f>IF($D259="","",O259*X259/100)</f>
        <v/>
      </c>
      <c r="Q259" s="7" t="n"/>
      <c r="W259" s="7" t="n"/>
      <c r="X259" s="7" t="n"/>
      <c r="AA259">
        <f>IF($D259="","",IF($AP259=1,0,IF($AO259=1,Settings!$C$6,Settings!$C$7))*100)</f>
        <v/>
      </c>
      <c r="AB259" s="7">
        <f>IF($D259="","",X259*AA259/100)</f>
        <v/>
      </c>
      <c r="AC259" s="7">
        <f>IF($D259="","",X259-AB259)</f>
        <v/>
      </c>
      <c r="AD259" s="7">
        <f>IF($D259="","",AC259-P259)</f>
        <v/>
      </c>
      <c r="AH259" s="7" t="n"/>
      <c r="AK259" s="11" t="n"/>
      <c r="AM259">
        <f>IF($D259="","",IF(COUNTIF($D$2:$D259,$D259)=1,1,0))</f>
        <v/>
      </c>
      <c r="AN259">
        <f>IF($AM259=1,SUMPRODUCT(--($AQ$2:$AQ$1001&lt;$AQ259))+1,"")</f>
        <v/>
      </c>
      <c r="AO259">
        <f>IF($D259="","",IF(OR($T259=TRUE(),$T259="TRUE"),1,0))</f>
        <v/>
      </c>
      <c r="AP259">
        <f>IF($D259="","",IF($Z259="Yes",1,0))</f>
        <v/>
      </c>
      <c r="AQ259">
        <f>IF($AM259=1,IFERROR(IF(VALUE($D259)&lt;100000000,VALUE($D259),1000000000),IFERROR(IF(VALUE(MID($D259,2,20))&lt;100000000,VALUE(MID($D259,2,20)),1000000000),1000000000))+ROW()/100000,"")</f>
        <v/>
      </c>
    </row>
    <row r="260">
      <c r="F260" s="11" t="n"/>
      <c r="P260" s="7">
        <f>IF($D260="","",O260*X260/100)</f>
        <v/>
      </c>
      <c r="Q260" s="7" t="n"/>
      <c r="W260" s="7" t="n"/>
      <c r="X260" s="7" t="n"/>
      <c r="AA260">
        <f>IF($D260="","",IF($AP260=1,0,IF($AO260=1,Settings!$C$6,Settings!$C$7))*100)</f>
        <v/>
      </c>
      <c r="AB260" s="7">
        <f>IF($D260="","",X260*AA260/100)</f>
        <v/>
      </c>
      <c r="AC260" s="7">
        <f>IF($D260="","",X260-AB260)</f>
        <v/>
      </c>
      <c r="AD260" s="7">
        <f>IF($D260="","",AC260-P260)</f>
        <v/>
      </c>
      <c r="AH260" s="7" t="n"/>
      <c r="AK260" s="11" t="n"/>
      <c r="AM260">
        <f>IF($D260="","",IF(COUNTIF($D$2:$D260,$D260)=1,1,0))</f>
        <v/>
      </c>
      <c r="AN260">
        <f>IF($AM260=1,SUMPRODUCT(--($AQ$2:$AQ$1001&lt;$AQ260))+1,"")</f>
        <v/>
      </c>
      <c r="AO260">
        <f>IF($D260="","",IF(OR($T260=TRUE(),$T260="TRUE"),1,0))</f>
        <v/>
      </c>
      <c r="AP260">
        <f>IF($D260="","",IF($Z260="Yes",1,0))</f>
        <v/>
      </c>
      <c r="AQ260">
        <f>IF($AM260=1,IFERROR(IF(VALUE($D260)&lt;100000000,VALUE($D260),1000000000),IFERROR(IF(VALUE(MID($D260,2,20))&lt;100000000,VALUE(MID($D260,2,20)),1000000000),1000000000))+ROW()/100000,"")</f>
        <v/>
      </c>
    </row>
    <row r="261">
      <c r="F261" s="11" t="n"/>
      <c r="P261" s="7">
        <f>IF($D261="","",O261*X261/100)</f>
        <v/>
      </c>
      <c r="Q261" s="7" t="n"/>
      <c r="W261" s="7" t="n"/>
      <c r="X261" s="7" t="n"/>
      <c r="AA261">
        <f>IF($D261="","",IF($AP261=1,0,IF($AO261=1,Settings!$C$6,Settings!$C$7))*100)</f>
        <v/>
      </c>
      <c r="AB261" s="7">
        <f>IF($D261="","",X261*AA261/100)</f>
        <v/>
      </c>
      <c r="AC261" s="7">
        <f>IF($D261="","",X261-AB261)</f>
        <v/>
      </c>
      <c r="AD261" s="7">
        <f>IF($D261="","",AC261-P261)</f>
        <v/>
      </c>
      <c r="AH261" s="7" t="n"/>
      <c r="AK261" s="11" t="n"/>
      <c r="AM261">
        <f>IF($D261="","",IF(COUNTIF($D$2:$D261,$D261)=1,1,0))</f>
        <v/>
      </c>
      <c r="AN261">
        <f>IF($AM261=1,SUMPRODUCT(--($AQ$2:$AQ$1001&lt;$AQ261))+1,"")</f>
        <v/>
      </c>
      <c r="AO261">
        <f>IF($D261="","",IF(OR($T261=TRUE(),$T261="TRUE"),1,0))</f>
        <v/>
      </c>
      <c r="AP261">
        <f>IF($D261="","",IF($Z261="Yes",1,0))</f>
        <v/>
      </c>
      <c r="AQ261">
        <f>IF($AM261=1,IFERROR(IF(VALUE($D261)&lt;100000000,VALUE($D261),1000000000),IFERROR(IF(VALUE(MID($D261,2,20))&lt;100000000,VALUE(MID($D261,2,20)),1000000000),1000000000))+ROW()/100000,"")</f>
        <v/>
      </c>
    </row>
    <row r="262">
      <c r="F262" s="11" t="n"/>
      <c r="P262" s="7">
        <f>IF($D262="","",O262*X262/100)</f>
        <v/>
      </c>
      <c r="Q262" s="7" t="n"/>
      <c r="W262" s="7" t="n"/>
      <c r="X262" s="7" t="n"/>
      <c r="AA262">
        <f>IF($D262="","",IF($AP262=1,0,IF($AO262=1,Settings!$C$6,Settings!$C$7))*100)</f>
        <v/>
      </c>
      <c r="AB262" s="7">
        <f>IF($D262="","",X262*AA262/100)</f>
        <v/>
      </c>
      <c r="AC262" s="7">
        <f>IF($D262="","",X262-AB262)</f>
        <v/>
      </c>
      <c r="AD262" s="7">
        <f>IF($D262="","",AC262-P262)</f>
        <v/>
      </c>
      <c r="AH262" s="7" t="n"/>
      <c r="AK262" s="11" t="n"/>
      <c r="AM262">
        <f>IF($D262="","",IF(COUNTIF($D$2:$D262,$D262)=1,1,0))</f>
        <v/>
      </c>
      <c r="AN262">
        <f>IF($AM262=1,SUMPRODUCT(--($AQ$2:$AQ$1001&lt;$AQ262))+1,"")</f>
        <v/>
      </c>
      <c r="AO262">
        <f>IF($D262="","",IF(OR($T262=TRUE(),$T262="TRUE"),1,0))</f>
        <v/>
      </c>
      <c r="AP262">
        <f>IF($D262="","",IF($Z262="Yes",1,0))</f>
        <v/>
      </c>
      <c r="AQ262">
        <f>IF($AM262=1,IFERROR(IF(VALUE($D262)&lt;100000000,VALUE($D262),1000000000),IFERROR(IF(VALUE(MID($D262,2,20))&lt;100000000,VALUE(MID($D262,2,20)),1000000000),1000000000))+ROW()/100000,"")</f>
        <v/>
      </c>
    </row>
    <row r="263">
      <c r="F263" s="11" t="n"/>
      <c r="P263" s="7">
        <f>IF($D263="","",O263*X263/100)</f>
        <v/>
      </c>
      <c r="Q263" s="7" t="n"/>
      <c r="W263" s="7" t="n"/>
      <c r="X263" s="7" t="n"/>
      <c r="AA263">
        <f>IF($D263="","",IF($AP263=1,0,IF($AO263=1,Settings!$C$6,Settings!$C$7))*100)</f>
        <v/>
      </c>
      <c r="AB263" s="7">
        <f>IF($D263="","",X263*AA263/100)</f>
        <v/>
      </c>
      <c r="AC263" s="7">
        <f>IF($D263="","",X263-AB263)</f>
        <v/>
      </c>
      <c r="AD263" s="7">
        <f>IF($D263="","",AC263-P263)</f>
        <v/>
      </c>
      <c r="AH263" s="7" t="n"/>
      <c r="AK263" s="11" t="n"/>
      <c r="AM263">
        <f>IF($D263="","",IF(COUNTIF($D$2:$D263,$D263)=1,1,0))</f>
        <v/>
      </c>
      <c r="AN263">
        <f>IF($AM263=1,SUMPRODUCT(--($AQ$2:$AQ$1001&lt;$AQ263))+1,"")</f>
        <v/>
      </c>
      <c r="AO263">
        <f>IF($D263="","",IF(OR($T263=TRUE(),$T263="TRUE"),1,0))</f>
        <v/>
      </c>
      <c r="AP263">
        <f>IF($D263="","",IF($Z263="Yes",1,0))</f>
        <v/>
      </c>
      <c r="AQ263">
        <f>IF($AM263=1,IFERROR(IF(VALUE($D263)&lt;100000000,VALUE($D263),1000000000),IFERROR(IF(VALUE(MID($D263,2,20))&lt;100000000,VALUE(MID($D263,2,20)),1000000000),1000000000))+ROW()/100000,"")</f>
        <v/>
      </c>
    </row>
    <row r="264">
      <c r="F264" s="11" t="n"/>
      <c r="P264" s="7">
        <f>IF($D264="","",O264*X264/100)</f>
        <v/>
      </c>
      <c r="Q264" s="7" t="n"/>
      <c r="W264" s="7" t="n"/>
      <c r="X264" s="7" t="n"/>
      <c r="AA264">
        <f>IF($D264="","",IF($AP264=1,0,IF($AO264=1,Settings!$C$6,Settings!$C$7))*100)</f>
        <v/>
      </c>
      <c r="AB264" s="7">
        <f>IF($D264="","",X264*AA264/100)</f>
        <v/>
      </c>
      <c r="AC264" s="7">
        <f>IF($D264="","",X264-AB264)</f>
        <v/>
      </c>
      <c r="AD264" s="7">
        <f>IF($D264="","",AC264-P264)</f>
        <v/>
      </c>
      <c r="AH264" s="7" t="n"/>
      <c r="AK264" s="11" t="n"/>
      <c r="AM264">
        <f>IF($D264="","",IF(COUNTIF($D$2:$D264,$D264)=1,1,0))</f>
        <v/>
      </c>
      <c r="AN264">
        <f>IF($AM264=1,SUMPRODUCT(--($AQ$2:$AQ$1001&lt;$AQ264))+1,"")</f>
        <v/>
      </c>
      <c r="AO264">
        <f>IF($D264="","",IF(OR($T264=TRUE(),$T264="TRUE"),1,0))</f>
        <v/>
      </c>
      <c r="AP264">
        <f>IF($D264="","",IF($Z264="Yes",1,0))</f>
        <v/>
      </c>
      <c r="AQ264">
        <f>IF($AM264=1,IFERROR(IF(VALUE($D264)&lt;100000000,VALUE($D264),1000000000),IFERROR(IF(VALUE(MID($D264,2,20))&lt;100000000,VALUE(MID($D264,2,20)),1000000000),1000000000))+ROW()/100000,"")</f>
        <v/>
      </c>
    </row>
    <row r="265">
      <c r="F265" s="11" t="n"/>
      <c r="P265" s="7">
        <f>IF($D265="","",O265*X265/100)</f>
        <v/>
      </c>
      <c r="Q265" s="7" t="n"/>
      <c r="W265" s="7" t="n"/>
      <c r="X265" s="7" t="n"/>
      <c r="AA265">
        <f>IF($D265="","",IF($AP265=1,0,IF($AO265=1,Settings!$C$6,Settings!$C$7))*100)</f>
        <v/>
      </c>
      <c r="AB265" s="7">
        <f>IF($D265="","",X265*AA265/100)</f>
        <v/>
      </c>
      <c r="AC265" s="7">
        <f>IF($D265="","",X265-AB265)</f>
        <v/>
      </c>
      <c r="AD265" s="7">
        <f>IF($D265="","",AC265-P265)</f>
        <v/>
      </c>
      <c r="AH265" s="7" t="n"/>
      <c r="AK265" s="11" t="n"/>
      <c r="AM265">
        <f>IF($D265="","",IF(COUNTIF($D$2:$D265,$D265)=1,1,0))</f>
        <v/>
      </c>
      <c r="AN265">
        <f>IF($AM265=1,SUMPRODUCT(--($AQ$2:$AQ$1001&lt;$AQ265))+1,"")</f>
        <v/>
      </c>
      <c r="AO265">
        <f>IF($D265="","",IF(OR($T265=TRUE(),$T265="TRUE"),1,0))</f>
        <v/>
      </c>
      <c r="AP265">
        <f>IF($D265="","",IF($Z265="Yes",1,0))</f>
        <v/>
      </c>
      <c r="AQ265">
        <f>IF($AM265=1,IFERROR(IF(VALUE($D265)&lt;100000000,VALUE($D265),1000000000),IFERROR(IF(VALUE(MID($D265,2,20))&lt;100000000,VALUE(MID($D265,2,20)),1000000000),1000000000))+ROW()/100000,"")</f>
        <v/>
      </c>
    </row>
    <row r="266">
      <c r="F266" s="11" t="n"/>
      <c r="P266" s="7">
        <f>IF($D266="","",O266*X266/100)</f>
        <v/>
      </c>
      <c r="Q266" s="7" t="n"/>
      <c r="W266" s="7" t="n"/>
      <c r="X266" s="7" t="n"/>
      <c r="AA266">
        <f>IF($D266="","",IF($AP266=1,0,IF($AO266=1,Settings!$C$6,Settings!$C$7))*100)</f>
        <v/>
      </c>
      <c r="AB266" s="7">
        <f>IF($D266="","",X266*AA266/100)</f>
        <v/>
      </c>
      <c r="AC266" s="7">
        <f>IF($D266="","",X266-AB266)</f>
        <v/>
      </c>
      <c r="AD266" s="7">
        <f>IF($D266="","",AC266-P266)</f>
        <v/>
      </c>
      <c r="AH266" s="7" t="n"/>
      <c r="AK266" s="11" t="n"/>
      <c r="AM266">
        <f>IF($D266="","",IF(COUNTIF($D$2:$D266,$D266)=1,1,0))</f>
        <v/>
      </c>
      <c r="AN266">
        <f>IF($AM266=1,SUMPRODUCT(--($AQ$2:$AQ$1001&lt;$AQ266))+1,"")</f>
        <v/>
      </c>
      <c r="AO266">
        <f>IF($D266="","",IF(OR($T266=TRUE(),$T266="TRUE"),1,0))</f>
        <v/>
      </c>
      <c r="AP266">
        <f>IF($D266="","",IF($Z266="Yes",1,0))</f>
        <v/>
      </c>
      <c r="AQ266">
        <f>IF($AM266=1,IFERROR(IF(VALUE($D266)&lt;100000000,VALUE($D266),1000000000),IFERROR(IF(VALUE(MID($D266,2,20))&lt;100000000,VALUE(MID($D266,2,20)),1000000000),1000000000))+ROW()/100000,"")</f>
        <v/>
      </c>
    </row>
    <row r="267">
      <c r="F267" s="11" t="n"/>
      <c r="P267" s="7">
        <f>IF($D267="","",O267*X267/100)</f>
        <v/>
      </c>
      <c r="Q267" s="7" t="n"/>
      <c r="W267" s="7" t="n"/>
      <c r="X267" s="7" t="n"/>
      <c r="AA267">
        <f>IF($D267="","",IF($AP267=1,0,IF($AO267=1,Settings!$C$6,Settings!$C$7))*100)</f>
        <v/>
      </c>
      <c r="AB267" s="7">
        <f>IF($D267="","",X267*AA267/100)</f>
        <v/>
      </c>
      <c r="AC267" s="7">
        <f>IF($D267="","",X267-AB267)</f>
        <v/>
      </c>
      <c r="AD267" s="7">
        <f>IF($D267="","",AC267-P267)</f>
        <v/>
      </c>
      <c r="AH267" s="7" t="n"/>
      <c r="AK267" s="11" t="n"/>
      <c r="AM267">
        <f>IF($D267="","",IF(COUNTIF($D$2:$D267,$D267)=1,1,0))</f>
        <v/>
      </c>
      <c r="AN267">
        <f>IF($AM267=1,SUMPRODUCT(--($AQ$2:$AQ$1001&lt;$AQ267))+1,"")</f>
        <v/>
      </c>
      <c r="AO267">
        <f>IF($D267="","",IF(OR($T267=TRUE(),$T267="TRUE"),1,0))</f>
        <v/>
      </c>
      <c r="AP267">
        <f>IF($D267="","",IF($Z267="Yes",1,0))</f>
        <v/>
      </c>
      <c r="AQ267">
        <f>IF($AM267=1,IFERROR(IF(VALUE($D267)&lt;100000000,VALUE($D267),1000000000),IFERROR(IF(VALUE(MID($D267,2,20))&lt;100000000,VALUE(MID($D267,2,20)),1000000000),1000000000))+ROW()/100000,"")</f>
        <v/>
      </c>
    </row>
    <row r="268">
      <c r="F268" s="11" t="n"/>
      <c r="P268" s="7">
        <f>IF($D268="","",O268*X268/100)</f>
        <v/>
      </c>
      <c r="Q268" s="7" t="n"/>
      <c r="W268" s="7" t="n"/>
      <c r="X268" s="7" t="n"/>
      <c r="AA268">
        <f>IF($D268="","",IF($AP268=1,0,IF($AO268=1,Settings!$C$6,Settings!$C$7))*100)</f>
        <v/>
      </c>
      <c r="AB268" s="7">
        <f>IF($D268="","",X268*AA268/100)</f>
        <v/>
      </c>
      <c r="AC268" s="7">
        <f>IF($D268="","",X268-AB268)</f>
        <v/>
      </c>
      <c r="AD268" s="7">
        <f>IF($D268="","",AC268-P268)</f>
        <v/>
      </c>
      <c r="AH268" s="7" t="n"/>
      <c r="AK268" s="11" t="n"/>
      <c r="AM268">
        <f>IF($D268="","",IF(COUNTIF($D$2:$D268,$D268)=1,1,0))</f>
        <v/>
      </c>
      <c r="AN268">
        <f>IF($AM268=1,SUMPRODUCT(--($AQ$2:$AQ$1001&lt;$AQ268))+1,"")</f>
        <v/>
      </c>
      <c r="AO268">
        <f>IF($D268="","",IF(OR($T268=TRUE(),$T268="TRUE"),1,0))</f>
        <v/>
      </c>
      <c r="AP268">
        <f>IF($D268="","",IF($Z268="Yes",1,0))</f>
        <v/>
      </c>
      <c r="AQ268">
        <f>IF($AM268=1,IFERROR(IF(VALUE($D268)&lt;100000000,VALUE($D268),1000000000),IFERROR(IF(VALUE(MID($D268,2,20))&lt;100000000,VALUE(MID($D268,2,20)),1000000000),1000000000))+ROW()/100000,"")</f>
        <v/>
      </c>
    </row>
    <row r="269">
      <c r="F269" s="11" t="n"/>
      <c r="P269" s="7">
        <f>IF($D269="","",O269*X269/100)</f>
        <v/>
      </c>
      <c r="Q269" s="7" t="n"/>
      <c r="W269" s="7" t="n"/>
      <c r="X269" s="7" t="n"/>
      <c r="AA269">
        <f>IF($D269="","",IF($AP269=1,0,IF($AO269=1,Settings!$C$6,Settings!$C$7))*100)</f>
        <v/>
      </c>
      <c r="AB269" s="7">
        <f>IF($D269="","",X269*AA269/100)</f>
        <v/>
      </c>
      <c r="AC269" s="7">
        <f>IF($D269="","",X269-AB269)</f>
        <v/>
      </c>
      <c r="AD269" s="7">
        <f>IF($D269="","",AC269-P269)</f>
        <v/>
      </c>
      <c r="AH269" s="7" t="n"/>
      <c r="AK269" s="11" t="n"/>
      <c r="AM269">
        <f>IF($D269="","",IF(COUNTIF($D$2:$D269,$D269)=1,1,0))</f>
        <v/>
      </c>
      <c r="AN269">
        <f>IF($AM269=1,SUMPRODUCT(--($AQ$2:$AQ$1001&lt;$AQ269))+1,"")</f>
        <v/>
      </c>
      <c r="AO269">
        <f>IF($D269="","",IF(OR($T269=TRUE(),$T269="TRUE"),1,0))</f>
        <v/>
      </c>
      <c r="AP269">
        <f>IF($D269="","",IF($Z269="Yes",1,0))</f>
        <v/>
      </c>
      <c r="AQ269">
        <f>IF($AM269=1,IFERROR(IF(VALUE($D269)&lt;100000000,VALUE($D269),1000000000),IFERROR(IF(VALUE(MID($D269,2,20))&lt;100000000,VALUE(MID($D269,2,20)),1000000000),1000000000))+ROW()/100000,"")</f>
        <v/>
      </c>
    </row>
    <row r="270">
      <c r="F270" s="11" t="n"/>
      <c r="P270" s="7">
        <f>IF($D270="","",O270*X270/100)</f>
        <v/>
      </c>
      <c r="Q270" s="7" t="n"/>
      <c r="W270" s="7" t="n"/>
      <c r="X270" s="7" t="n"/>
      <c r="AA270">
        <f>IF($D270="","",IF($AP270=1,0,IF($AO270=1,Settings!$C$6,Settings!$C$7))*100)</f>
        <v/>
      </c>
      <c r="AB270" s="7">
        <f>IF($D270="","",X270*AA270/100)</f>
        <v/>
      </c>
      <c r="AC270" s="7">
        <f>IF($D270="","",X270-AB270)</f>
        <v/>
      </c>
      <c r="AD270" s="7">
        <f>IF($D270="","",AC270-P270)</f>
        <v/>
      </c>
      <c r="AH270" s="7" t="n"/>
      <c r="AK270" s="11" t="n"/>
      <c r="AM270">
        <f>IF($D270="","",IF(COUNTIF($D$2:$D270,$D270)=1,1,0))</f>
        <v/>
      </c>
      <c r="AN270">
        <f>IF($AM270=1,SUMPRODUCT(--($AQ$2:$AQ$1001&lt;$AQ270))+1,"")</f>
        <v/>
      </c>
      <c r="AO270">
        <f>IF($D270="","",IF(OR($T270=TRUE(),$T270="TRUE"),1,0))</f>
        <v/>
      </c>
      <c r="AP270">
        <f>IF($D270="","",IF($Z270="Yes",1,0))</f>
        <v/>
      </c>
      <c r="AQ270">
        <f>IF($AM270=1,IFERROR(IF(VALUE($D270)&lt;100000000,VALUE($D270),1000000000),IFERROR(IF(VALUE(MID($D270,2,20))&lt;100000000,VALUE(MID($D270,2,20)),1000000000),1000000000))+ROW()/100000,"")</f>
        <v/>
      </c>
    </row>
    <row r="271">
      <c r="F271" s="11" t="n"/>
      <c r="P271" s="7">
        <f>IF($D271="","",O271*X271/100)</f>
        <v/>
      </c>
      <c r="Q271" s="7" t="n"/>
      <c r="W271" s="7" t="n"/>
      <c r="X271" s="7" t="n"/>
      <c r="AA271">
        <f>IF($D271="","",IF($AP271=1,0,IF($AO271=1,Settings!$C$6,Settings!$C$7))*100)</f>
        <v/>
      </c>
      <c r="AB271" s="7">
        <f>IF($D271="","",X271*AA271/100)</f>
        <v/>
      </c>
      <c r="AC271" s="7">
        <f>IF($D271="","",X271-AB271)</f>
        <v/>
      </c>
      <c r="AD271" s="7">
        <f>IF($D271="","",AC271-P271)</f>
        <v/>
      </c>
      <c r="AH271" s="7" t="n"/>
      <c r="AK271" s="11" t="n"/>
      <c r="AM271">
        <f>IF($D271="","",IF(COUNTIF($D$2:$D271,$D271)=1,1,0))</f>
        <v/>
      </c>
      <c r="AN271">
        <f>IF($AM271=1,SUMPRODUCT(--($AQ$2:$AQ$1001&lt;$AQ271))+1,"")</f>
        <v/>
      </c>
      <c r="AO271">
        <f>IF($D271="","",IF(OR($T271=TRUE(),$T271="TRUE"),1,0))</f>
        <v/>
      </c>
      <c r="AP271">
        <f>IF($D271="","",IF($Z271="Yes",1,0))</f>
        <v/>
      </c>
      <c r="AQ271">
        <f>IF($AM271=1,IFERROR(IF(VALUE($D271)&lt;100000000,VALUE($D271),1000000000),IFERROR(IF(VALUE(MID($D271,2,20))&lt;100000000,VALUE(MID($D271,2,20)),1000000000),1000000000))+ROW()/100000,"")</f>
        <v/>
      </c>
    </row>
    <row r="272">
      <c r="F272" s="11" t="n"/>
      <c r="P272" s="7">
        <f>IF($D272="","",O272*X272/100)</f>
        <v/>
      </c>
      <c r="Q272" s="7" t="n"/>
      <c r="W272" s="7" t="n"/>
      <c r="X272" s="7" t="n"/>
      <c r="AA272">
        <f>IF($D272="","",IF($AP272=1,0,IF($AO272=1,Settings!$C$6,Settings!$C$7))*100)</f>
        <v/>
      </c>
      <c r="AB272" s="7">
        <f>IF($D272="","",X272*AA272/100)</f>
        <v/>
      </c>
      <c r="AC272" s="7">
        <f>IF($D272="","",X272-AB272)</f>
        <v/>
      </c>
      <c r="AD272" s="7">
        <f>IF($D272="","",AC272-P272)</f>
        <v/>
      </c>
      <c r="AH272" s="7" t="n"/>
      <c r="AK272" s="11" t="n"/>
      <c r="AM272">
        <f>IF($D272="","",IF(COUNTIF($D$2:$D272,$D272)=1,1,0))</f>
        <v/>
      </c>
      <c r="AN272">
        <f>IF($AM272=1,SUMPRODUCT(--($AQ$2:$AQ$1001&lt;$AQ272))+1,"")</f>
        <v/>
      </c>
      <c r="AO272">
        <f>IF($D272="","",IF(OR($T272=TRUE(),$T272="TRUE"),1,0))</f>
        <v/>
      </c>
      <c r="AP272">
        <f>IF($D272="","",IF($Z272="Yes",1,0))</f>
        <v/>
      </c>
      <c r="AQ272">
        <f>IF($AM272=1,IFERROR(IF(VALUE($D272)&lt;100000000,VALUE($D272),1000000000),IFERROR(IF(VALUE(MID($D272,2,20))&lt;100000000,VALUE(MID($D272,2,20)),1000000000),1000000000))+ROW()/100000,"")</f>
        <v/>
      </c>
    </row>
    <row r="273">
      <c r="F273" s="11" t="n"/>
      <c r="P273" s="7">
        <f>IF($D273="","",O273*X273/100)</f>
        <v/>
      </c>
      <c r="Q273" s="7" t="n"/>
      <c r="W273" s="7" t="n"/>
      <c r="X273" s="7" t="n"/>
      <c r="AA273">
        <f>IF($D273="","",IF($AP273=1,0,IF($AO273=1,Settings!$C$6,Settings!$C$7))*100)</f>
        <v/>
      </c>
      <c r="AB273" s="7">
        <f>IF($D273="","",X273*AA273/100)</f>
        <v/>
      </c>
      <c r="AC273" s="7">
        <f>IF($D273="","",X273-AB273)</f>
        <v/>
      </c>
      <c r="AD273" s="7">
        <f>IF($D273="","",AC273-P273)</f>
        <v/>
      </c>
      <c r="AH273" s="7" t="n"/>
      <c r="AK273" s="11" t="n"/>
      <c r="AM273">
        <f>IF($D273="","",IF(COUNTIF($D$2:$D273,$D273)=1,1,0))</f>
        <v/>
      </c>
      <c r="AN273">
        <f>IF($AM273=1,SUMPRODUCT(--($AQ$2:$AQ$1001&lt;$AQ273))+1,"")</f>
        <v/>
      </c>
      <c r="AO273">
        <f>IF($D273="","",IF(OR($T273=TRUE(),$T273="TRUE"),1,0))</f>
        <v/>
      </c>
      <c r="AP273">
        <f>IF($D273="","",IF($Z273="Yes",1,0))</f>
        <v/>
      </c>
      <c r="AQ273">
        <f>IF($AM273=1,IFERROR(IF(VALUE($D273)&lt;100000000,VALUE($D273),1000000000),IFERROR(IF(VALUE(MID($D273,2,20))&lt;100000000,VALUE(MID($D273,2,20)),1000000000),1000000000))+ROW()/100000,"")</f>
        <v/>
      </c>
    </row>
    <row r="274">
      <c r="F274" s="11" t="n"/>
      <c r="P274" s="7">
        <f>IF($D274="","",O274*X274/100)</f>
        <v/>
      </c>
      <c r="Q274" s="7" t="n"/>
      <c r="W274" s="7" t="n"/>
      <c r="X274" s="7" t="n"/>
      <c r="AA274">
        <f>IF($D274="","",IF($AP274=1,0,IF($AO274=1,Settings!$C$6,Settings!$C$7))*100)</f>
        <v/>
      </c>
      <c r="AB274" s="7">
        <f>IF($D274="","",X274*AA274/100)</f>
        <v/>
      </c>
      <c r="AC274" s="7">
        <f>IF($D274="","",X274-AB274)</f>
        <v/>
      </c>
      <c r="AD274" s="7">
        <f>IF($D274="","",AC274-P274)</f>
        <v/>
      </c>
      <c r="AH274" s="7" t="n"/>
      <c r="AK274" s="11" t="n"/>
      <c r="AM274">
        <f>IF($D274="","",IF(COUNTIF($D$2:$D274,$D274)=1,1,0))</f>
        <v/>
      </c>
      <c r="AN274">
        <f>IF($AM274=1,SUMPRODUCT(--($AQ$2:$AQ$1001&lt;$AQ274))+1,"")</f>
        <v/>
      </c>
      <c r="AO274">
        <f>IF($D274="","",IF(OR($T274=TRUE(),$T274="TRUE"),1,0))</f>
        <v/>
      </c>
      <c r="AP274">
        <f>IF($D274="","",IF($Z274="Yes",1,0))</f>
        <v/>
      </c>
      <c r="AQ274">
        <f>IF($AM274=1,IFERROR(IF(VALUE($D274)&lt;100000000,VALUE($D274),1000000000),IFERROR(IF(VALUE(MID($D274,2,20))&lt;100000000,VALUE(MID($D274,2,20)),1000000000),1000000000))+ROW()/100000,"")</f>
        <v/>
      </c>
    </row>
    <row r="275">
      <c r="F275" s="11" t="n"/>
      <c r="P275" s="7">
        <f>IF($D275="","",O275*X275/100)</f>
        <v/>
      </c>
      <c r="Q275" s="7" t="n"/>
      <c r="W275" s="7" t="n"/>
      <c r="X275" s="7" t="n"/>
      <c r="AA275">
        <f>IF($D275="","",IF($AP275=1,0,IF($AO275=1,Settings!$C$6,Settings!$C$7))*100)</f>
        <v/>
      </c>
      <c r="AB275" s="7">
        <f>IF($D275="","",X275*AA275/100)</f>
        <v/>
      </c>
      <c r="AC275" s="7">
        <f>IF($D275="","",X275-AB275)</f>
        <v/>
      </c>
      <c r="AD275" s="7">
        <f>IF($D275="","",AC275-P275)</f>
        <v/>
      </c>
      <c r="AH275" s="7" t="n"/>
      <c r="AK275" s="11" t="n"/>
      <c r="AM275">
        <f>IF($D275="","",IF(COUNTIF($D$2:$D275,$D275)=1,1,0))</f>
        <v/>
      </c>
      <c r="AN275">
        <f>IF($AM275=1,SUMPRODUCT(--($AQ$2:$AQ$1001&lt;$AQ275))+1,"")</f>
        <v/>
      </c>
      <c r="AO275">
        <f>IF($D275="","",IF(OR($T275=TRUE(),$T275="TRUE"),1,0))</f>
        <v/>
      </c>
      <c r="AP275">
        <f>IF($D275="","",IF($Z275="Yes",1,0))</f>
        <v/>
      </c>
      <c r="AQ275">
        <f>IF($AM275=1,IFERROR(IF(VALUE($D275)&lt;100000000,VALUE($D275),1000000000),IFERROR(IF(VALUE(MID($D275,2,20))&lt;100000000,VALUE(MID($D275,2,20)),1000000000),1000000000))+ROW()/100000,"")</f>
        <v/>
      </c>
    </row>
    <row r="276">
      <c r="F276" s="11" t="n"/>
      <c r="P276" s="7">
        <f>IF($D276="","",O276*X276/100)</f>
        <v/>
      </c>
      <c r="Q276" s="7" t="n"/>
      <c r="W276" s="7" t="n"/>
      <c r="X276" s="7" t="n"/>
      <c r="AA276">
        <f>IF($D276="","",IF($AP276=1,0,IF($AO276=1,Settings!$C$6,Settings!$C$7))*100)</f>
        <v/>
      </c>
      <c r="AB276" s="7">
        <f>IF($D276="","",X276*AA276/100)</f>
        <v/>
      </c>
      <c r="AC276" s="7">
        <f>IF($D276="","",X276-AB276)</f>
        <v/>
      </c>
      <c r="AD276" s="7">
        <f>IF($D276="","",AC276-P276)</f>
        <v/>
      </c>
      <c r="AH276" s="7" t="n"/>
      <c r="AK276" s="11" t="n"/>
      <c r="AM276">
        <f>IF($D276="","",IF(COUNTIF($D$2:$D276,$D276)=1,1,0))</f>
        <v/>
      </c>
      <c r="AN276">
        <f>IF($AM276=1,SUMPRODUCT(--($AQ$2:$AQ$1001&lt;$AQ276))+1,"")</f>
        <v/>
      </c>
      <c r="AO276">
        <f>IF($D276="","",IF(OR($T276=TRUE(),$T276="TRUE"),1,0))</f>
        <v/>
      </c>
      <c r="AP276">
        <f>IF($D276="","",IF($Z276="Yes",1,0))</f>
        <v/>
      </c>
      <c r="AQ276">
        <f>IF($AM276=1,IFERROR(IF(VALUE($D276)&lt;100000000,VALUE($D276),1000000000),IFERROR(IF(VALUE(MID($D276,2,20))&lt;100000000,VALUE(MID($D276,2,20)),1000000000),1000000000))+ROW()/100000,"")</f>
        <v/>
      </c>
    </row>
    <row r="277">
      <c r="F277" s="11" t="n"/>
      <c r="P277" s="7">
        <f>IF($D277="","",O277*X277/100)</f>
        <v/>
      </c>
      <c r="Q277" s="7" t="n"/>
      <c r="W277" s="7" t="n"/>
      <c r="X277" s="7" t="n"/>
      <c r="AA277">
        <f>IF($D277="","",IF($AP277=1,0,IF($AO277=1,Settings!$C$6,Settings!$C$7))*100)</f>
        <v/>
      </c>
      <c r="AB277" s="7">
        <f>IF($D277="","",X277*AA277/100)</f>
        <v/>
      </c>
      <c r="AC277" s="7">
        <f>IF($D277="","",X277-AB277)</f>
        <v/>
      </c>
      <c r="AD277" s="7">
        <f>IF($D277="","",AC277-P277)</f>
        <v/>
      </c>
      <c r="AH277" s="7" t="n"/>
      <c r="AK277" s="11" t="n"/>
      <c r="AM277">
        <f>IF($D277="","",IF(COUNTIF($D$2:$D277,$D277)=1,1,0))</f>
        <v/>
      </c>
      <c r="AN277">
        <f>IF($AM277=1,SUMPRODUCT(--($AQ$2:$AQ$1001&lt;$AQ277))+1,"")</f>
        <v/>
      </c>
      <c r="AO277">
        <f>IF($D277="","",IF(OR($T277=TRUE(),$T277="TRUE"),1,0))</f>
        <v/>
      </c>
      <c r="AP277">
        <f>IF($D277="","",IF($Z277="Yes",1,0))</f>
        <v/>
      </c>
      <c r="AQ277">
        <f>IF($AM277=1,IFERROR(IF(VALUE($D277)&lt;100000000,VALUE($D277),1000000000),IFERROR(IF(VALUE(MID($D277,2,20))&lt;100000000,VALUE(MID($D277,2,20)),1000000000),1000000000))+ROW()/100000,"")</f>
        <v/>
      </c>
    </row>
    <row r="278">
      <c r="F278" s="11" t="n"/>
      <c r="P278" s="7">
        <f>IF($D278="","",O278*X278/100)</f>
        <v/>
      </c>
      <c r="Q278" s="7" t="n"/>
      <c r="W278" s="7" t="n"/>
      <c r="X278" s="7" t="n"/>
      <c r="AA278">
        <f>IF($D278="","",IF($AP278=1,0,IF($AO278=1,Settings!$C$6,Settings!$C$7))*100)</f>
        <v/>
      </c>
      <c r="AB278" s="7">
        <f>IF($D278="","",X278*AA278/100)</f>
        <v/>
      </c>
      <c r="AC278" s="7">
        <f>IF($D278="","",X278-AB278)</f>
        <v/>
      </c>
      <c r="AD278" s="7">
        <f>IF($D278="","",AC278-P278)</f>
        <v/>
      </c>
      <c r="AH278" s="7" t="n"/>
      <c r="AK278" s="11" t="n"/>
      <c r="AM278">
        <f>IF($D278="","",IF(COUNTIF($D$2:$D278,$D278)=1,1,0))</f>
        <v/>
      </c>
      <c r="AN278">
        <f>IF($AM278=1,SUMPRODUCT(--($AQ$2:$AQ$1001&lt;$AQ278))+1,"")</f>
        <v/>
      </c>
      <c r="AO278">
        <f>IF($D278="","",IF(OR($T278=TRUE(),$T278="TRUE"),1,0))</f>
        <v/>
      </c>
      <c r="AP278">
        <f>IF($D278="","",IF($Z278="Yes",1,0))</f>
        <v/>
      </c>
      <c r="AQ278">
        <f>IF($AM278=1,IFERROR(IF(VALUE($D278)&lt;100000000,VALUE($D278),1000000000),IFERROR(IF(VALUE(MID($D278,2,20))&lt;100000000,VALUE(MID($D278,2,20)),1000000000),1000000000))+ROW()/100000,"")</f>
        <v/>
      </c>
    </row>
    <row r="279">
      <c r="F279" s="11" t="n"/>
      <c r="P279" s="7">
        <f>IF($D279="","",O279*X279/100)</f>
        <v/>
      </c>
      <c r="Q279" s="7" t="n"/>
      <c r="W279" s="7" t="n"/>
      <c r="X279" s="7" t="n"/>
      <c r="AA279">
        <f>IF($D279="","",IF($AP279=1,0,IF($AO279=1,Settings!$C$6,Settings!$C$7))*100)</f>
        <v/>
      </c>
      <c r="AB279" s="7">
        <f>IF($D279="","",X279*AA279/100)</f>
        <v/>
      </c>
      <c r="AC279" s="7">
        <f>IF($D279="","",X279-AB279)</f>
        <v/>
      </c>
      <c r="AD279" s="7">
        <f>IF($D279="","",AC279-P279)</f>
        <v/>
      </c>
      <c r="AH279" s="7" t="n"/>
      <c r="AK279" s="11" t="n"/>
      <c r="AM279">
        <f>IF($D279="","",IF(COUNTIF($D$2:$D279,$D279)=1,1,0))</f>
        <v/>
      </c>
      <c r="AN279">
        <f>IF($AM279=1,SUMPRODUCT(--($AQ$2:$AQ$1001&lt;$AQ279))+1,"")</f>
        <v/>
      </c>
      <c r="AO279">
        <f>IF($D279="","",IF(OR($T279=TRUE(),$T279="TRUE"),1,0))</f>
        <v/>
      </c>
      <c r="AP279">
        <f>IF($D279="","",IF($Z279="Yes",1,0))</f>
        <v/>
      </c>
      <c r="AQ279">
        <f>IF($AM279=1,IFERROR(IF(VALUE($D279)&lt;100000000,VALUE($D279),1000000000),IFERROR(IF(VALUE(MID($D279,2,20))&lt;100000000,VALUE(MID($D279,2,20)),1000000000),1000000000))+ROW()/100000,"")</f>
        <v/>
      </c>
    </row>
    <row r="280">
      <c r="F280" s="11" t="n"/>
      <c r="P280" s="7">
        <f>IF($D280="","",O280*X280/100)</f>
        <v/>
      </c>
      <c r="Q280" s="7" t="n"/>
      <c r="W280" s="7" t="n"/>
      <c r="X280" s="7" t="n"/>
      <c r="AA280">
        <f>IF($D280="","",IF($AP280=1,0,IF($AO280=1,Settings!$C$6,Settings!$C$7))*100)</f>
        <v/>
      </c>
      <c r="AB280" s="7">
        <f>IF($D280="","",X280*AA280/100)</f>
        <v/>
      </c>
      <c r="AC280" s="7">
        <f>IF($D280="","",X280-AB280)</f>
        <v/>
      </c>
      <c r="AD280" s="7">
        <f>IF($D280="","",AC280-P280)</f>
        <v/>
      </c>
      <c r="AH280" s="7" t="n"/>
      <c r="AK280" s="11" t="n"/>
      <c r="AM280">
        <f>IF($D280="","",IF(COUNTIF($D$2:$D280,$D280)=1,1,0))</f>
        <v/>
      </c>
      <c r="AN280">
        <f>IF($AM280=1,SUMPRODUCT(--($AQ$2:$AQ$1001&lt;$AQ280))+1,"")</f>
        <v/>
      </c>
      <c r="AO280">
        <f>IF($D280="","",IF(OR($T280=TRUE(),$T280="TRUE"),1,0))</f>
        <v/>
      </c>
      <c r="AP280">
        <f>IF($D280="","",IF($Z280="Yes",1,0))</f>
        <v/>
      </c>
      <c r="AQ280">
        <f>IF($AM280=1,IFERROR(IF(VALUE($D280)&lt;100000000,VALUE($D280),1000000000),IFERROR(IF(VALUE(MID($D280,2,20))&lt;100000000,VALUE(MID($D280,2,20)),1000000000),1000000000))+ROW()/100000,"")</f>
        <v/>
      </c>
    </row>
    <row r="281">
      <c r="F281" s="11" t="n"/>
      <c r="P281" s="7">
        <f>IF($D281="","",O281*X281/100)</f>
        <v/>
      </c>
      <c r="Q281" s="7" t="n"/>
      <c r="W281" s="7" t="n"/>
      <c r="X281" s="7" t="n"/>
      <c r="AA281">
        <f>IF($D281="","",IF($AP281=1,0,IF($AO281=1,Settings!$C$6,Settings!$C$7))*100)</f>
        <v/>
      </c>
      <c r="AB281" s="7">
        <f>IF($D281="","",X281*AA281/100)</f>
        <v/>
      </c>
      <c r="AC281" s="7">
        <f>IF($D281="","",X281-AB281)</f>
        <v/>
      </c>
      <c r="AD281" s="7">
        <f>IF($D281="","",AC281-P281)</f>
        <v/>
      </c>
      <c r="AH281" s="7" t="n"/>
      <c r="AK281" s="11" t="n"/>
      <c r="AM281">
        <f>IF($D281="","",IF(COUNTIF($D$2:$D281,$D281)=1,1,0))</f>
        <v/>
      </c>
      <c r="AN281">
        <f>IF($AM281=1,SUMPRODUCT(--($AQ$2:$AQ$1001&lt;$AQ281))+1,"")</f>
        <v/>
      </c>
      <c r="AO281">
        <f>IF($D281="","",IF(OR($T281=TRUE(),$T281="TRUE"),1,0))</f>
        <v/>
      </c>
      <c r="AP281">
        <f>IF($D281="","",IF($Z281="Yes",1,0))</f>
        <v/>
      </c>
      <c r="AQ281">
        <f>IF($AM281=1,IFERROR(IF(VALUE($D281)&lt;100000000,VALUE($D281),1000000000),IFERROR(IF(VALUE(MID($D281,2,20))&lt;100000000,VALUE(MID($D281,2,20)),1000000000),1000000000))+ROW()/100000,"")</f>
        <v/>
      </c>
    </row>
    <row r="282">
      <c r="F282" s="11" t="n"/>
      <c r="P282" s="7">
        <f>IF($D282="","",O282*X282/100)</f>
        <v/>
      </c>
      <c r="Q282" s="7" t="n"/>
      <c r="W282" s="7" t="n"/>
      <c r="X282" s="7" t="n"/>
      <c r="AA282">
        <f>IF($D282="","",IF($AP282=1,0,IF($AO282=1,Settings!$C$6,Settings!$C$7))*100)</f>
        <v/>
      </c>
      <c r="AB282" s="7">
        <f>IF($D282="","",X282*AA282/100)</f>
        <v/>
      </c>
      <c r="AC282" s="7">
        <f>IF($D282="","",X282-AB282)</f>
        <v/>
      </c>
      <c r="AD282" s="7">
        <f>IF($D282="","",AC282-P282)</f>
        <v/>
      </c>
      <c r="AH282" s="7" t="n"/>
      <c r="AK282" s="11" t="n"/>
      <c r="AM282">
        <f>IF($D282="","",IF(COUNTIF($D$2:$D282,$D282)=1,1,0))</f>
        <v/>
      </c>
      <c r="AN282">
        <f>IF($AM282=1,SUMPRODUCT(--($AQ$2:$AQ$1001&lt;$AQ282))+1,"")</f>
        <v/>
      </c>
      <c r="AO282">
        <f>IF($D282="","",IF(OR($T282=TRUE(),$T282="TRUE"),1,0))</f>
        <v/>
      </c>
      <c r="AP282">
        <f>IF($D282="","",IF($Z282="Yes",1,0))</f>
        <v/>
      </c>
      <c r="AQ282">
        <f>IF($AM282=1,IFERROR(IF(VALUE($D282)&lt;100000000,VALUE($D282),1000000000),IFERROR(IF(VALUE(MID($D282,2,20))&lt;100000000,VALUE(MID($D282,2,20)),1000000000),1000000000))+ROW()/100000,"")</f>
        <v/>
      </c>
    </row>
    <row r="283">
      <c r="F283" s="11" t="n"/>
      <c r="P283" s="7">
        <f>IF($D283="","",O283*X283/100)</f>
        <v/>
      </c>
      <c r="Q283" s="7" t="n"/>
      <c r="W283" s="7" t="n"/>
      <c r="X283" s="7" t="n"/>
      <c r="AA283">
        <f>IF($D283="","",IF($AP283=1,0,IF($AO283=1,Settings!$C$6,Settings!$C$7))*100)</f>
        <v/>
      </c>
      <c r="AB283" s="7">
        <f>IF($D283="","",X283*AA283/100)</f>
        <v/>
      </c>
      <c r="AC283" s="7">
        <f>IF($D283="","",X283-AB283)</f>
        <v/>
      </c>
      <c r="AD283" s="7">
        <f>IF($D283="","",AC283-P283)</f>
        <v/>
      </c>
      <c r="AH283" s="7" t="n"/>
      <c r="AK283" s="11" t="n"/>
      <c r="AM283">
        <f>IF($D283="","",IF(COUNTIF($D$2:$D283,$D283)=1,1,0))</f>
        <v/>
      </c>
      <c r="AN283">
        <f>IF($AM283=1,SUMPRODUCT(--($AQ$2:$AQ$1001&lt;$AQ283))+1,"")</f>
        <v/>
      </c>
      <c r="AO283">
        <f>IF($D283="","",IF(OR($T283=TRUE(),$T283="TRUE"),1,0))</f>
        <v/>
      </c>
      <c r="AP283">
        <f>IF($D283="","",IF($Z283="Yes",1,0))</f>
        <v/>
      </c>
      <c r="AQ283">
        <f>IF($AM283=1,IFERROR(IF(VALUE($D283)&lt;100000000,VALUE($D283),1000000000),IFERROR(IF(VALUE(MID($D283,2,20))&lt;100000000,VALUE(MID($D283,2,20)),1000000000),1000000000))+ROW()/100000,"")</f>
        <v/>
      </c>
    </row>
    <row r="284">
      <c r="F284" s="11" t="n"/>
      <c r="P284" s="7">
        <f>IF($D284="","",O284*X284/100)</f>
        <v/>
      </c>
      <c r="Q284" s="7" t="n"/>
      <c r="W284" s="7" t="n"/>
      <c r="X284" s="7" t="n"/>
      <c r="AA284">
        <f>IF($D284="","",IF($AP284=1,0,IF($AO284=1,Settings!$C$6,Settings!$C$7))*100)</f>
        <v/>
      </c>
      <c r="AB284" s="7">
        <f>IF($D284="","",X284*AA284/100)</f>
        <v/>
      </c>
      <c r="AC284" s="7">
        <f>IF($D284="","",X284-AB284)</f>
        <v/>
      </c>
      <c r="AD284" s="7">
        <f>IF($D284="","",AC284-P284)</f>
        <v/>
      </c>
      <c r="AH284" s="7" t="n"/>
      <c r="AK284" s="11" t="n"/>
      <c r="AM284">
        <f>IF($D284="","",IF(COUNTIF($D$2:$D284,$D284)=1,1,0))</f>
        <v/>
      </c>
      <c r="AN284">
        <f>IF($AM284=1,SUMPRODUCT(--($AQ$2:$AQ$1001&lt;$AQ284))+1,"")</f>
        <v/>
      </c>
      <c r="AO284">
        <f>IF($D284="","",IF(OR($T284=TRUE(),$T284="TRUE"),1,0))</f>
        <v/>
      </c>
      <c r="AP284">
        <f>IF($D284="","",IF($Z284="Yes",1,0))</f>
        <v/>
      </c>
      <c r="AQ284">
        <f>IF($AM284=1,IFERROR(IF(VALUE($D284)&lt;100000000,VALUE($D284),1000000000),IFERROR(IF(VALUE(MID($D284,2,20))&lt;100000000,VALUE(MID($D284,2,20)),1000000000),1000000000))+ROW()/100000,"")</f>
        <v/>
      </c>
    </row>
    <row r="285">
      <c r="F285" s="11" t="n"/>
      <c r="P285" s="7">
        <f>IF($D285="","",O285*X285/100)</f>
        <v/>
      </c>
      <c r="Q285" s="7" t="n"/>
      <c r="W285" s="7" t="n"/>
      <c r="X285" s="7" t="n"/>
      <c r="AA285">
        <f>IF($D285="","",IF($AP285=1,0,IF($AO285=1,Settings!$C$6,Settings!$C$7))*100)</f>
        <v/>
      </c>
      <c r="AB285" s="7">
        <f>IF($D285="","",X285*AA285/100)</f>
        <v/>
      </c>
      <c r="AC285" s="7">
        <f>IF($D285="","",X285-AB285)</f>
        <v/>
      </c>
      <c r="AD285" s="7">
        <f>IF($D285="","",AC285-P285)</f>
        <v/>
      </c>
      <c r="AH285" s="7" t="n"/>
      <c r="AK285" s="11" t="n"/>
      <c r="AM285">
        <f>IF($D285="","",IF(COUNTIF($D$2:$D285,$D285)=1,1,0))</f>
        <v/>
      </c>
      <c r="AN285">
        <f>IF($AM285=1,SUMPRODUCT(--($AQ$2:$AQ$1001&lt;$AQ285))+1,"")</f>
        <v/>
      </c>
      <c r="AO285">
        <f>IF($D285="","",IF(OR($T285=TRUE(),$T285="TRUE"),1,0))</f>
        <v/>
      </c>
      <c r="AP285">
        <f>IF($D285="","",IF($Z285="Yes",1,0))</f>
        <v/>
      </c>
      <c r="AQ285">
        <f>IF($AM285=1,IFERROR(IF(VALUE($D285)&lt;100000000,VALUE($D285),1000000000),IFERROR(IF(VALUE(MID($D285,2,20))&lt;100000000,VALUE(MID($D285,2,20)),1000000000),1000000000))+ROW()/100000,"")</f>
        <v/>
      </c>
    </row>
    <row r="286">
      <c r="F286" s="11" t="n"/>
      <c r="P286" s="7">
        <f>IF($D286="","",O286*X286/100)</f>
        <v/>
      </c>
      <c r="Q286" s="7" t="n"/>
      <c r="W286" s="7" t="n"/>
      <c r="X286" s="7" t="n"/>
      <c r="AA286">
        <f>IF($D286="","",IF($AP286=1,0,IF($AO286=1,Settings!$C$6,Settings!$C$7))*100)</f>
        <v/>
      </c>
      <c r="AB286" s="7">
        <f>IF($D286="","",X286*AA286/100)</f>
        <v/>
      </c>
      <c r="AC286" s="7">
        <f>IF($D286="","",X286-AB286)</f>
        <v/>
      </c>
      <c r="AD286" s="7">
        <f>IF($D286="","",AC286-P286)</f>
        <v/>
      </c>
      <c r="AH286" s="7" t="n"/>
      <c r="AK286" s="11" t="n"/>
      <c r="AM286">
        <f>IF($D286="","",IF(COUNTIF($D$2:$D286,$D286)=1,1,0))</f>
        <v/>
      </c>
      <c r="AN286">
        <f>IF($AM286=1,SUMPRODUCT(--($AQ$2:$AQ$1001&lt;$AQ286))+1,"")</f>
        <v/>
      </c>
      <c r="AO286">
        <f>IF($D286="","",IF(OR($T286=TRUE(),$T286="TRUE"),1,0))</f>
        <v/>
      </c>
      <c r="AP286">
        <f>IF($D286="","",IF($Z286="Yes",1,0))</f>
        <v/>
      </c>
      <c r="AQ286">
        <f>IF($AM286=1,IFERROR(IF(VALUE($D286)&lt;100000000,VALUE($D286),1000000000),IFERROR(IF(VALUE(MID($D286,2,20))&lt;100000000,VALUE(MID($D286,2,20)),1000000000),1000000000))+ROW()/100000,"")</f>
        <v/>
      </c>
    </row>
    <row r="287">
      <c r="F287" s="11" t="n"/>
      <c r="P287" s="7">
        <f>IF($D287="","",O287*X287/100)</f>
        <v/>
      </c>
      <c r="Q287" s="7" t="n"/>
      <c r="W287" s="7" t="n"/>
      <c r="X287" s="7" t="n"/>
      <c r="AA287">
        <f>IF($D287="","",IF($AP287=1,0,IF($AO287=1,Settings!$C$6,Settings!$C$7))*100)</f>
        <v/>
      </c>
      <c r="AB287" s="7">
        <f>IF($D287="","",X287*AA287/100)</f>
        <v/>
      </c>
      <c r="AC287" s="7">
        <f>IF($D287="","",X287-AB287)</f>
        <v/>
      </c>
      <c r="AD287" s="7">
        <f>IF($D287="","",AC287-P287)</f>
        <v/>
      </c>
      <c r="AH287" s="7" t="n"/>
      <c r="AK287" s="11" t="n"/>
      <c r="AM287">
        <f>IF($D287="","",IF(COUNTIF($D$2:$D287,$D287)=1,1,0))</f>
        <v/>
      </c>
      <c r="AN287">
        <f>IF($AM287=1,SUMPRODUCT(--($AQ$2:$AQ$1001&lt;$AQ287))+1,"")</f>
        <v/>
      </c>
      <c r="AO287">
        <f>IF($D287="","",IF(OR($T287=TRUE(),$T287="TRUE"),1,0))</f>
        <v/>
      </c>
      <c r="AP287">
        <f>IF($D287="","",IF($Z287="Yes",1,0))</f>
        <v/>
      </c>
      <c r="AQ287">
        <f>IF($AM287=1,IFERROR(IF(VALUE($D287)&lt;100000000,VALUE($D287),1000000000),IFERROR(IF(VALUE(MID($D287,2,20))&lt;100000000,VALUE(MID($D287,2,20)),1000000000),1000000000))+ROW()/100000,"")</f>
        <v/>
      </c>
    </row>
    <row r="288">
      <c r="F288" s="11" t="n"/>
      <c r="P288" s="7">
        <f>IF($D288="","",O288*X288/100)</f>
        <v/>
      </c>
      <c r="Q288" s="7" t="n"/>
      <c r="W288" s="7" t="n"/>
      <c r="X288" s="7" t="n"/>
      <c r="AA288">
        <f>IF($D288="","",IF($AP288=1,0,IF($AO288=1,Settings!$C$6,Settings!$C$7))*100)</f>
        <v/>
      </c>
      <c r="AB288" s="7">
        <f>IF($D288="","",X288*AA288/100)</f>
        <v/>
      </c>
      <c r="AC288" s="7">
        <f>IF($D288="","",X288-AB288)</f>
        <v/>
      </c>
      <c r="AD288" s="7">
        <f>IF($D288="","",AC288-P288)</f>
        <v/>
      </c>
      <c r="AH288" s="7" t="n"/>
      <c r="AK288" s="11" t="n"/>
      <c r="AM288">
        <f>IF($D288="","",IF(COUNTIF($D$2:$D288,$D288)=1,1,0))</f>
        <v/>
      </c>
      <c r="AN288">
        <f>IF($AM288=1,SUMPRODUCT(--($AQ$2:$AQ$1001&lt;$AQ288))+1,"")</f>
        <v/>
      </c>
      <c r="AO288">
        <f>IF($D288="","",IF(OR($T288=TRUE(),$T288="TRUE"),1,0))</f>
        <v/>
      </c>
      <c r="AP288">
        <f>IF($D288="","",IF($Z288="Yes",1,0))</f>
        <v/>
      </c>
      <c r="AQ288">
        <f>IF($AM288=1,IFERROR(IF(VALUE($D288)&lt;100000000,VALUE($D288),1000000000),IFERROR(IF(VALUE(MID($D288,2,20))&lt;100000000,VALUE(MID($D288,2,20)),1000000000),1000000000))+ROW()/100000,"")</f>
        <v/>
      </c>
    </row>
    <row r="289">
      <c r="F289" s="11" t="n"/>
      <c r="P289" s="7">
        <f>IF($D289="","",O289*X289/100)</f>
        <v/>
      </c>
      <c r="Q289" s="7" t="n"/>
      <c r="W289" s="7" t="n"/>
      <c r="X289" s="7" t="n"/>
      <c r="AA289">
        <f>IF($D289="","",IF($AP289=1,0,IF($AO289=1,Settings!$C$6,Settings!$C$7))*100)</f>
        <v/>
      </c>
      <c r="AB289" s="7">
        <f>IF($D289="","",X289*AA289/100)</f>
        <v/>
      </c>
      <c r="AC289" s="7">
        <f>IF($D289="","",X289-AB289)</f>
        <v/>
      </c>
      <c r="AD289" s="7">
        <f>IF($D289="","",AC289-P289)</f>
        <v/>
      </c>
      <c r="AH289" s="7" t="n"/>
      <c r="AK289" s="11" t="n"/>
      <c r="AM289">
        <f>IF($D289="","",IF(COUNTIF($D$2:$D289,$D289)=1,1,0))</f>
        <v/>
      </c>
      <c r="AN289">
        <f>IF($AM289=1,SUMPRODUCT(--($AQ$2:$AQ$1001&lt;$AQ289))+1,"")</f>
        <v/>
      </c>
      <c r="AO289">
        <f>IF($D289="","",IF(OR($T289=TRUE(),$T289="TRUE"),1,0))</f>
        <v/>
      </c>
      <c r="AP289">
        <f>IF($D289="","",IF($Z289="Yes",1,0))</f>
        <v/>
      </c>
      <c r="AQ289">
        <f>IF($AM289=1,IFERROR(IF(VALUE($D289)&lt;100000000,VALUE($D289),1000000000),IFERROR(IF(VALUE(MID($D289,2,20))&lt;100000000,VALUE(MID($D289,2,20)),1000000000),1000000000))+ROW()/100000,"")</f>
        <v/>
      </c>
    </row>
    <row r="290">
      <c r="F290" s="11" t="n"/>
      <c r="P290" s="7">
        <f>IF($D290="","",O290*X290/100)</f>
        <v/>
      </c>
      <c r="Q290" s="7" t="n"/>
      <c r="W290" s="7" t="n"/>
      <c r="X290" s="7" t="n"/>
      <c r="AA290">
        <f>IF($D290="","",IF($AP290=1,0,IF($AO290=1,Settings!$C$6,Settings!$C$7))*100)</f>
        <v/>
      </c>
      <c r="AB290" s="7">
        <f>IF($D290="","",X290*AA290/100)</f>
        <v/>
      </c>
      <c r="AC290" s="7">
        <f>IF($D290="","",X290-AB290)</f>
        <v/>
      </c>
      <c r="AD290" s="7">
        <f>IF($D290="","",AC290-P290)</f>
        <v/>
      </c>
      <c r="AH290" s="7" t="n"/>
      <c r="AK290" s="11" t="n"/>
      <c r="AM290">
        <f>IF($D290="","",IF(COUNTIF($D$2:$D290,$D290)=1,1,0))</f>
        <v/>
      </c>
      <c r="AN290">
        <f>IF($AM290=1,SUMPRODUCT(--($AQ$2:$AQ$1001&lt;$AQ290))+1,"")</f>
        <v/>
      </c>
      <c r="AO290">
        <f>IF($D290="","",IF(OR($T290=TRUE(),$T290="TRUE"),1,0))</f>
        <v/>
      </c>
      <c r="AP290">
        <f>IF($D290="","",IF($Z290="Yes",1,0))</f>
        <v/>
      </c>
      <c r="AQ290">
        <f>IF($AM290=1,IFERROR(IF(VALUE($D290)&lt;100000000,VALUE($D290),1000000000),IFERROR(IF(VALUE(MID($D290,2,20))&lt;100000000,VALUE(MID($D290,2,20)),1000000000),1000000000))+ROW()/100000,"")</f>
        <v/>
      </c>
    </row>
    <row r="291">
      <c r="F291" s="11" t="n"/>
      <c r="P291" s="7">
        <f>IF($D291="","",O291*X291/100)</f>
        <v/>
      </c>
      <c r="Q291" s="7" t="n"/>
      <c r="W291" s="7" t="n"/>
      <c r="X291" s="7" t="n"/>
      <c r="AA291">
        <f>IF($D291="","",IF($AP291=1,0,IF($AO291=1,Settings!$C$6,Settings!$C$7))*100)</f>
        <v/>
      </c>
      <c r="AB291" s="7">
        <f>IF($D291="","",X291*AA291/100)</f>
        <v/>
      </c>
      <c r="AC291" s="7">
        <f>IF($D291="","",X291-AB291)</f>
        <v/>
      </c>
      <c r="AD291" s="7">
        <f>IF($D291="","",AC291-P291)</f>
        <v/>
      </c>
      <c r="AH291" s="7" t="n"/>
      <c r="AK291" s="11" t="n"/>
      <c r="AM291">
        <f>IF($D291="","",IF(COUNTIF($D$2:$D291,$D291)=1,1,0))</f>
        <v/>
      </c>
      <c r="AN291">
        <f>IF($AM291=1,SUMPRODUCT(--($AQ$2:$AQ$1001&lt;$AQ291))+1,"")</f>
        <v/>
      </c>
      <c r="AO291">
        <f>IF($D291="","",IF(OR($T291=TRUE(),$T291="TRUE"),1,0))</f>
        <v/>
      </c>
      <c r="AP291">
        <f>IF($D291="","",IF($Z291="Yes",1,0))</f>
        <v/>
      </c>
      <c r="AQ291">
        <f>IF($AM291=1,IFERROR(IF(VALUE($D291)&lt;100000000,VALUE($D291),1000000000),IFERROR(IF(VALUE(MID($D291,2,20))&lt;100000000,VALUE(MID($D291,2,20)),1000000000),1000000000))+ROW()/100000,"")</f>
        <v/>
      </c>
    </row>
    <row r="292">
      <c r="F292" s="11" t="n"/>
      <c r="P292" s="7">
        <f>IF($D292="","",O292*X292/100)</f>
        <v/>
      </c>
      <c r="Q292" s="7" t="n"/>
      <c r="W292" s="7" t="n"/>
      <c r="X292" s="7" t="n"/>
      <c r="AA292">
        <f>IF($D292="","",IF($AP292=1,0,IF($AO292=1,Settings!$C$6,Settings!$C$7))*100)</f>
        <v/>
      </c>
      <c r="AB292" s="7">
        <f>IF($D292="","",X292*AA292/100)</f>
        <v/>
      </c>
      <c r="AC292" s="7">
        <f>IF($D292="","",X292-AB292)</f>
        <v/>
      </c>
      <c r="AD292" s="7">
        <f>IF($D292="","",AC292-P292)</f>
        <v/>
      </c>
      <c r="AH292" s="7" t="n"/>
      <c r="AK292" s="11" t="n"/>
      <c r="AM292">
        <f>IF($D292="","",IF(COUNTIF($D$2:$D292,$D292)=1,1,0))</f>
        <v/>
      </c>
      <c r="AN292">
        <f>IF($AM292=1,SUMPRODUCT(--($AQ$2:$AQ$1001&lt;$AQ292))+1,"")</f>
        <v/>
      </c>
      <c r="AO292">
        <f>IF($D292="","",IF(OR($T292=TRUE(),$T292="TRUE"),1,0))</f>
        <v/>
      </c>
      <c r="AP292">
        <f>IF($D292="","",IF($Z292="Yes",1,0))</f>
        <v/>
      </c>
      <c r="AQ292">
        <f>IF($AM292=1,IFERROR(IF(VALUE($D292)&lt;100000000,VALUE($D292),1000000000),IFERROR(IF(VALUE(MID($D292,2,20))&lt;100000000,VALUE(MID($D292,2,20)),1000000000),1000000000))+ROW()/100000,"")</f>
        <v/>
      </c>
    </row>
    <row r="293">
      <c r="F293" s="11" t="n"/>
      <c r="P293" s="7">
        <f>IF($D293="","",O293*X293/100)</f>
        <v/>
      </c>
      <c r="Q293" s="7" t="n"/>
      <c r="W293" s="7" t="n"/>
      <c r="X293" s="7" t="n"/>
      <c r="AA293">
        <f>IF($D293="","",IF($AP293=1,0,IF($AO293=1,Settings!$C$6,Settings!$C$7))*100)</f>
        <v/>
      </c>
      <c r="AB293" s="7">
        <f>IF($D293="","",X293*AA293/100)</f>
        <v/>
      </c>
      <c r="AC293" s="7">
        <f>IF($D293="","",X293-AB293)</f>
        <v/>
      </c>
      <c r="AD293" s="7">
        <f>IF($D293="","",AC293-P293)</f>
        <v/>
      </c>
      <c r="AH293" s="7" t="n"/>
      <c r="AK293" s="11" t="n"/>
      <c r="AM293">
        <f>IF($D293="","",IF(COUNTIF($D$2:$D293,$D293)=1,1,0))</f>
        <v/>
      </c>
      <c r="AN293">
        <f>IF($AM293=1,SUMPRODUCT(--($AQ$2:$AQ$1001&lt;$AQ293))+1,"")</f>
        <v/>
      </c>
      <c r="AO293">
        <f>IF($D293="","",IF(OR($T293=TRUE(),$T293="TRUE"),1,0))</f>
        <v/>
      </c>
      <c r="AP293">
        <f>IF($D293="","",IF($Z293="Yes",1,0))</f>
        <v/>
      </c>
      <c r="AQ293">
        <f>IF($AM293=1,IFERROR(IF(VALUE($D293)&lt;100000000,VALUE($D293),1000000000),IFERROR(IF(VALUE(MID($D293,2,20))&lt;100000000,VALUE(MID($D293,2,20)),1000000000),1000000000))+ROW()/100000,"")</f>
        <v/>
      </c>
    </row>
    <row r="294">
      <c r="F294" s="11" t="n"/>
      <c r="P294" s="7">
        <f>IF($D294="","",O294*X294/100)</f>
        <v/>
      </c>
      <c r="Q294" s="7" t="n"/>
      <c r="W294" s="7" t="n"/>
      <c r="X294" s="7" t="n"/>
      <c r="AA294">
        <f>IF($D294="","",IF($AP294=1,0,IF($AO294=1,Settings!$C$6,Settings!$C$7))*100)</f>
        <v/>
      </c>
      <c r="AB294" s="7">
        <f>IF($D294="","",X294*AA294/100)</f>
        <v/>
      </c>
      <c r="AC294" s="7">
        <f>IF($D294="","",X294-AB294)</f>
        <v/>
      </c>
      <c r="AD294" s="7">
        <f>IF($D294="","",AC294-P294)</f>
        <v/>
      </c>
      <c r="AH294" s="7" t="n"/>
      <c r="AK294" s="11" t="n"/>
      <c r="AM294">
        <f>IF($D294="","",IF(COUNTIF($D$2:$D294,$D294)=1,1,0))</f>
        <v/>
      </c>
      <c r="AN294">
        <f>IF($AM294=1,SUMPRODUCT(--($AQ$2:$AQ$1001&lt;$AQ294))+1,"")</f>
        <v/>
      </c>
      <c r="AO294">
        <f>IF($D294="","",IF(OR($T294=TRUE(),$T294="TRUE"),1,0))</f>
        <v/>
      </c>
      <c r="AP294">
        <f>IF($D294="","",IF($Z294="Yes",1,0))</f>
        <v/>
      </c>
      <c r="AQ294">
        <f>IF($AM294=1,IFERROR(IF(VALUE($D294)&lt;100000000,VALUE($D294),1000000000),IFERROR(IF(VALUE(MID($D294,2,20))&lt;100000000,VALUE(MID($D294,2,20)),1000000000),1000000000))+ROW()/100000,"")</f>
        <v/>
      </c>
    </row>
    <row r="295">
      <c r="F295" s="11" t="n"/>
      <c r="P295" s="7">
        <f>IF($D295="","",O295*X295/100)</f>
        <v/>
      </c>
      <c r="Q295" s="7" t="n"/>
      <c r="W295" s="7" t="n"/>
      <c r="X295" s="7" t="n"/>
      <c r="AA295">
        <f>IF($D295="","",IF($AP295=1,0,IF($AO295=1,Settings!$C$6,Settings!$C$7))*100)</f>
        <v/>
      </c>
      <c r="AB295" s="7">
        <f>IF($D295="","",X295*AA295/100)</f>
        <v/>
      </c>
      <c r="AC295" s="7">
        <f>IF($D295="","",X295-AB295)</f>
        <v/>
      </c>
      <c r="AD295" s="7">
        <f>IF($D295="","",AC295-P295)</f>
        <v/>
      </c>
      <c r="AH295" s="7" t="n"/>
      <c r="AK295" s="11" t="n"/>
      <c r="AM295">
        <f>IF($D295="","",IF(COUNTIF($D$2:$D295,$D295)=1,1,0))</f>
        <v/>
      </c>
      <c r="AN295">
        <f>IF($AM295=1,SUMPRODUCT(--($AQ$2:$AQ$1001&lt;$AQ295))+1,"")</f>
        <v/>
      </c>
      <c r="AO295">
        <f>IF($D295="","",IF(OR($T295=TRUE(),$T295="TRUE"),1,0))</f>
        <v/>
      </c>
      <c r="AP295">
        <f>IF($D295="","",IF($Z295="Yes",1,0))</f>
        <v/>
      </c>
      <c r="AQ295">
        <f>IF($AM295=1,IFERROR(IF(VALUE($D295)&lt;100000000,VALUE($D295),1000000000),IFERROR(IF(VALUE(MID($D295,2,20))&lt;100000000,VALUE(MID($D295,2,20)),1000000000),1000000000))+ROW()/100000,"")</f>
        <v/>
      </c>
    </row>
    <row r="296">
      <c r="F296" s="11" t="n"/>
      <c r="P296" s="7">
        <f>IF($D296="","",O296*X296/100)</f>
        <v/>
      </c>
      <c r="Q296" s="7" t="n"/>
      <c r="W296" s="7" t="n"/>
      <c r="X296" s="7" t="n"/>
      <c r="AA296">
        <f>IF($D296="","",IF($AP296=1,0,IF($AO296=1,Settings!$C$6,Settings!$C$7))*100)</f>
        <v/>
      </c>
      <c r="AB296" s="7">
        <f>IF($D296="","",X296*AA296/100)</f>
        <v/>
      </c>
      <c r="AC296" s="7">
        <f>IF($D296="","",X296-AB296)</f>
        <v/>
      </c>
      <c r="AD296" s="7">
        <f>IF($D296="","",AC296-P296)</f>
        <v/>
      </c>
      <c r="AH296" s="7" t="n"/>
      <c r="AK296" s="11" t="n"/>
      <c r="AM296">
        <f>IF($D296="","",IF(COUNTIF($D$2:$D296,$D296)=1,1,0))</f>
        <v/>
      </c>
      <c r="AN296">
        <f>IF($AM296=1,SUMPRODUCT(--($AQ$2:$AQ$1001&lt;$AQ296))+1,"")</f>
        <v/>
      </c>
      <c r="AO296">
        <f>IF($D296="","",IF(OR($T296=TRUE(),$T296="TRUE"),1,0))</f>
        <v/>
      </c>
      <c r="AP296">
        <f>IF($D296="","",IF($Z296="Yes",1,0))</f>
        <v/>
      </c>
      <c r="AQ296">
        <f>IF($AM296=1,IFERROR(IF(VALUE($D296)&lt;100000000,VALUE($D296),1000000000),IFERROR(IF(VALUE(MID($D296,2,20))&lt;100000000,VALUE(MID($D296,2,20)),1000000000),1000000000))+ROW()/100000,"")</f>
        <v/>
      </c>
    </row>
    <row r="297">
      <c r="F297" s="11" t="n"/>
      <c r="P297" s="7">
        <f>IF($D297="","",O297*X297/100)</f>
        <v/>
      </c>
      <c r="Q297" s="7" t="n"/>
      <c r="W297" s="7" t="n"/>
      <c r="X297" s="7" t="n"/>
      <c r="AA297">
        <f>IF($D297="","",IF($AP297=1,0,IF($AO297=1,Settings!$C$6,Settings!$C$7))*100)</f>
        <v/>
      </c>
      <c r="AB297" s="7">
        <f>IF($D297="","",X297*AA297/100)</f>
        <v/>
      </c>
      <c r="AC297" s="7">
        <f>IF($D297="","",X297-AB297)</f>
        <v/>
      </c>
      <c r="AD297" s="7">
        <f>IF($D297="","",AC297-P297)</f>
        <v/>
      </c>
      <c r="AH297" s="7" t="n"/>
      <c r="AK297" s="11" t="n"/>
      <c r="AM297">
        <f>IF($D297="","",IF(COUNTIF($D$2:$D297,$D297)=1,1,0))</f>
        <v/>
      </c>
      <c r="AN297">
        <f>IF($AM297=1,SUMPRODUCT(--($AQ$2:$AQ$1001&lt;$AQ297))+1,"")</f>
        <v/>
      </c>
      <c r="AO297">
        <f>IF($D297="","",IF(OR($T297=TRUE(),$T297="TRUE"),1,0))</f>
        <v/>
      </c>
      <c r="AP297">
        <f>IF($D297="","",IF($Z297="Yes",1,0))</f>
        <v/>
      </c>
      <c r="AQ297">
        <f>IF($AM297=1,IFERROR(IF(VALUE($D297)&lt;100000000,VALUE($D297),1000000000),IFERROR(IF(VALUE(MID($D297,2,20))&lt;100000000,VALUE(MID($D297,2,20)),1000000000),1000000000))+ROW()/100000,"")</f>
        <v/>
      </c>
    </row>
    <row r="298">
      <c r="F298" s="11" t="n"/>
      <c r="P298" s="7">
        <f>IF($D298="","",O298*X298/100)</f>
        <v/>
      </c>
      <c r="Q298" s="7" t="n"/>
      <c r="W298" s="7" t="n"/>
      <c r="X298" s="7" t="n"/>
      <c r="AA298">
        <f>IF($D298="","",IF($AP298=1,0,IF($AO298=1,Settings!$C$6,Settings!$C$7))*100)</f>
        <v/>
      </c>
      <c r="AB298" s="7">
        <f>IF($D298="","",X298*AA298/100)</f>
        <v/>
      </c>
      <c r="AC298" s="7">
        <f>IF($D298="","",X298-AB298)</f>
        <v/>
      </c>
      <c r="AD298" s="7">
        <f>IF($D298="","",AC298-P298)</f>
        <v/>
      </c>
      <c r="AH298" s="7" t="n"/>
      <c r="AK298" s="11" t="n"/>
      <c r="AM298">
        <f>IF($D298="","",IF(COUNTIF($D$2:$D298,$D298)=1,1,0))</f>
        <v/>
      </c>
      <c r="AN298">
        <f>IF($AM298=1,SUMPRODUCT(--($AQ$2:$AQ$1001&lt;$AQ298))+1,"")</f>
        <v/>
      </c>
      <c r="AO298">
        <f>IF($D298="","",IF(OR($T298=TRUE(),$T298="TRUE"),1,0))</f>
        <v/>
      </c>
      <c r="AP298">
        <f>IF($D298="","",IF($Z298="Yes",1,0))</f>
        <v/>
      </c>
      <c r="AQ298">
        <f>IF($AM298=1,IFERROR(IF(VALUE($D298)&lt;100000000,VALUE($D298),1000000000),IFERROR(IF(VALUE(MID($D298,2,20))&lt;100000000,VALUE(MID($D298,2,20)),1000000000),1000000000))+ROW()/100000,"")</f>
        <v/>
      </c>
    </row>
    <row r="299">
      <c r="F299" s="11" t="n"/>
      <c r="P299" s="7">
        <f>IF($D299="","",O299*X299/100)</f>
        <v/>
      </c>
      <c r="Q299" s="7" t="n"/>
      <c r="W299" s="7" t="n"/>
      <c r="X299" s="7" t="n"/>
      <c r="AA299">
        <f>IF($D299="","",IF($AP299=1,0,IF($AO299=1,Settings!$C$6,Settings!$C$7))*100)</f>
        <v/>
      </c>
      <c r="AB299" s="7">
        <f>IF($D299="","",X299*AA299/100)</f>
        <v/>
      </c>
      <c r="AC299" s="7">
        <f>IF($D299="","",X299-AB299)</f>
        <v/>
      </c>
      <c r="AD299" s="7">
        <f>IF($D299="","",AC299-P299)</f>
        <v/>
      </c>
      <c r="AH299" s="7" t="n"/>
      <c r="AK299" s="11" t="n"/>
      <c r="AM299">
        <f>IF($D299="","",IF(COUNTIF($D$2:$D299,$D299)=1,1,0))</f>
        <v/>
      </c>
      <c r="AN299">
        <f>IF($AM299=1,SUMPRODUCT(--($AQ$2:$AQ$1001&lt;$AQ299))+1,"")</f>
        <v/>
      </c>
      <c r="AO299">
        <f>IF($D299="","",IF(OR($T299=TRUE(),$T299="TRUE"),1,0))</f>
        <v/>
      </c>
      <c r="AP299">
        <f>IF($D299="","",IF($Z299="Yes",1,0))</f>
        <v/>
      </c>
      <c r="AQ299">
        <f>IF($AM299=1,IFERROR(IF(VALUE($D299)&lt;100000000,VALUE($D299),1000000000),IFERROR(IF(VALUE(MID($D299,2,20))&lt;100000000,VALUE(MID($D299,2,20)),1000000000),1000000000))+ROW()/100000,"")</f>
        <v/>
      </c>
    </row>
    <row r="300">
      <c r="F300" s="11" t="n"/>
      <c r="P300" s="7">
        <f>IF($D300="","",O300*X300/100)</f>
        <v/>
      </c>
      <c r="Q300" s="7" t="n"/>
      <c r="W300" s="7" t="n"/>
      <c r="X300" s="7" t="n"/>
      <c r="AA300">
        <f>IF($D300="","",IF($AP300=1,0,IF($AO300=1,Settings!$C$6,Settings!$C$7))*100)</f>
        <v/>
      </c>
      <c r="AB300" s="7">
        <f>IF($D300="","",X300*AA300/100)</f>
        <v/>
      </c>
      <c r="AC300" s="7">
        <f>IF($D300="","",X300-AB300)</f>
        <v/>
      </c>
      <c r="AD300" s="7">
        <f>IF($D300="","",AC300-P300)</f>
        <v/>
      </c>
      <c r="AH300" s="7" t="n"/>
      <c r="AK300" s="11" t="n"/>
      <c r="AM300">
        <f>IF($D300="","",IF(COUNTIF($D$2:$D300,$D300)=1,1,0))</f>
        <v/>
      </c>
      <c r="AN300">
        <f>IF($AM300=1,SUMPRODUCT(--($AQ$2:$AQ$1001&lt;$AQ300))+1,"")</f>
        <v/>
      </c>
      <c r="AO300">
        <f>IF($D300="","",IF(OR($T300=TRUE(),$T300="TRUE"),1,0))</f>
        <v/>
      </c>
      <c r="AP300">
        <f>IF($D300="","",IF($Z300="Yes",1,0))</f>
        <v/>
      </c>
      <c r="AQ300">
        <f>IF($AM300=1,IFERROR(IF(VALUE($D300)&lt;100000000,VALUE($D300),1000000000),IFERROR(IF(VALUE(MID($D300,2,20))&lt;100000000,VALUE(MID($D300,2,20)),1000000000),1000000000))+ROW()/100000,"")</f>
        <v/>
      </c>
    </row>
    <row r="301">
      <c r="F301" s="11" t="n"/>
      <c r="P301" s="7">
        <f>IF($D301="","",O301*X301/100)</f>
        <v/>
      </c>
      <c r="Q301" s="7" t="n"/>
      <c r="W301" s="7" t="n"/>
      <c r="X301" s="7" t="n"/>
      <c r="AA301">
        <f>IF($D301="","",IF($AP301=1,0,IF($AO301=1,Settings!$C$6,Settings!$C$7))*100)</f>
        <v/>
      </c>
      <c r="AB301" s="7">
        <f>IF($D301="","",X301*AA301/100)</f>
        <v/>
      </c>
      <c r="AC301" s="7">
        <f>IF($D301="","",X301-AB301)</f>
        <v/>
      </c>
      <c r="AD301" s="7">
        <f>IF($D301="","",AC301-P301)</f>
        <v/>
      </c>
      <c r="AH301" s="7" t="n"/>
      <c r="AK301" s="11" t="n"/>
      <c r="AM301">
        <f>IF($D301="","",IF(COUNTIF($D$2:$D301,$D301)=1,1,0))</f>
        <v/>
      </c>
      <c r="AN301">
        <f>IF($AM301=1,SUMPRODUCT(--($AQ$2:$AQ$1001&lt;$AQ301))+1,"")</f>
        <v/>
      </c>
      <c r="AO301">
        <f>IF($D301="","",IF(OR($T301=TRUE(),$T301="TRUE"),1,0))</f>
        <v/>
      </c>
      <c r="AP301">
        <f>IF($D301="","",IF($Z301="Yes",1,0))</f>
        <v/>
      </c>
      <c r="AQ301">
        <f>IF($AM301=1,IFERROR(IF(VALUE($D301)&lt;100000000,VALUE($D301),1000000000),IFERROR(IF(VALUE(MID($D301,2,20))&lt;100000000,VALUE(MID($D301,2,20)),1000000000),1000000000))+ROW()/100000,"")</f>
        <v/>
      </c>
    </row>
    <row r="302">
      <c r="F302" s="11" t="n"/>
      <c r="P302" s="7">
        <f>IF($D302="","",O302*X302/100)</f>
        <v/>
      </c>
      <c r="Q302" s="7" t="n"/>
      <c r="W302" s="7" t="n"/>
      <c r="X302" s="7" t="n"/>
      <c r="AA302">
        <f>IF($D302="","",IF($AP302=1,0,IF($AO302=1,Settings!$C$6,Settings!$C$7))*100)</f>
        <v/>
      </c>
      <c r="AB302" s="7">
        <f>IF($D302="","",X302*AA302/100)</f>
        <v/>
      </c>
      <c r="AC302" s="7">
        <f>IF($D302="","",X302-AB302)</f>
        <v/>
      </c>
      <c r="AD302" s="7">
        <f>IF($D302="","",AC302-P302)</f>
        <v/>
      </c>
      <c r="AH302" s="7" t="n"/>
      <c r="AK302" s="11" t="n"/>
      <c r="AM302">
        <f>IF($D302="","",IF(COUNTIF($D$2:$D302,$D302)=1,1,0))</f>
        <v/>
      </c>
      <c r="AN302">
        <f>IF($AM302=1,SUMPRODUCT(--($AQ$2:$AQ$1001&lt;$AQ302))+1,"")</f>
        <v/>
      </c>
      <c r="AO302">
        <f>IF($D302="","",IF(OR($T302=TRUE(),$T302="TRUE"),1,0))</f>
        <v/>
      </c>
      <c r="AP302">
        <f>IF($D302="","",IF($Z302="Yes",1,0))</f>
        <v/>
      </c>
      <c r="AQ302">
        <f>IF($AM302=1,IFERROR(IF(VALUE($D302)&lt;100000000,VALUE($D302),1000000000),IFERROR(IF(VALUE(MID($D302,2,20))&lt;100000000,VALUE(MID($D302,2,20)),1000000000),1000000000))+ROW()/100000,"")</f>
        <v/>
      </c>
    </row>
    <row r="303">
      <c r="F303" s="11" t="n"/>
      <c r="P303" s="7">
        <f>IF($D303="","",O303*X303/100)</f>
        <v/>
      </c>
      <c r="Q303" s="7" t="n"/>
      <c r="W303" s="7" t="n"/>
      <c r="X303" s="7" t="n"/>
      <c r="AA303">
        <f>IF($D303="","",IF($AP303=1,0,IF($AO303=1,Settings!$C$6,Settings!$C$7))*100)</f>
        <v/>
      </c>
      <c r="AB303" s="7">
        <f>IF($D303="","",X303*AA303/100)</f>
        <v/>
      </c>
      <c r="AC303" s="7">
        <f>IF($D303="","",X303-AB303)</f>
        <v/>
      </c>
      <c r="AD303" s="7">
        <f>IF($D303="","",AC303-P303)</f>
        <v/>
      </c>
      <c r="AH303" s="7" t="n"/>
      <c r="AK303" s="11" t="n"/>
      <c r="AM303">
        <f>IF($D303="","",IF(COUNTIF($D$2:$D303,$D303)=1,1,0))</f>
        <v/>
      </c>
      <c r="AN303">
        <f>IF($AM303=1,SUMPRODUCT(--($AQ$2:$AQ$1001&lt;$AQ303))+1,"")</f>
        <v/>
      </c>
      <c r="AO303">
        <f>IF($D303="","",IF(OR($T303=TRUE(),$T303="TRUE"),1,0))</f>
        <v/>
      </c>
      <c r="AP303">
        <f>IF($D303="","",IF($Z303="Yes",1,0))</f>
        <v/>
      </c>
      <c r="AQ303">
        <f>IF($AM303=1,IFERROR(IF(VALUE($D303)&lt;100000000,VALUE($D303),1000000000),IFERROR(IF(VALUE(MID($D303,2,20))&lt;100000000,VALUE(MID($D303,2,20)),1000000000),1000000000))+ROW()/100000,"")</f>
        <v/>
      </c>
    </row>
    <row r="304">
      <c r="F304" s="11" t="n"/>
      <c r="P304" s="7">
        <f>IF($D304="","",O304*X304/100)</f>
        <v/>
      </c>
      <c r="Q304" s="7" t="n"/>
      <c r="W304" s="7" t="n"/>
      <c r="X304" s="7" t="n"/>
      <c r="AA304">
        <f>IF($D304="","",IF($AP304=1,0,IF($AO304=1,Settings!$C$6,Settings!$C$7))*100)</f>
        <v/>
      </c>
      <c r="AB304" s="7">
        <f>IF($D304="","",X304*AA304/100)</f>
        <v/>
      </c>
      <c r="AC304" s="7">
        <f>IF($D304="","",X304-AB304)</f>
        <v/>
      </c>
      <c r="AD304" s="7">
        <f>IF($D304="","",AC304-P304)</f>
        <v/>
      </c>
      <c r="AH304" s="7" t="n"/>
      <c r="AK304" s="11" t="n"/>
      <c r="AM304">
        <f>IF($D304="","",IF(COUNTIF($D$2:$D304,$D304)=1,1,0))</f>
        <v/>
      </c>
      <c r="AN304">
        <f>IF($AM304=1,SUMPRODUCT(--($AQ$2:$AQ$1001&lt;$AQ304))+1,"")</f>
        <v/>
      </c>
      <c r="AO304">
        <f>IF($D304="","",IF(OR($T304=TRUE(),$T304="TRUE"),1,0))</f>
        <v/>
      </c>
      <c r="AP304">
        <f>IF($D304="","",IF($Z304="Yes",1,0))</f>
        <v/>
      </c>
      <c r="AQ304">
        <f>IF($AM304=1,IFERROR(IF(VALUE($D304)&lt;100000000,VALUE($D304),1000000000),IFERROR(IF(VALUE(MID($D304,2,20))&lt;100000000,VALUE(MID($D304,2,20)),1000000000),1000000000))+ROW()/100000,"")</f>
        <v/>
      </c>
    </row>
    <row r="305">
      <c r="F305" s="11" t="n"/>
      <c r="P305" s="7">
        <f>IF($D305="","",O305*X305/100)</f>
        <v/>
      </c>
      <c r="Q305" s="7" t="n"/>
      <c r="W305" s="7" t="n"/>
      <c r="X305" s="7" t="n"/>
      <c r="AA305">
        <f>IF($D305="","",IF($AP305=1,0,IF($AO305=1,Settings!$C$6,Settings!$C$7))*100)</f>
        <v/>
      </c>
      <c r="AB305" s="7">
        <f>IF($D305="","",X305*AA305/100)</f>
        <v/>
      </c>
      <c r="AC305" s="7">
        <f>IF($D305="","",X305-AB305)</f>
        <v/>
      </c>
      <c r="AD305" s="7">
        <f>IF($D305="","",AC305-P305)</f>
        <v/>
      </c>
      <c r="AH305" s="7" t="n"/>
      <c r="AK305" s="11" t="n"/>
      <c r="AM305">
        <f>IF($D305="","",IF(COUNTIF($D$2:$D305,$D305)=1,1,0))</f>
        <v/>
      </c>
      <c r="AN305">
        <f>IF($AM305=1,SUMPRODUCT(--($AQ$2:$AQ$1001&lt;$AQ305))+1,"")</f>
        <v/>
      </c>
      <c r="AO305">
        <f>IF($D305="","",IF(OR($T305=TRUE(),$T305="TRUE"),1,0))</f>
        <v/>
      </c>
      <c r="AP305">
        <f>IF($D305="","",IF($Z305="Yes",1,0))</f>
        <v/>
      </c>
      <c r="AQ305">
        <f>IF($AM305=1,IFERROR(IF(VALUE($D305)&lt;100000000,VALUE($D305),1000000000),IFERROR(IF(VALUE(MID($D305,2,20))&lt;100000000,VALUE(MID($D305,2,20)),1000000000),1000000000))+ROW()/100000,"")</f>
        <v/>
      </c>
    </row>
    <row r="306">
      <c r="F306" s="11" t="n"/>
      <c r="P306" s="7">
        <f>IF($D306="","",O306*X306/100)</f>
        <v/>
      </c>
      <c r="Q306" s="7" t="n"/>
      <c r="W306" s="7" t="n"/>
      <c r="X306" s="7" t="n"/>
      <c r="AA306">
        <f>IF($D306="","",IF($AP306=1,0,IF($AO306=1,Settings!$C$6,Settings!$C$7))*100)</f>
        <v/>
      </c>
      <c r="AB306" s="7">
        <f>IF($D306="","",X306*AA306/100)</f>
        <v/>
      </c>
      <c r="AC306" s="7">
        <f>IF($D306="","",X306-AB306)</f>
        <v/>
      </c>
      <c r="AD306" s="7">
        <f>IF($D306="","",AC306-P306)</f>
        <v/>
      </c>
      <c r="AH306" s="7" t="n"/>
      <c r="AK306" s="11" t="n"/>
      <c r="AM306">
        <f>IF($D306="","",IF(COUNTIF($D$2:$D306,$D306)=1,1,0))</f>
        <v/>
      </c>
      <c r="AN306">
        <f>IF($AM306=1,SUMPRODUCT(--($AQ$2:$AQ$1001&lt;$AQ306))+1,"")</f>
        <v/>
      </c>
      <c r="AO306">
        <f>IF($D306="","",IF(OR($T306=TRUE(),$T306="TRUE"),1,0))</f>
        <v/>
      </c>
      <c r="AP306">
        <f>IF($D306="","",IF($Z306="Yes",1,0))</f>
        <v/>
      </c>
      <c r="AQ306">
        <f>IF($AM306=1,IFERROR(IF(VALUE($D306)&lt;100000000,VALUE($D306),1000000000),IFERROR(IF(VALUE(MID($D306,2,20))&lt;100000000,VALUE(MID($D306,2,20)),1000000000),1000000000))+ROW()/100000,"")</f>
        <v/>
      </c>
    </row>
    <row r="307">
      <c r="F307" s="11" t="n"/>
      <c r="P307" s="7">
        <f>IF($D307="","",O307*X307/100)</f>
        <v/>
      </c>
      <c r="Q307" s="7" t="n"/>
      <c r="W307" s="7" t="n"/>
      <c r="X307" s="7" t="n"/>
      <c r="AA307">
        <f>IF($D307="","",IF($AP307=1,0,IF($AO307=1,Settings!$C$6,Settings!$C$7))*100)</f>
        <v/>
      </c>
      <c r="AB307" s="7">
        <f>IF($D307="","",X307*AA307/100)</f>
        <v/>
      </c>
      <c r="AC307" s="7">
        <f>IF($D307="","",X307-AB307)</f>
        <v/>
      </c>
      <c r="AD307" s="7">
        <f>IF($D307="","",AC307-P307)</f>
        <v/>
      </c>
      <c r="AH307" s="7" t="n"/>
      <c r="AK307" s="11" t="n"/>
      <c r="AM307">
        <f>IF($D307="","",IF(COUNTIF($D$2:$D307,$D307)=1,1,0))</f>
        <v/>
      </c>
      <c r="AN307">
        <f>IF($AM307=1,SUMPRODUCT(--($AQ$2:$AQ$1001&lt;$AQ307))+1,"")</f>
        <v/>
      </c>
      <c r="AO307">
        <f>IF($D307="","",IF(OR($T307=TRUE(),$T307="TRUE"),1,0))</f>
        <v/>
      </c>
      <c r="AP307">
        <f>IF($D307="","",IF($Z307="Yes",1,0))</f>
        <v/>
      </c>
      <c r="AQ307">
        <f>IF($AM307=1,IFERROR(IF(VALUE($D307)&lt;100000000,VALUE($D307),1000000000),IFERROR(IF(VALUE(MID($D307,2,20))&lt;100000000,VALUE(MID($D307,2,20)),1000000000),1000000000))+ROW()/100000,"")</f>
        <v/>
      </c>
    </row>
    <row r="308">
      <c r="F308" s="11" t="n"/>
      <c r="P308" s="7">
        <f>IF($D308="","",O308*X308/100)</f>
        <v/>
      </c>
      <c r="Q308" s="7" t="n"/>
      <c r="W308" s="7" t="n"/>
      <c r="X308" s="7" t="n"/>
      <c r="AA308">
        <f>IF($D308="","",IF($AP308=1,0,IF($AO308=1,Settings!$C$6,Settings!$C$7))*100)</f>
        <v/>
      </c>
      <c r="AB308" s="7">
        <f>IF($D308="","",X308*AA308/100)</f>
        <v/>
      </c>
      <c r="AC308" s="7">
        <f>IF($D308="","",X308-AB308)</f>
        <v/>
      </c>
      <c r="AD308" s="7">
        <f>IF($D308="","",AC308-P308)</f>
        <v/>
      </c>
      <c r="AH308" s="7" t="n"/>
      <c r="AK308" s="11" t="n"/>
      <c r="AM308">
        <f>IF($D308="","",IF(COUNTIF($D$2:$D308,$D308)=1,1,0))</f>
        <v/>
      </c>
      <c r="AN308">
        <f>IF($AM308=1,SUMPRODUCT(--($AQ$2:$AQ$1001&lt;$AQ308))+1,"")</f>
        <v/>
      </c>
      <c r="AO308">
        <f>IF($D308="","",IF(OR($T308=TRUE(),$T308="TRUE"),1,0))</f>
        <v/>
      </c>
      <c r="AP308">
        <f>IF($D308="","",IF($Z308="Yes",1,0))</f>
        <v/>
      </c>
      <c r="AQ308">
        <f>IF($AM308=1,IFERROR(IF(VALUE($D308)&lt;100000000,VALUE($D308),1000000000),IFERROR(IF(VALUE(MID($D308,2,20))&lt;100000000,VALUE(MID($D308,2,20)),1000000000),1000000000))+ROW()/100000,"")</f>
        <v/>
      </c>
    </row>
    <row r="309">
      <c r="F309" s="11" t="n"/>
      <c r="P309" s="7">
        <f>IF($D309="","",O309*X309/100)</f>
        <v/>
      </c>
      <c r="Q309" s="7" t="n"/>
      <c r="W309" s="7" t="n"/>
      <c r="X309" s="7" t="n"/>
      <c r="AA309">
        <f>IF($D309="","",IF($AP309=1,0,IF($AO309=1,Settings!$C$6,Settings!$C$7))*100)</f>
        <v/>
      </c>
      <c r="AB309" s="7">
        <f>IF($D309="","",X309*AA309/100)</f>
        <v/>
      </c>
      <c r="AC309" s="7">
        <f>IF($D309="","",X309-AB309)</f>
        <v/>
      </c>
      <c r="AD309" s="7">
        <f>IF($D309="","",AC309-P309)</f>
        <v/>
      </c>
      <c r="AH309" s="7" t="n"/>
      <c r="AK309" s="11" t="n"/>
      <c r="AM309">
        <f>IF($D309="","",IF(COUNTIF($D$2:$D309,$D309)=1,1,0))</f>
        <v/>
      </c>
      <c r="AN309">
        <f>IF($AM309=1,SUMPRODUCT(--($AQ$2:$AQ$1001&lt;$AQ309))+1,"")</f>
        <v/>
      </c>
      <c r="AO309">
        <f>IF($D309="","",IF(OR($T309=TRUE(),$T309="TRUE"),1,0))</f>
        <v/>
      </c>
      <c r="AP309">
        <f>IF($D309="","",IF($Z309="Yes",1,0))</f>
        <v/>
      </c>
      <c r="AQ309">
        <f>IF($AM309=1,IFERROR(IF(VALUE($D309)&lt;100000000,VALUE($D309),1000000000),IFERROR(IF(VALUE(MID($D309,2,20))&lt;100000000,VALUE(MID($D309,2,20)),1000000000),1000000000))+ROW()/100000,"")</f>
        <v/>
      </c>
    </row>
    <row r="310">
      <c r="F310" s="11" t="n"/>
      <c r="P310" s="7">
        <f>IF($D310="","",O310*X310/100)</f>
        <v/>
      </c>
      <c r="Q310" s="7" t="n"/>
      <c r="W310" s="7" t="n"/>
      <c r="X310" s="7" t="n"/>
      <c r="AA310">
        <f>IF($D310="","",IF($AP310=1,0,IF($AO310=1,Settings!$C$6,Settings!$C$7))*100)</f>
        <v/>
      </c>
      <c r="AB310" s="7">
        <f>IF($D310="","",X310*AA310/100)</f>
        <v/>
      </c>
      <c r="AC310" s="7">
        <f>IF($D310="","",X310-AB310)</f>
        <v/>
      </c>
      <c r="AD310" s="7">
        <f>IF($D310="","",AC310-P310)</f>
        <v/>
      </c>
      <c r="AH310" s="7" t="n"/>
      <c r="AK310" s="11" t="n"/>
      <c r="AM310">
        <f>IF($D310="","",IF(COUNTIF($D$2:$D310,$D310)=1,1,0))</f>
        <v/>
      </c>
      <c r="AN310">
        <f>IF($AM310=1,SUMPRODUCT(--($AQ$2:$AQ$1001&lt;$AQ310))+1,"")</f>
        <v/>
      </c>
      <c r="AO310">
        <f>IF($D310="","",IF(OR($T310=TRUE(),$T310="TRUE"),1,0))</f>
        <v/>
      </c>
      <c r="AP310">
        <f>IF($D310="","",IF($Z310="Yes",1,0))</f>
        <v/>
      </c>
      <c r="AQ310">
        <f>IF($AM310=1,IFERROR(IF(VALUE($D310)&lt;100000000,VALUE($D310),1000000000),IFERROR(IF(VALUE(MID($D310,2,20))&lt;100000000,VALUE(MID($D310,2,20)),1000000000),1000000000))+ROW()/100000,"")</f>
        <v/>
      </c>
    </row>
    <row r="311">
      <c r="F311" s="11" t="n"/>
      <c r="P311" s="7">
        <f>IF($D311="","",O311*X311/100)</f>
        <v/>
      </c>
      <c r="Q311" s="7" t="n"/>
      <c r="W311" s="7" t="n"/>
      <c r="X311" s="7" t="n"/>
      <c r="AA311">
        <f>IF($D311="","",IF($AP311=1,0,IF($AO311=1,Settings!$C$6,Settings!$C$7))*100)</f>
        <v/>
      </c>
      <c r="AB311" s="7">
        <f>IF($D311="","",X311*AA311/100)</f>
        <v/>
      </c>
      <c r="AC311" s="7">
        <f>IF($D311="","",X311-AB311)</f>
        <v/>
      </c>
      <c r="AD311" s="7">
        <f>IF($D311="","",AC311-P311)</f>
        <v/>
      </c>
      <c r="AH311" s="7" t="n"/>
      <c r="AK311" s="11" t="n"/>
      <c r="AM311">
        <f>IF($D311="","",IF(COUNTIF($D$2:$D311,$D311)=1,1,0))</f>
        <v/>
      </c>
      <c r="AN311">
        <f>IF($AM311=1,SUMPRODUCT(--($AQ$2:$AQ$1001&lt;$AQ311))+1,"")</f>
        <v/>
      </c>
      <c r="AO311">
        <f>IF($D311="","",IF(OR($T311=TRUE(),$T311="TRUE"),1,0))</f>
        <v/>
      </c>
      <c r="AP311">
        <f>IF($D311="","",IF($Z311="Yes",1,0))</f>
        <v/>
      </c>
      <c r="AQ311">
        <f>IF($AM311=1,IFERROR(IF(VALUE($D311)&lt;100000000,VALUE($D311),1000000000),IFERROR(IF(VALUE(MID($D311,2,20))&lt;100000000,VALUE(MID($D311,2,20)),1000000000),1000000000))+ROW()/100000,"")</f>
        <v/>
      </c>
    </row>
    <row r="312">
      <c r="F312" s="11" t="n"/>
      <c r="P312" s="7">
        <f>IF($D312="","",O312*X312/100)</f>
        <v/>
      </c>
      <c r="Q312" s="7" t="n"/>
      <c r="W312" s="7" t="n"/>
      <c r="X312" s="7" t="n"/>
      <c r="AA312">
        <f>IF($D312="","",IF($AP312=1,0,IF($AO312=1,Settings!$C$6,Settings!$C$7))*100)</f>
        <v/>
      </c>
      <c r="AB312" s="7">
        <f>IF($D312="","",X312*AA312/100)</f>
        <v/>
      </c>
      <c r="AC312" s="7">
        <f>IF($D312="","",X312-AB312)</f>
        <v/>
      </c>
      <c r="AD312" s="7">
        <f>IF($D312="","",AC312-P312)</f>
        <v/>
      </c>
      <c r="AH312" s="7" t="n"/>
      <c r="AK312" s="11" t="n"/>
      <c r="AM312">
        <f>IF($D312="","",IF(COUNTIF($D$2:$D312,$D312)=1,1,0))</f>
        <v/>
      </c>
      <c r="AN312">
        <f>IF($AM312=1,SUMPRODUCT(--($AQ$2:$AQ$1001&lt;$AQ312))+1,"")</f>
        <v/>
      </c>
      <c r="AO312">
        <f>IF($D312="","",IF(OR($T312=TRUE(),$T312="TRUE"),1,0))</f>
        <v/>
      </c>
      <c r="AP312">
        <f>IF($D312="","",IF($Z312="Yes",1,0))</f>
        <v/>
      </c>
      <c r="AQ312">
        <f>IF($AM312=1,IFERROR(IF(VALUE($D312)&lt;100000000,VALUE($D312),1000000000),IFERROR(IF(VALUE(MID($D312,2,20))&lt;100000000,VALUE(MID($D312,2,20)),1000000000),1000000000))+ROW()/100000,"")</f>
        <v/>
      </c>
    </row>
    <row r="313">
      <c r="F313" s="11" t="n"/>
      <c r="P313" s="7">
        <f>IF($D313="","",O313*X313/100)</f>
        <v/>
      </c>
      <c r="Q313" s="7" t="n"/>
      <c r="W313" s="7" t="n"/>
      <c r="X313" s="7" t="n"/>
      <c r="AA313">
        <f>IF($D313="","",IF($AP313=1,0,IF($AO313=1,Settings!$C$6,Settings!$C$7))*100)</f>
        <v/>
      </c>
      <c r="AB313" s="7">
        <f>IF($D313="","",X313*AA313/100)</f>
        <v/>
      </c>
      <c r="AC313" s="7">
        <f>IF($D313="","",X313-AB313)</f>
        <v/>
      </c>
      <c r="AD313" s="7">
        <f>IF($D313="","",AC313-P313)</f>
        <v/>
      </c>
      <c r="AH313" s="7" t="n"/>
      <c r="AK313" s="11" t="n"/>
      <c r="AM313">
        <f>IF($D313="","",IF(COUNTIF($D$2:$D313,$D313)=1,1,0))</f>
        <v/>
      </c>
      <c r="AN313">
        <f>IF($AM313=1,SUMPRODUCT(--($AQ$2:$AQ$1001&lt;$AQ313))+1,"")</f>
        <v/>
      </c>
      <c r="AO313">
        <f>IF($D313="","",IF(OR($T313=TRUE(),$T313="TRUE"),1,0))</f>
        <v/>
      </c>
      <c r="AP313">
        <f>IF($D313="","",IF($Z313="Yes",1,0))</f>
        <v/>
      </c>
      <c r="AQ313">
        <f>IF($AM313=1,IFERROR(IF(VALUE($D313)&lt;100000000,VALUE($D313),1000000000),IFERROR(IF(VALUE(MID($D313,2,20))&lt;100000000,VALUE(MID($D313,2,20)),1000000000),1000000000))+ROW()/100000,"")</f>
        <v/>
      </c>
    </row>
    <row r="314">
      <c r="F314" s="11" t="n"/>
      <c r="P314" s="7">
        <f>IF($D314="","",O314*X314/100)</f>
        <v/>
      </c>
      <c r="Q314" s="7" t="n"/>
      <c r="W314" s="7" t="n"/>
      <c r="X314" s="7" t="n"/>
      <c r="AA314">
        <f>IF($D314="","",IF($AP314=1,0,IF($AO314=1,Settings!$C$6,Settings!$C$7))*100)</f>
        <v/>
      </c>
      <c r="AB314" s="7">
        <f>IF($D314="","",X314*AA314/100)</f>
        <v/>
      </c>
      <c r="AC314" s="7">
        <f>IF($D314="","",X314-AB314)</f>
        <v/>
      </c>
      <c r="AD314" s="7">
        <f>IF($D314="","",AC314-P314)</f>
        <v/>
      </c>
      <c r="AH314" s="7" t="n"/>
      <c r="AK314" s="11" t="n"/>
      <c r="AM314">
        <f>IF($D314="","",IF(COUNTIF($D$2:$D314,$D314)=1,1,0))</f>
        <v/>
      </c>
      <c r="AN314">
        <f>IF($AM314=1,SUMPRODUCT(--($AQ$2:$AQ$1001&lt;$AQ314))+1,"")</f>
        <v/>
      </c>
      <c r="AO314">
        <f>IF($D314="","",IF(OR($T314=TRUE(),$T314="TRUE"),1,0))</f>
        <v/>
      </c>
      <c r="AP314">
        <f>IF($D314="","",IF($Z314="Yes",1,0))</f>
        <v/>
      </c>
      <c r="AQ314">
        <f>IF($AM314=1,IFERROR(IF(VALUE($D314)&lt;100000000,VALUE($D314),1000000000),IFERROR(IF(VALUE(MID($D314,2,20))&lt;100000000,VALUE(MID($D314,2,20)),1000000000),1000000000))+ROW()/100000,"")</f>
        <v/>
      </c>
    </row>
    <row r="315">
      <c r="F315" s="11" t="n"/>
      <c r="P315" s="7">
        <f>IF($D315="","",O315*X315/100)</f>
        <v/>
      </c>
      <c r="Q315" s="7" t="n"/>
      <c r="W315" s="7" t="n"/>
      <c r="X315" s="7" t="n"/>
      <c r="AA315">
        <f>IF($D315="","",IF($AP315=1,0,IF($AO315=1,Settings!$C$6,Settings!$C$7))*100)</f>
        <v/>
      </c>
      <c r="AB315" s="7">
        <f>IF($D315="","",X315*AA315/100)</f>
        <v/>
      </c>
      <c r="AC315" s="7">
        <f>IF($D315="","",X315-AB315)</f>
        <v/>
      </c>
      <c r="AD315" s="7">
        <f>IF($D315="","",AC315-P315)</f>
        <v/>
      </c>
      <c r="AH315" s="7" t="n"/>
      <c r="AK315" s="11" t="n"/>
      <c r="AM315">
        <f>IF($D315="","",IF(COUNTIF($D$2:$D315,$D315)=1,1,0))</f>
        <v/>
      </c>
      <c r="AN315">
        <f>IF($AM315=1,SUMPRODUCT(--($AQ$2:$AQ$1001&lt;$AQ315))+1,"")</f>
        <v/>
      </c>
      <c r="AO315">
        <f>IF($D315="","",IF(OR($T315=TRUE(),$T315="TRUE"),1,0))</f>
        <v/>
      </c>
      <c r="AP315">
        <f>IF($D315="","",IF($Z315="Yes",1,0))</f>
        <v/>
      </c>
      <c r="AQ315">
        <f>IF($AM315=1,IFERROR(IF(VALUE($D315)&lt;100000000,VALUE($D315),1000000000),IFERROR(IF(VALUE(MID($D315,2,20))&lt;100000000,VALUE(MID($D315,2,20)),1000000000),1000000000))+ROW()/100000,"")</f>
        <v/>
      </c>
    </row>
    <row r="316">
      <c r="F316" s="11" t="n"/>
      <c r="P316" s="7">
        <f>IF($D316="","",O316*X316/100)</f>
        <v/>
      </c>
      <c r="Q316" s="7" t="n"/>
      <c r="W316" s="7" t="n"/>
      <c r="X316" s="7" t="n"/>
      <c r="AA316">
        <f>IF($D316="","",IF($AP316=1,0,IF($AO316=1,Settings!$C$6,Settings!$C$7))*100)</f>
        <v/>
      </c>
      <c r="AB316" s="7">
        <f>IF($D316="","",X316*AA316/100)</f>
        <v/>
      </c>
      <c r="AC316" s="7">
        <f>IF($D316="","",X316-AB316)</f>
        <v/>
      </c>
      <c r="AD316" s="7">
        <f>IF($D316="","",AC316-P316)</f>
        <v/>
      </c>
      <c r="AH316" s="7" t="n"/>
      <c r="AK316" s="11" t="n"/>
      <c r="AM316">
        <f>IF($D316="","",IF(COUNTIF($D$2:$D316,$D316)=1,1,0))</f>
        <v/>
      </c>
      <c r="AN316">
        <f>IF($AM316=1,SUMPRODUCT(--($AQ$2:$AQ$1001&lt;$AQ316))+1,"")</f>
        <v/>
      </c>
      <c r="AO316">
        <f>IF($D316="","",IF(OR($T316=TRUE(),$T316="TRUE"),1,0))</f>
        <v/>
      </c>
      <c r="AP316">
        <f>IF($D316="","",IF($Z316="Yes",1,0))</f>
        <v/>
      </c>
      <c r="AQ316">
        <f>IF($AM316=1,IFERROR(IF(VALUE($D316)&lt;100000000,VALUE($D316),1000000000),IFERROR(IF(VALUE(MID($D316,2,20))&lt;100000000,VALUE(MID($D316,2,20)),1000000000),1000000000))+ROW()/100000,"")</f>
        <v/>
      </c>
    </row>
    <row r="317">
      <c r="F317" s="11" t="n"/>
      <c r="P317" s="7">
        <f>IF($D317="","",O317*X317/100)</f>
        <v/>
      </c>
      <c r="Q317" s="7" t="n"/>
      <c r="W317" s="7" t="n"/>
      <c r="X317" s="7" t="n"/>
      <c r="AA317">
        <f>IF($D317="","",IF($AP317=1,0,IF($AO317=1,Settings!$C$6,Settings!$C$7))*100)</f>
        <v/>
      </c>
      <c r="AB317" s="7">
        <f>IF($D317="","",X317*AA317/100)</f>
        <v/>
      </c>
      <c r="AC317" s="7">
        <f>IF($D317="","",X317-AB317)</f>
        <v/>
      </c>
      <c r="AD317" s="7">
        <f>IF($D317="","",AC317-P317)</f>
        <v/>
      </c>
      <c r="AH317" s="7" t="n"/>
      <c r="AK317" s="11" t="n"/>
      <c r="AM317">
        <f>IF($D317="","",IF(COUNTIF($D$2:$D317,$D317)=1,1,0))</f>
        <v/>
      </c>
      <c r="AN317">
        <f>IF($AM317=1,SUMPRODUCT(--($AQ$2:$AQ$1001&lt;$AQ317))+1,"")</f>
        <v/>
      </c>
      <c r="AO317">
        <f>IF($D317="","",IF(OR($T317=TRUE(),$T317="TRUE"),1,0))</f>
        <v/>
      </c>
      <c r="AP317">
        <f>IF($D317="","",IF($Z317="Yes",1,0))</f>
        <v/>
      </c>
      <c r="AQ317">
        <f>IF($AM317=1,IFERROR(IF(VALUE($D317)&lt;100000000,VALUE($D317),1000000000),IFERROR(IF(VALUE(MID($D317,2,20))&lt;100000000,VALUE(MID($D317,2,20)),1000000000),1000000000))+ROW()/100000,"")</f>
        <v/>
      </c>
    </row>
    <row r="318">
      <c r="F318" s="11" t="n"/>
      <c r="P318" s="7">
        <f>IF($D318="","",O318*X318/100)</f>
        <v/>
      </c>
      <c r="Q318" s="7" t="n"/>
      <c r="W318" s="7" t="n"/>
      <c r="X318" s="7" t="n"/>
      <c r="AA318">
        <f>IF($D318="","",IF($AP318=1,0,IF($AO318=1,Settings!$C$6,Settings!$C$7))*100)</f>
        <v/>
      </c>
      <c r="AB318" s="7">
        <f>IF($D318="","",X318*AA318/100)</f>
        <v/>
      </c>
      <c r="AC318" s="7">
        <f>IF($D318="","",X318-AB318)</f>
        <v/>
      </c>
      <c r="AD318" s="7">
        <f>IF($D318="","",AC318-P318)</f>
        <v/>
      </c>
      <c r="AH318" s="7" t="n"/>
      <c r="AK318" s="11" t="n"/>
      <c r="AM318">
        <f>IF($D318="","",IF(COUNTIF($D$2:$D318,$D318)=1,1,0))</f>
        <v/>
      </c>
      <c r="AN318">
        <f>IF($AM318=1,SUMPRODUCT(--($AQ$2:$AQ$1001&lt;$AQ318))+1,"")</f>
        <v/>
      </c>
      <c r="AO318">
        <f>IF($D318="","",IF(OR($T318=TRUE(),$T318="TRUE"),1,0))</f>
        <v/>
      </c>
      <c r="AP318">
        <f>IF($D318="","",IF($Z318="Yes",1,0))</f>
        <v/>
      </c>
      <c r="AQ318">
        <f>IF($AM318=1,IFERROR(IF(VALUE($D318)&lt;100000000,VALUE($D318),1000000000),IFERROR(IF(VALUE(MID($D318,2,20))&lt;100000000,VALUE(MID($D318,2,20)),1000000000),1000000000))+ROW()/100000,"")</f>
        <v/>
      </c>
    </row>
    <row r="319">
      <c r="F319" s="11" t="n"/>
      <c r="P319" s="7">
        <f>IF($D319="","",O319*X319/100)</f>
        <v/>
      </c>
      <c r="Q319" s="7" t="n"/>
      <c r="W319" s="7" t="n"/>
      <c r="X319" s="7" t="n"/>
      <c r="AA319">
        <f>IF($D319="","",IF($AP319=1,0,IF($AO319=1,Settings!$C$6,Settings!$C$7))*100)</f>
        <v/>
      </c>
      <c r="AB319" s="7">
        <f>IF($D319="","",X319*AA319/100)</f>
        <v/>
      </c>
      <c r="AC319" s="7">
        <f>IF($D319="","",X319-AB319)</f>
        <v/>
      </c>
      <c r="AD319" s="7">
        <f>IF($D319="","",AC319-P319)</f>
        <v/>
      </c>
      <c r="AH319" s="7" t="n"/>
      <c r="AK319" s="11" t="n"/>
      <c r="AM319">
        <f>IF($D319="","",IF(COUNTIF($D$2:$D319,$D319)=1,1,0))</f>
        <v/>
      </c>
      <c r="AN319">
        <f>IF($AM319=1,SUMPRODUCT(--($AQ$2:$AQ$1001&lt;$AQ319))+1,"")</f>
        <v/>
      </c>
      <c r="AO319">
        <f>IF($D319="","",IF(OR($T319=TRUE(),$T319="TRUE"),1,0))</f>
        <v/>
      </c>
      <c r="AP319">
        <f>IF($D319="","",IF($Z319="Yes",1,0))</f>
        <v/>
      </c>
      <c r="AQ319">
        <f>IF($AM319=1,IFERROR(IF(VALUE($D319)&lt;100000000,VALUE($D319),1000000000),IFERROR(IF(VALUE(MID($D319,2,20))&lt;100000000,VALUE(MID($D319,2,20)),1000000000),1000000000))+ROW()/100000,"")</f>
        <v/>
      </c>
    </row>
    <row r="320">
      <c r="F320" s="11" t="n"/>
      <c r="P320" s="7">
        <f>IF($D320="","",O320*X320/100)</f>
        <v/>
      </c>
      <c r="Q320" s="7" t="n"/>
      <c r="W320" s="7" t="n"/>
      <c r="X320" s="7" t="n"/>
      <c r="AA320">
        <f>IF($D320="","",IF($AP320=1,0,IF($AO320=1,Settings!$C$6,Settings!$C$7))*100)</f>
        <v/>
      </c>
      <c r="AB320" s="7">
        <f>IF($D320="","",X320*AA320/100)</f>
        <v/>
      </c>
      <c r="AC320" s="7">
        <f>IF($D320="","",X320-AB320)</f>
        <v/>
      </c>
      <c r="AD320" s="7">
        <f>IF($D320="","",AC320-P320)</f>
        <v/>
      </c>
      <c r="AH320" s="7" t="n"/>
      <c r="AK320" s="11" t="n"/>
      <c r="AM320">
        <f>IF($D320="","",IF(COUNTIF($D$2:$D320,$D320)=1,1,0))</f>
        <v/>
      </c>
      <c r="AN320">
        <f>IF($AM320=1,SUMPRODUCT(--($AQ$2:$AQ$1001&lt;$AQ320))+1,"")</f>
        <v/>
      </c>
      <c r="AO320">
        <f>IF($D320="","",IF(OR($T320=TRUE(),$T320="TRUE"),1,0))</f>
        <v/>
      </c>
      <c r="AP320">
        <f>IF($D320="","",IF($Z320="Yes",1,0))</f>
        <v/>
      </c>
      <c r="AQ320">
        <f>IF($AM320=1,IFERROR(IF(VALUE($D320)&lt;100000000,VALUE($D320),1000000000),IFERROR(IF(VALUE(MID($D320,2,20))&lt;100000000,VALUE(MID($D320,2,20)),1000000000),1000000000))+ROW()/100000,"")</f>
        <v/>
      </c>
    </row>
    <row r="321">
      <c r="F321" s="11" t="n"/>
      <c r="P321" s="7">
        <f>IF($D321="","",O321*X321/100)</f>
        <v/>
      </c>
      <c r="Q321" s="7" t="n"/>
      <c r="W321" s="7" t="n"/>
      <c r="X321" s="7" t="n"/>
      <c r="AA321">
        <f>IF($D321="","",IF($AP321=1,0,IF($AO321=1,Settings!$C$6,Settings!$C$7))*100)</f>
        <v/>
      </c>
      <c r="AB321" s="7">
        <f>IF($D321="","",X321*AA321/100)</f>
        <v/>
      </c>
      <c r="AC321" s="7">
        <f>IF($D321="","",X321-AB321)</f>
        <v/>
      </c>
      <c r="AD321" s="7">
        <f>IF($D321="","",AC321-P321)</f>
        <v/>
      </c>
      <c r="AH321" s="7" t="n"/>
      <c r="AK321" s="11" t="n"/>
      <c r="AM321">
        <f>IF($D321="","",IF(COUNTIF($D$2:$D321,$D321)=1,1,0))</f>
        <v/>
      </c>
      <c r="AN321">
        <f>IF($AM321=1,SUMPRODUCT(--($AQ$2:$AQ$1001&lt;$AQ321))+1,"")</f>
        <v/>
      </c>
      <c r="AO321">
        <f>IF($D321="","",IF(OR($T321=TRUE(),$T321="TRUE"),1,0))</f>
        <v/>
      </c>
      <c r="AP321">
        <f>IF($D321="","",IF($Z321="Yes",1,0))</f>
        <v/>
      </c>
      <c r="AQ321">
        <f>IF($AM321=1,IFERROR(IF(VALUE($D321)&lt;100000000,VALUE($D321),1000000000),IFERROR(IF(VALUE(MID($D321,2,20))&lt;100000000,VALUE(MID($D321,2,20)),1000000000),1000000000))+ROW()/100000,"")</f>
        <v/>
      </c>
    </row>
    <row r="322">
      <c r="F322" s="11" t="n"/>
      <c r="P322" s="7">
        <f>IF($D322="","",O322*X322/100)</f>
        <v/>
      </c>
      <c r="Q322" s="7" t="n"/>
      <c r="W322" s="7" t="n"/>
      <c r="X322" s="7" t="n"/>
      <c r="AA322">
        <f>IF($D322="","",IF($AP322=1,0,IF($AO322=1,Settings!$C$6,Settings!$C$7))*100)</f>
        <v/>
      </c>
      <c r="AB322" s="7">
        <f>IF($D322="","",X322*AA322/100)</f>
        <v/>
      </c>
      <c r="AC322" s="7">
        <f>IF($D322="","",X322-AB322)</f>
        <v/>
      </c>
      <c r="AD322" s="7">
        <f>IF($D322="","",AC322-P322)</f>
        <v/>
      </c>
      <c r="AH322" s="7" t="n"/>
      <c r="AK322" s="11" t="n"/>
      <c r="AM322">
        <f>IF($D322="","",IF(COUNTIF($D$2:$D322,$D322)=1,1,0))</f>
        <v/>
      </c>
      <c r="AN322">
        <f>IF($AM322=1,SUMPRODUCT(--($AQ$2:$AQ$1001&lt;$AQ322))+1,"")</f>
        <v/>
      </c>
      <c r="AO322">
        <f>IF($D322="","",IF(OR($T322=TRUE(),$T322="TRUE"),1,0))</f>
        <v/>
      </c>
      <c r="AP322">
        <f>IF($D322="","",IF($Z322="Yes",1,0))</f>
        <v/>
      </c>
      <c r="AQ322">
        <f>IF($AM322=1,IFERROR(IF(VALUE($D322)&lt;100000000,VALUE($D322),1000000000),IFERROR(IF(VALUE(MID($D322,2,20))&lt;100000000,VALUE(MID($D322,2,20)),1000000000),1000000000))+ROW()/100000,"")</f>
        <v/>
      </c>
    </row>
    <row r="323">
      <c r="F323" s="11" t="n"/>
      <c r="P323" s="7">
        <f>IF($D323="","",O323*X323/100)</f>
        <v/>
      </c>
      <c r="Q323" s="7" t="n"/>
      <c r="W323" s="7" t="n"/>
      <c r="X323" s="7" t="n"/>
      <c r="AA323">
        <f>IF($D323="","",IF($AP323=1,0,IF($AO323=1,Settings!$C$6,Settings!$C$7))*100)</f>
        <v/>
      </c>
      <c r="AB323" s="7">
        <f>IF($D323="","",X323*AA323/100)</f>
        <v/>
      </c>
      <c r="AC323" s="7">
        <f>IF($D323="","",X323-AB323)</f>
        <v/>
      </c>
      <c r="AD323" s="7">
        <f>IF($D323="","",AC323-P323)</f>
        <v/>
      </c>
      <c r="AH323" s="7" t="n"/>
      <c r="AK323" s="11" t="n"/>
      <c r="AM323">
        <f>IF($D323="","",IF(COUNTIF($D$2:$D323,$D323)=1,1,0))</f>
        <v/>
      </c>
      <c r="AN323">
        <f>IF($AM323=1,SUMPRODUCT(--($AQ$2:$AQ$1001&lt;$AQ323))+1,"")</f>
        <v/>
      </c>
      <c r="AO323">
        <f>IF($D323="","",IF(OR($T323=TRUE(),$T323="TRUE"),1,0))</f>
        <v/>
      </c>
      <c r="AP323">
        <f>IF($D323="","",IF($Z323="Yes",1,0))</f>
        <v/>
      </c>
      <c r="AQ323">
        <f>IF($AM323=1,IFERROR(IF(VALUE($D323)&lt;100000000,VALUE($D323),1000000000),IFERROR(IF(VALUE(MID($D323,2,20))&lt;100000000,VALUE(MID($D323,2,20)),1000000000),1000000000))+ROW()/100000,"")</f>
        <v/>
      </c>
    </row>
    <row r="324">
      <c r="F324" s="11" t="n"/>
      <c r="P324" s="7">
        <f>IF($D324="","",O324*X324/100)</f>
        <v/>
      </c>
      <c r="Q324" s="7" t="n"/>
      <c r="W324" s="7" t="n"/>
      <c r="X324" s="7" t="n"/>
      <c r="AA324">
        <f>IF($D324="","",IF($AP324=1,0,IF($AO324=1,Settings!$C$6,Settings!$C$7))*100)</f>
        <v/>
      </c>
      <c r="AB324" s="7">
        <f>IF($D324="","",X324*AA324/100)</f>
        <v/>
      </c>
      <c r="AC324" s="7">
        <f>IF($D324="","",X324-AB324)</f>
        <v/>
      </c>
      <c r="AD324" s="7">
        <f>IF($D324="","",AC324-P324)</f>
        <v/>
      </c>
      <c r="AH324" s="7" t="n"/>
      <c r="AK324" s="11" t="n"/>
      <c r="AM324">
        <f>IF($D324="","",IF(COUNTIF($D$2:$D324,$D324)=1,1,0))</f>
        <v/>
      </c>
      <c r="AN324">
        <f>IF($AM324=1,SUMPRODUCT(--($AQ$2:$AQ$1001&lt;$AQ324))+1,"")</f>
        <v/>
      </c>
      <c r="AO324">
        <f>IF($D324="","",IF(OR($T324=TRUE(),$T324="TRUE"),1,0))</f>
        <v/>
      </c>
      <c r="AP324">
        <f>IF($D324="","",IF($Z324="Yes",1,0))</f>
        <v/>
      </c>
      <c r="AQ324">
        <f>IF($AM324=1,IFERROR(IF(VALUE($D324)&lt;100000000,VALUE($D324),1000000000),IFERROR(IF(VALUE(MID($D324,2,20))&lt;100000000,VALUE(MID($D324,2,20)),1000000000),1000000000))+ROW()/100000,"")</f>
        <v/>
      </c>
    </row>
    <row r="325">
      <c r="F325" s="11" t="n"/>
      <c r="P325" s="7">
        <f>IF($D325="","",O325*X325/100)</f>
        <v/>
      </c>
      <c r="Q325" s="7" t="n"/>
      <c r="W325" s="7" t="n"/>
      <c r="X325" s="7" t="n"/>
      <c r="AA325">
        <f>IF($D325="","",IF($AP325=1,0,IF($AO325=1,Settings!$C$6,Settings!$C$7))*100)</f>
        <v/>
      </c>
      <c r="AB325" s="7">
        <f>IF($D325="","",X325*AA325/100)</f>
        <v/>
      </c>
      <c r="AC325" s="7">
        <f>IF($D325="","",X325-AB325)</f>
        <v/>
      </c>
      <c r="AD325" s="7">
        <f>IF($D325="","",AC325-P325)</f>
        <v/>
      </c>
      <c r="AH325" s="7" t="n"/>
      <c r="AK325" s="11" t="n"/>
      <c r="AM325">
        <f>IF($D325="","",IF(COUNTIF($D$2:$D325,$D325)=1,1,0))</f>
        <v/>
      </c>
      <c r="AN325">
        <f>IF($AM325=1,SUMPRODUCT(--($AQ$2:$AQ$1001&lt;$AQ325))+1,"")</f>
        <v/>
      </c>
      <c r="AO325">
        <f>IF($D325="","",IF(OR($T325=TRUE(),$T325="TRUE"),1,0))</f>
        <v/>
      </c>
      <c r="AP325">
        <f>IF($D325="","",IF($Z325="Yes",1,0))</f>
        <v/>
      </c>
      <c r="AQ325">
        <f>IF($AM325=1,IFERROR(IF(VALUE($D325)&lt;100000000,VALUE($D325),1000000000),IFERROR(IF(VALUE(MID($D325,2,20))&lt;100000000,VALUE(MID($D325,2,20)),1000000000),1000000000))+ROW()/100000,"")</f>
        <v/>
      </c>
    </row>
    <row r="326">
      <c r="F326" s="11" t="n"/>
      <c r="P326" s="7">
        <f>IF($D326="","",O326*X326/100)</f>
        <v/>
      </c>
      <c r="Q326" s="7" t="n"/>
      <c r="W326" s="7" t="n"/>
      <c r="X326" s="7" t="n"/>
      <c r="AA326">
        <f>IF($D326="","",IF($AP326=1,0,IF($AO326=1,Settings!$C$6,Settings!$C$7))*100)</f>
        <v/>
      </c>
      <c r="AB326" s="7">
        <f>IF($D326="","",X326*AA326/100)</f>
        <v/>
      </c>
      <c r="AC326" s="7">
        <f>IF($D326="","",X326-AB326)</f>
        <v/>
      </c>
      <c r="AD326" s="7">
        <f>IF($D326="","",AC326-P326)</f>
        <v/>
      </c>
      <c r="AH326" s="7" t="n"/>
      <c r="AK326" s="11" t="n"/>
      <c r="AM326">
        <f>IF($D326="","",IF(COUNTIF($D$2:$D326,$D326)=1,1,0))</f>
        <v/>
      </c>
      <c r="AN326">
        <f>IF($AM326=1,SUMPRODUCT(--($AQ$2:$AQ$1001&lt;$AQ326))+1,"")</f>
        <v/>
      </c>
      <c r="AO326">
        <f>IF($D326="","",IF(OR($T326=TRUE(),$T326="TRUE"),1,0))</f>
        <v/>
      </c>
      <c r="AP326">
        <f>IF($D326="","",IF($Z326="Yes",1,0))</f>
        <v/>
      </c>
      <c r="AQ326">
        <f>IF($AM326=1,IFERROR(IF(VALUE($D326)&lt;100000000,VALUE($D326),1000000000),IFERROR(IF(VALUE(MID($D326,2,20))&lt;100000000,VALUE(MID($D326,2,20)),1000000000),1000000000))+ROW()/100000,"")</f>
        <v/>
      </c>
    </row>
    <row r="327">
      <c r="F327" s="11" t="n"/>
      <c r="P327" s="7">
        <f>IF($D327="","",O327*X327/100)</f>
        <v/>
      </c>
      <c r="Q327" s="7" t="n"/>
      <c r="W327" s="7" t="n"/>
      <c r="X327" s="7" t="n"/>
      <c r="AA327">
        <f>IF($D327="","",IF($AP327=1,0,IF($AO327=1,Settings!$C$6,Settings!$C$7))*100)</f>
        <v/>
      </c>
      <c r="AB327" s="7">
        <f>IF($D327="","",X327*AA327/100)</f>
        <v/>
      </c>
      <c r="AC327" s="7">
        <f>IF($D327="","",X327-AB327)</f>
        <v/>
      </c>
      <c r="AD327" s="7">
        <f>IF($D327="","",AC327-P327)</f>
        <v/>
      </c>
      <c r="AH327" s="7" t="n"/>
      <c r="AK327" s="11" t="n"/>
      <c r="AM327">
        <f>IF($D327="","",IF(COUNTIF($D$2:$D327,$D327)=1,1,0))</f>
        <v/>
      </c>
      <c r="AN327">
        <f>IF($AM327=1,SUMPRODUCT(--($AQ$2:$AQ$1001&lt;$AQ327))+1,"")</f>
        <v/>
      </c>
      <c r="AO327">
        <f>IF($D327="","",IF(OR($T327=TRUE(),$T327="TRUE"),1,0))</f>
        <v/>
      </c>
      <c r="AP327">
        <f>IF($D327="","",IF($Z327="Yes",1,0))</f>
        <v/>
      </c>
      <c r="AQ327">
        <f>IF($AM327=1,IFERROR(IF(VALUE($D327)&lt;100000000,VALUE($D327),1000000000),IFERROR(IF(VALUE(MID($D327,2,20))&lt;100000000,VALUE(MID($D327,2,20)),1000000000),1000000000))+ROW()/100000,"")</f>
        <v/>
      </c>
    </row>
    <row r="328">
      <c r="F328" s="11" t="n"/>
      <c r="P328" s="7">
        <f>IF($D328="","",O328*X328/100)</f>
        <v/>
      </c>
      <c r="Q328" s="7" t="n"/>
      <c r="W328" s="7" t="n"/>
      <c r="X328" s="7" t="n"/>
      <c r="AA328">
        <f>IF($D328="","",IF($AP328=1,0,IF($AO328=1,Settings!$C$6,Settings!$C$7))*100)</f>
        <v/>
      </c>
      <c r="AB328" s="7">
        <f>IF($D328="","",X328*AA328/100)</f>
        <v/>
      </c>
      <c r="AC328" s="7">
        <f>IF($D328="","",X328-AB328)</f>
        <v/>
      </c>
      <c r="AD328" s="7">
        <f>IF($D328="","",AC328-P328)</f>
        <v/>
      </c>
      <c r="AH328" s="7" t="n"/>
      <c r="AK328" s="11" t="n"/>
      <c r="AM328">
        <f>IF($D328="","",IF(COUNTIF($D$2:$D328,$D328)=1,1,0))</f>
        <v/>
      </c>
      <c r="AN328">
        <f>IF($AM328=1,SUMPRODUCT(--($AQ$2:$AQ$1001&lt;$AQ328))+1,"")</f>
        <v/>
      </c>
      <c r="AO328">
        <f>IF($D328="","",IF(OR($T328=TRUE(),$T328="TRUE"),1,0))</f>
        <v/>
      </c>
      <c r="AP328">
        <f>IF($D328="","",IF($Z328="Yes",1,0))</f>
        <v/>
      </c>
      <c r="AQ328">
        <f>IF($AM328=1,IFERROR(IF(VALUE($D328)&lt;100000000,VALUE($D328),1000000000),IFERROR(IF(VALUE(MID($D328,2,20))&lt;100000000,VALUE(MID($D328,2,20)),1000000000),1000000000))+ROW()/100000,"")</f>
        <v/>
      </c>
    </row>
    <row r="329">
      <c r="F329" s="11" t="n"/>
      <c r="P329" s="7">
        <f>IF($D329="","",O329*X329/100)</f>
        <v/>
      </c>
      <c r="Q329" s="7" t="n"/>
      <c r="W329" s="7" t="n"/>
      <c r="X329" s="7" t="n"/>
      <c r="AA329">
        <f>IF($D329="","",IF($AP329=1,0,IF($AO329=1,Settings!$C$6,Settings!$C$7))*100)</f>
        <v/>
      </c>
      <c r="AB329" s="7">
        <f>IF($D329="","",X329*AA329/100)</f>
        <v/>
      </c>
      <c r="AC329" s="7">
        <f>IF($D329="","",X329-AB329)</f>
        <v/>
      </c>
      <c r="AD329" s="7">
        <f>IF($D329="","",AC329-P329)</f>
        <v/>
      </c>
      <c r="AH329" s="7" t="n"/>
      <c r="AK329" s="11" t="n"/>
      <c r="AM329">
        <f>IF($D329="","",IF(COUNTIF($D$2:$D329,$D329)=1,1,0))</f>
        <v/>
      </c>
      <c r="AN329">
        <f>IF($AM329=1,SUMPRODUCT(--($AQ$2:$AQ$1001&lt;$AQ329))+1,"")</f>
        <v/>
      </c>
      <c r="AO329">
        <f>IF($D329="","",IF(OR($T329=TRUE(),$T329="TRUE"),1,0))</f>
        <v/>
      </c>
      <c r="AP329">
        <f>IF($D329="","",IF($Z329="Yes",1,0))</f>
        <v/>
      </c>
      <c r="AQ329">
        <f>IF($AM329=1,IFERROR(IF(VALUE($D329)&lt;100000000,VALUE($D329),1000000000),IFERROR(IF(VALUE(MID($D329,2,20))&lt;100000000,VALUE(MID($D329,2,20)),1000000000),1000000000))+ROW()/100000,"")</f>
        <v/>
      </c>
    </row>
    <row r="330">
      <c r="F330" s="11" t="n"/>
      <c r="P330" s="7">
        <f>IF($D330="","",O330*X330/100)</f>
        <v/>
      </c>
      <c r="Q330" s="7" t="n"/>
      <c r="W330" s="7" t="n"/>
      <c r="X330" s="7" t="n"/>
      <c r="AA330">
        <f>IF($D330="","",IF($AP330=1,0,IF($AO330=1,Settings!$C$6,Settings!$C$7))*100)</f>
        <v/>
      </c>
      <c r="AB330" s="7">
        <f>IF($D330="","",X330*AA330/100)</f>
        <v/>
      </c>
      <c r="AC330" s="7">
        <f>IF($D330="","",X330-AB330)</f>
        <v/>
      </c>
      <c r="AD330" s="7">
        <f>IF($D330="","",AC330-P330)</f>
        <v/>
      </c>
      <c r="AH330" s="7" t="n"/>
      <c r="AK330" s="11" t="n"/>
      <c r="AM330">
        <f>IF($D330="","",IF(COUNTIF($D$2:$D330,$D330)=1,1,0))</f>
        <v/>
      </c>
      <c r="AN330">
        <f>IF($AM330=1,SUMPRODUCT(--($AQ$2:$AQ$1001&lt;$AQ330))+1,"")</f>
        <v/>
      </c>
      <c r="AO330">
        <f>IF($D330="","",IF(OR($T330=TRUE(),$T330="TRUE"),1,0))</f>
        <v/>
      </c>
      <c r="AP330">
        <f>IF($D330="","",IF($Z330="Yes",1,0))</f>
        <v/>
      </c>
      <c r="AQ330">
        <f>IF($AM330=1,IFERROR(IF(VALUE($D330)&lt;100000000,VALUE($D330),1000000000),IFERROR(IF(VALUE(MID($D330,2,20))&lt;100000000,VALUE(MID($D330,2,20)),1000000000),1000000000))+ROW()/100000,"")</f>
        <v/>
      </c>
    </row>
    <row r="331">
      <c r="F331" s="11" t="n"/>
      <c r="P331" s="7">
        <f>IF($D331="","",O331*X331/100)</f>
        <v/>
      </c>
      <c r="Q331" s="7" t="n"/>
      <c r="W331" s="7" t="n"/>
      <c r="X331" s="7" t="n"/>
      <c r="AA331">
        <f>IF($D331="","",IF($AP331=1,0,IF($AO331=1,Settings!$C$6,Settings!$C$7))*100)</f>
        <v/>
      </c>
      <c r="AB331" s="7">
        <f>IF($D331="","",X331*AA331/100)</f>
        <v/>
      </c>
      <c r="AC331" s="7">
        <f>IF($D331="","",X331-AB331)</f>
        <v/>
      </c>
      <c r="AD331" s="7">
        <f>IF($D331="","",AC331-P331)</f>
        <v/>
      </c>
      <c r="AH331" s="7" t="n"/>
      <c r="AK331" s="11" t="n"/>
      <c r="AM331">
        <f>IF($D331="","",IF(COUNTIF($D$2:$D331,$D331)=1,1,0))</f>
        <v/>
      </c>
      <c r="AN331">
        <f>IF($AM331=1,SUMPRODUCT(--($AQ$2:$AQ$1001&lt;$AQ331))+1,"")</f>
        <v/>
      </c>
      <c r="AO331">
        <f>IF($D331="","",IF(OR($T331=TRUE(),$T331="TRUE"),1,0))</f>
        <v/>
      </c>
      <c r="AP331">
        <f>IF($D331="","",IF($Z331="Yes",1,0))</f>
        <v/>
      </c>
      <c r="AQ331">
        <f>IF($AM331=1,IFERROR(IF(VALUE($D331)&lt;100000000,VALUE($D331),1000000000),IFERROR(IF(VALUE(MID($D331,2,20))&lt;100000000,VALUE(MID($D331,2,20)),1000000000),1000000000))+ROW()/100000,"")</f>
        <v/>
      </c>
    </row>
    <row r="332">
      <c r="F332" s="11" t="n"/>
      <c r="P332" s="7">
        <f>IF($D332="","",O332*X332/100)</f>
        <v/>
      </c>
      <c r="Q332" s="7" t="n"/>
      <c r="W332" s="7" t="n"/>
      <c r="X332" s="7" t="n"/>
      <c r="AA332">
        <f>IF($D332="","",IF($AP332=1,0,IF($AO332=1,Settings!$C$6,Settings!$C$7))*100)</f>
        <v/>
      </c>
      <c r="AB332" s="7">
        <f>IF($D332="","",X332*AA332/100)</f>
        <v/>
      </c>
      <c r="AC332" s="7">
        <f>IF($D332="","",X332-AB332)</f>
        <v/>
      </c>
      <c r="AD332" s="7">
        <f>IF($D332="","",AC332-P332)</f>
        <v/>
      </c>
      <c r="AH332" s="7" t="n"/>
      <c r="AK332" s="11" t="n"/>
      <c r="AM332">
        <f>IF($D332="","",IF(COUNTIF($D$2:$D332,$D332)=1,1,0))</f>
        <v/>
      </c>
      <c r="AN332">
        <f>IF($AM332=1,SUMPRODUCT(--($AQ$2:$AQ$1001&lt;$AQ332))+1,"")</f>
        <v/>
      </c>
      <c r="AO332">
        <f>IF($D332="","",IF(OR($T332=TRUE(),$T332="TRUE"),1,0))</f>
        <v/>
      </c>
      <c r="AP332">
        <f>IF($D332="","",IF($Z332="Yes",1,0))</f>
        <v/>
      </c>
      <c r="AQ332">
        <f>IF($AM332=1,IFERROR(IF(VALUE($D332)&lt;100000000,VALUE($D332),1000000000),IFERROR(IF(VALUE(MID($D332,2,20))&lt;100000000,VALUE(MID($D332,2,20)),1000000000),1000000000))+ROW()/100000,"")</f>
        <v/>
      </c>
    </row>
    <row r="333">
      <c r="F333" s="11" t="n"/>
      <c r="P333" s="7">
        <f>IF($D333="","",O333*X333/100)</f>
        <v/>
      </c>
      <c r="Q333" s="7" t="n"/>
      <c r="W333" s="7" t="n"/>
      <c r="X333" s="7" t="n"/>
      <c r="AA333">
        <f>IF($D333="","",IF($AP333=1,0,IF($AO333=1,Settings!$C$6,Settings!$C$7))*100)</f>
        <v/>
      </c>
      <c r="AB333" s="7">
        <f>IF($D333="","",X333*AA333/100)</f>
        <v/>
      </c>
      <c r="AC333" s="7">
        <f>IF($D333="","",X333-AB333)</f>
        <v/>
      </c>
      <c r="AD333" s="7">
        <f>IF($D333="","",AC333-P333)</f>
        <v/>
      </c>
      <c r="AH333" s="7" t="n"/>
      <c r="AK333" s="11" t="n"/>
      <c r="AM333">
        <f>IF($D333="","",IF(COUNTIF($D$2:$D333,$D333)=1,1,0))</f>
        <v/>
      </c>
      <c r="AN333">
        <f>IF($AM333=1,SUMPRODUCT(--($AQ$2:$AQ$1001&lt;$AQ333))+1,"")</f>
        <v/>
      </c>
      <c r="AO333">
        <f>IF($D333="","",IF(OR($T333=TRUE(),$T333="TRUE"),1,0))</f>
        <v/>
      </c>
      <c r="AP333">
        <f>IF($D333="","",IF($Z333="Yes",1,0))</f>
        <v/>
      </c>
      <c r="AQ333">
        <f>IF($AM333=1,IFERROR(IF(VALUE($D333)&lt;100000000,VALUE($D333),1000000000),IFERROR(IF(VALUE(MID($D333,2,20))&lt;100000000,VALUE(MID($D333,2,20)),1000000000),1000000000))+ROW()/100000,"")</f>
        <v/>
      </c>
    </row>
    <row r="334">
      <c r="F334" s="11" t="n"/>
      <c r="P334" s="7">
        <f>IF($D334="","",O334*X334/100)</f>
        <v/>
      </c>
      <c r="Q334" s="7" t="n"/>
      <c r="W334" s="7" t="n"/>
      <c r="X334" s="7" t="n"/>
      <c r="AA334">
        <f>IF($D334="","",IF($AP334=1,0,IF($AO334=1,Settings!$C$6,Settings!$C$7))*100)</f>
        <v/>
      </c>
      <c r="AB334" s="7">
        <f>IF($D334="","",X334*AA334/100)</f>
        <v/>
      </c>
      <c r="AC334" s="7">
        <f>IF($D334="","",X334-AB334)</f>
        <v/>
      </c>
      <c r="AD334" s="7">
        <f>IF($D334="","",AC334-P334)</f>
        <v/>
      </c>
      <c r="AH334" s="7" t="n"/>
      <c r="AK334" s="11" t="n"/>
      <c r="AM334">
        <f>IF($D334="","",IF(COUNTIF($D$2:$D334,$D334)=1,1,0))</f>
        <v/>
      </c>
      <c r="AN334">
        <f>IF($AM334=1,SUMPRODUCT(--($AQ$2:$AQ$1001&lt;$AQ334))+1,"")</f>
        <v/>
      </c>
      <c r="AO334">
        <f>IF($D334="","",IF(OR($T334=TRUE(),$T334="TRUE"),1,0))</f>
        <v/>
      </c>
      <c r="AP334">
        <f>IF($D334="","",IF($Z334="Yes",1,0))</f>
        <v/>
      </c>
      <c r="AQ334">
        <f>IF($AM334=1,IFERROR(IF(VALUE($D334)&lt;100000000,VALUE($D334),1000000000),IFERROR(IF(VALUE(MID($D334,2,20))&lt;100000000,VALUE(MID($D334,2,20)),1000000000),1000000000))+ROW()/100000,"")</f>
        <v/>
      </c>
    </row>
    <row r="335">
      <c r="F335" s="11" t="n"/>
      <c r="P335" s="7">
        <f>IF($D335="","",O335*X335/100)</f>
        <v/>
      </c>
      <c r="Q335" s="7" t="n"/>
      <c r="W335" s="7" t="n"/>
      <c r="X335" s="7" t="n"/>
      <c r="AA335">
        <f>IF($D335="","",IF($AP335=1,0,IF($AO335=1,Settings!$C$6,Settings!$C$7))*100)</f>
        <v/>
      </c>
      <c r="AB335" s="7">
        <f>IF($D335="","",X335*AA335/100)</f>
        <v/>
      </c>
      <c r="AC335" s="7">
        <f>IF($D335="","",X335-AB335)</f>
        <v/>
      </c>
      <c r="AD335" s="7">
        <f>IF($D335="","",AC335-P335)</f>
        <v/>
      </c>
      <c r="AH335" s="7" t="n"/>
      <c r="AK335" s="11" t="n"/>
      <c r="AM335">
        <f>IF($D335="","",IF(COUNTIF($D$2:$D335,$D335)=1,1,0))</f>
        <v/>
      </c>
      <c r="AN335">
        <f>IF($AM335=1,SUMPRODUCT(--($AQ$2:$AQ$1001&lt;$AQ335))+1,"")</f>
        <v/>
      </c>
      <c r="AO335">
        <f>IF($D335="","",IF(OR($T335=TRUE(),$T335="TRUE"),1,0))</f>
        <v/>
      </c>
      <c r="AP335">
        <f>IF($D335="","",IF($Z335="Yes",1,0))</f>
        <v/>
      </c>
      <c r="AQ335">
        <f>IF($AM335=1,IFERROR(IF(VALUE($D335)&lt;100000000,VALUE($D335),1000000000),IFERROR(IF(VALUE(MID($D335,2,20))&lt;100000000,VALUE(MID($D335,2,20)),1000000000),1000000000))+ROW()/100000,"")</f>
        <v/>
      </c>
    </row>
    <row r="336">
      <c r="F336" s="11" t="n"/>
      <c r="P336" s="7">
        <f>IF($D336="","",O336*X336/100)</f>
        <v/>
      </c>
      <c r="Q336" s="7" t="n"/>
      <c r="W336" s="7" t="n"/>
      <c r="X336" s="7" t="n"/>
      <c r="AA336">
        <f>IF($D336="","",IF($AP336=1,0,IF($AO336=1,Settings!$C$6,Settings!$C$7))*100)</f>
        <v/>
      </c>
      <c r="AB336" s="7">
        <f>IF($D336="","",X336*AA336/100)</f>
        <v/>
      </c>
      <c r="AC336" s="7">
        <f>IF($D336="","",X336-AB336)</f>
        <v/>
      </c>
      <c r="AD336" s="7">
        <f>IF($D336="","",AC336-P336)</f>
        <v/>
      </c>
      <c r="AH336" s="7" t="n"/>
      <c r="AK336" s="11" t="n"/>
      <c r="AM336">
        <f>IF($D336="","",IF(COUNTIF($D$2:$D336,$D336)=1,1,0))</f>
        <v/>
      </c>
      <c r="AN336">
        <f>IF($AM336=1,SUMPRODUCT(--($AQ$2:$AQ$1001&lt;$AQ336))+1,"")</f>
        <v/>
      </c>
      <c r="AO336">
        <f>IF($D336="","",IF(OR($T336=TRUE(),$T336="TRUE"),1,0))</f>
        <v/>
      </c>
      <c r="AP336">
        <f>IF($D336="","",IF($Z336="Yes",1,0))</f>
        <v/>
      </c>
      <c r="AQ336">
        <f>IF($AM336=1,IFERROR(IF(VALUE($D336)&lt;100000000,VALUE($D336),1000000000),IFERROR(IF(VALUE(MID($D336,2,20))&lt;100000000,VALUE(MID($D336,2,20)),1000000000),1000000000))+ROW()/100000,"")</f>
        <v/>
      </c>
    </row>
    <row r="337">
      <c r="F337" s="11" t="n"/>
      <c r="P337" s="7">
        <f>IF($D337="","",O337*X337/100)</f>
        <v/>
      </c>
      <c r="Q337" s="7" t="n"/>
      <c r="W337" s="7" t="n"/>
      <c r="X337" s="7" t="n"/>
      <c r="AA337">
        <f>IF($D337="","",IF($AP337=1,0,IF($AO337=1,Settings!$C$6,Settings!$C$7))*100)</f>
        <v/>
      </c>
      <c r="AB337" s="7">
        <f>IF($D337="","",X337*AA337/100)</f>
        <v/>
      </c>
      <c r="AC337" s="7">
        <f>IF($D337="","",X337-AB337)</f>
        <v/>
      </c>
      <c r="AD337" s="7">
        <f>IF($D337="","",AC337-P337)</f>
        <v/>
      </c>
      <c r="AH337" s="7" t="n"/>
      <c r="AK337" s="11" t="n"/>
      <c r="AM337">
        <f>IF($D337="","",IF(COUNTIF($D$2:$D337,$D337)=1,1,0))</f>
        <v/>
      </c>
      <c r="AN337">
        <f>IF($AM337=1,SUMPRODUCT(--($AQ$2:$AQ$1001&lt;$AQ337))+1,"")</f>
        <v/>
      </c>
      <c r="AO337">
        <f>IF($D337="","",IF(OR($T337=TRUE(),$T337="TRUE"),1,0))</f>
        <v/>
      </c>
      <c r="AP337">
        <f>IF($D337="","",IF($Z337="Yes",1,0))</f>
        <v/>
      </c>
      <c r="AQ337">
        <f>IF($AM337=1,IFERROR(IF(VALUE($D337)&lt;100000000,VALUE($D337),1000000000),IFERROR(IF(VALUE(MID($D337,2,20))&lt;100000000,VALUE(MID($D337,2,20)),1000000000),1000000000))+ROW()/100000,"")</f>
        <v/>
      </c>
    </row>
    <row r="338">
      <c r="F338" s="11" t="n"/>
      <c r="P338" s="7">
        <f>IF($D338="","",O338*X338/100)</f>
        <v/>
      </c>
      <c r="Q338" s="7" t="n"/>
      <c r="W338" s="7" t="n"/>
      <c r="X338" s="7" t="n"/>
      <c r="AA338">
        <f>IF($D338="","",IF($AP338=1,0,IF($AO338=1,Settings!$C$6,Settings!$C$7))*100)</f>
        <v/>
      </c>
      <c r="AB338" s="7">
        <f>IF($D338="","",X338*AA338/100)</f>
        <v/>
      </c>
      <c r="AC338" s="7">
        <f>IF($D338="","",X338-AB338)</f>
        <v/>
      </c>
      <c r="AD338" s="7">
        <f>IF($D338="","",AC338-P338)</f>
        <v/>
      </c>
      <c r="AH338" s="7" t="n"/>
      <c r="AK338" s="11" t="n"/>
      <c r="AM338">
        <f>IF($D338="","",IF(COUNTIF($D$2:$D338,$D338)=1,1,0))</f>
        <v/>
      </c>
      <c r="AN338">
        <f>IF($AM338=1,SUMPRODUCT(--($AQ$2:$AQ$1001&lt;$AQ338))+1,"")</f>
        <v/>
      </c>
      <c r="AO338">
        <f>IF($D338="","",IF(OR($T338=TRUE(),$T338="TRUE"),1,0))</f>
        <v/>
      </c>
      <c r="AP338">
        <f>IF($D338="","",IF($Z338="Yes",1,0))</f>
        <v/>
      </c>
      <c r="AQ338">
        <f>IF($AM338=1,IFERROR(IF(VALUE($D338)&lt;100000000,VALUE($D338),1000000000),IFERROR(IF(VALUE(MID($D338,2,20))&lt;100000000,VALUE(MID($D338,2,20)),1000000000),1000000000))+ROW()/100000,"")</f>
        <v/>
      </c>
    </row>
    <row r="339">
      <c r="F339" s="11" t="n"/>
      <c r="P339" s="7">
        <f>IF($D339="","",O339*X339/100)</f>
        <v/>
      </c>
      <c r="Q339" s="7" t="n"/>
      <c r="W339" s="7" t="n"/>
      <c r="X339" s="7" t="n"/>
      <c r="AA339">
        <f>IF($D339="","",IF($AP339=1,0,IF($AO339=1,Settings!$C$6,Settings!$C$7))*100)</f>
        <v/>
      </c>
      <c r="AB339" s="7">
        <f>IF($D339="","",X339*AA339/100)</f>
        <v/>
      </c>
      <c r="AC339" s="7">
        <f>IF($D339="","",X339-AB339)</f>
        <v/>
      </c>
      <c r="AD339" s="7">
        <f>IF($D339="","",AC339-P339)</f>
        <v/>
      </c>
      <c r="AH339" s="7" t="n"/>
      <c r="AK339" s="11" t="n"/>
      <c r="AM339">
        <f>IF($D339="","",IF(COUNTIF($D$2:$D339,$D339)=1,1,0))</f>
        <v/>
      </c>
      <c r="AN339">
        <f>IF($AM339=1,SUMPRODUCT(--($AQ$2:$AQ$1001&lt;$AQ339))+1,"")</f>
        <v/>
      </c>
      <c r="AO339">
        <f>IF($D339="","",IF(OR($T339=TRUE(),$T339="TRUE"),1,0))</f>
        <v/>
      </c>
      <c r="AP339">
        <f>IF($D339="","",IF($Z339="Yes",1,0))</f>
        <v/>
      </c>
      <c r="AQ339">
        <f>IF($AM339=1,IFERROR(IF(VALUE($D339)&lt;100000000,VALUE($D339),1000000000),IFERROR(IF(VALUE(MID($D339,2,20))&lt;100000000,VALUE(MID($D339,2,20)),1000000000),1000000000))+ROW()/100000,"")</f>
        <v/>
      </c>
    </row>
    <row r="340">
      <c r="F340" s="11" t="n"/>
      <c r="P340" s="7">
        <f>IF($D340="","",O340*X340/100)</f>
        <v/>
      </c>
      <c r="Q340" s="7" t="n"/>
      <c r="W340" s="7" t="n"/>
      <c r="X340" s="7" t="n"/>
      <c r="AA340">
        <f>IF($D340="","",IF($AP340=1,0,IF($AO340=1,Settings!$C$6,Settings!$C$7))*100)</f>
        <v/>
      </c>
      <c r="AB340" s="7">
        <f>IF($D340="","",X340*AA340/100)</f>
        <v/>
      </c>
      <c r="AC340" s="7">
        <f>IF($D340="","",X340-AB340)</f>
        <v/>
      </c>
      <c r="AD340" s="7">
        <f>IF($D340="","",AC340-P340)</f>
        <v/>
      </c>
      <c r="AH340" s="7" t="n"/>
      <c r="AK340" s="11" t="n"/>
      <c r="AM340">
        <f>IF($D340="","",IF(COUNTIF($D$2:$D340,$D340)=1,1,0))</f>
        <v/>
      </c>
      <c r="AN340">
        <f>IF($AM340=1,SUMPRODUCT(--($AQ$2:$AQ$1001&lt;$AQ340))+1,"")</f>
        <v/>
      </c>
      <c r="AO340">
        <f>IF($D340="","",IF(OR($T340=TRUE(),$T340="TRUE"),1,0))</f>
        <v/>
      </c>
      <c r="AP340">
        <f>IF($D340="","",IF($Z340="Yes",1,0))</f>
        <v/>
      </c>
      <c r="AQ340">
        <f>IF($AM340=1,IFERROR(IF(VALUE($D340)&lt;100000000,VALUE($D340),1000000000),IFERROR(IF(VALUE(MID($D340,2,20))&lt;100000000,VALUE(MID($D340,2,20)),1000000000),1000000000))+ROW()/100000,"")</f>
        <v/>
      </c>
    </row>
    <row r="341">
      <c r="F341" s="11" t="n"/>
      <c r="P341" s="7">
        <f>IF($D341="","",O341*X341/100)</f>
        <v/>
      </c>
      <c r="Q341" s="7" t="n"/>
      <c r="W341" s="7" t="n"/>
      <c r="X341" s="7" t="n"/>
      <c r="AA341">
        <f>IF($D341="","",IF($AP341=1,0,IF($AO341=1,Settings!$C$6,Settings!$C$7))*100)</f>
        <v/>
      </c>
      <c r="AB341" s="7">
        <f>IF($D341="","",X341*AA341/100)</f>
        <v/>
      </c>
      <c r="AC341" s="7">
        <f>IF($D341="","",X341-AB341)</f>
        <v/>
      </c>
      <c r="AD341" s="7">
        <f>IF($D341="","",AC341-P341)</f>
        <v/>
      </c>
      <c r="AH341" s="7" t="n"/>
      <c r="AK341" s="11" t="n"/>
      <c r="AM341">
        <f>IF($D341="","",IF(COUNTIF($D$2:$D341,$D341)=1,1,0))</f>
        <v/>
      </c>
      <c r="AN341">
        <f>IF($AM341=1,SUMPRODUCT(--($AQ$2:$AQ$1001&lt;$AQ341))+1,"")</f>
        <v/>
      </c>
      <c r="AO341">
        <f>IF($D341="","",IF(OR($T341=TRUE(),$T341="TRUE"),1,0))</f>
        <v/>
      </c>
      <c r="AP341">
        <f>IF($D341="","",IF($Z341="Yes",1,0))</f>
        <v/>
      </c>
      <c r="AQ341">
        <f>IF($AM341=1,IFERROR(IF(VALUE($D341)&lt;100000000,VALUE($D341),1000000000),IFERROR(IF(VALUE(MID($D341,2,20))&lt;100000000,VALUE(MID($D341,2,20)),1000000000),1000000000))+ROW()/100000,"")</f>
        <v/>
      </c>
    </row>
    <row r="342">
      <c r="F342" s="11" t="n"/>
      <c r="P342" s="7">
        <f>IF($D342="","",O342*X342/100)</f>
        <v/>
      </c>
      <c r="Q342" s="7" t="n"/>
      <c r="W342" s="7" t="n"/>
      <c r="X342" s="7" t="n"/>
      <c r="AA342">
        <f>IF($D342="","",IF($AP342=1,0,IF($AO342=1,Settings!$C$6,Settings!$C$7))*100)</f>
        <v/>
      </c>
      <c r="AB342" s="7">
        <f>IF($D342="","",X342*AA342/100)</f>
        <v/>
      </c>
      <c r="AC342" s="7">
        <f>IF($D342="","",X342-AB342)</f>
        <v/>
      </c>
      <c r="AD342" s="7">
        <f>IF($D342="","",AC342-P342)</f>
        <v/>
      </c>
      <c r="AH342" s="7" t="n"/>
      <c r="AK342" s="11" t="n"/>
      <c r="AM342">
        <f>IF($D342="","",IF(COUNTIF($D$2:$D342,$D342)=1,1,0))</f>
        <v/>
      </c>
      <c r="AN342">
        <f>IF($AM342=1,SUMPRODUCT(--($AQ$2:$AQ$1001&lt;$AQ342))+1,"")</f>
        <v/>
      </c>
      <c r="AO342">
        <f>IF($D342="","",IF(OR($T342=TRUE(),$T342="TRUE"),1,0))</f>
        <v/>
      </c>
      <c r="AP342">
        <f>IF($D342="","",IF($Z342="Yes",1,0))</f>
        <v/>
      </c>
      <c r="AQ342">
        <f>IF($AM342=1,IFERROR(IF(VALUE($D342)&lt;100000000,VALUE($D342),1000000000),IFERROR(IF(VALUE(MID($D342,2,20))&lt;100000000,VALUE(MID($D342,2,20)),1000000000),1000000000))+ROW()/100000,"")</f>
        <v/>
      </c>
    </row>
    <row r="343">
      <c r="F343" s="11" t="n"/>
      <c r="P343" s="7">
        <f>IF($D343="","",O343*X343/100)</f>
        <v/>
      </c>
      <c r="Q343" s="7" t="n"/>
      <c r="W343" s="7" t="n"/>
      <c r="X343" s="7" t="n"/>
      <c r="AA343">
        <f>IF($D343="","",IF($AP343=1,0,IF($AO343=1,Settings!$C$6,Settings!$C$7))*100)</f>
        <v/>
      </c>
      <c r="AB343" s="7">
        <f>IF($D343="","",X343*AA343/100)</f>
        <v/>
      </c>
      <c r="AC343" s="7">
        <f>IF($D343="","",X343-AB343)</f>
        <v/>
      </c>
      <c r="AD343" s="7">
        <f>IF($D343="","",AC343-P343)</f>
        <v/>
      </c>
      <c r="AH343" s="7" t="n"/>
      <c r="AK343" s="11" t="n"/>
      <c r="AM343">
        <f>IF($D343="","",IF(COUNTIF($D$2:$D343,$D343)=1,1,0))</f>
        <v/>
      </c>
      <c r="AN343">
        <f>IF($AM343=1,SUMPRODUCT(--($AQ$2:$AQ$1001&lt;$AQ343))+1,"")</f>
        <v/>
      </c>
      <c r="AO343">
        <f>IF($D343="","",IF(OR($T343=TRUE(),$T343="TRUE"),1,0))</f>
        <v/>
      </c>
      <c r="AP343">
        <f>IF($D343="","",IF($Z343="Yes",1,0))</f>
        <v/>
      </c>
      <c r="AQ343">
        <f>IF($AM343=1,IFERROR(IF(VALUE($D343)&lt;100000000,VALUE($D343),1000000000),IFERROR(IF(VALUE(MID($D343,2,20))&lt;100000000,VALUE(MID($D343,2,20)),1000000000),1000000000))+ROW()/100000,"")</f>
        <v/>
      </c>
    </row>
    <row r="344">
      <c r="F344" s="11" t="n"/>
      <c r="P344" s="7">
        <f>IF($D344="","",O344*X344/100)</f>
        <v/>
      </c>
      <c r="Q344" s="7" t="n"/>
      <c r="W344" s="7" t="n"/>
      <c r="X344" s="7" t="n"/>
      <c r="AA344">
        <f>IF($D344="","",IF($AP344=1,0,IF($AO344=1,Settings!$C$6,Settings!$C$7))*100)</f>
        <v/>
      </c>
      <c r="AB344" s="7">
        <f>IF($D344="","",X344*AA344/100)</f>
        <v/>
      </c>
      <c r="AC344" s="7">
        <f>IF($D344="","",X344-AB344)</f>
        <v/>
      </c>
      <c r="AD344" s="7">
        <f>IF($D344="","",AC344-P344)</f>
        <v/>
      </c>
      <c r="AH344" s="7" t="n"/>
      <c r="AK344" s="11" t="n"/>
      <c r="AM344">
        <f>IF($D344="","",IF(COUNTIF($D$2:$D344,$D344)=1,1,0))</f>
        <v/>
      </c>
      <c r="AN344">
        <f>IF($AM344=1,SUMPRODUCT(--($AQ$2:$AQ$1001&lt;$AQ344))+1,"")</f>
        <v/>
      </c>
      <c r="AO344">
        <f>IF($D344="","",IF(OR($T344=TRUE(),$T344="TRUE"),1,0))</f>
        <v/>
      </c>
      <c r="AP344">
        <f>IF($D344="","",IF($Z344="Yes",1,0))</f>
        <v/>
      </c>
      <c r="AQ344">
        <f>IF($AM344=1,IFERROR(IF(VALUE($D344)&lt;100000000,VALUE($D344),1000000000),IFERROR(IF(VALUE(MID($D344,2,20))&lt;100000000,VALUE(MID($D344,2,20)),1000000000),1000000000))+ROW()/100000,"")</f>
        <v/>
      </c>
    </row>
    <row r="345">
      <c r="F345" s="11" t="n"/>
      <c r="P345" s="7">
        <f>IF($D345="","",O345*X345/100)</f>
        <v/>
      </c>
      <c r="Q345" s="7" t="n"/>
      <c r="W345" s="7" t="n"/>
      <c r="X345" s="7" t="n"/>
      <c r="AA345">
        <f>IF($D345="","",IF($AP345=1,0,IF($AO345=1,Settings!$C$6,Settings!$C$7))*100)</f>
        <v/>
      </c>
      <c r="AB345" s="7">
        <f>IF($D345="","",X345*AA345/100)</f>
        <v/>
      </c>
      <c r="AC345" s="7">
        <f>IF($D345="","",X345-AB345)</f>
        <v/>
      </c>
      <c r="AD345" s="7">
        <f>IF($D345="","",AC345-P345)</f>
        <v/>
      </c>
      <c r="AH345" s="7" t="n"/>
      <c r="AK345" s="11" t="n"/>
      <c r="AM345">
        <f>IF($D345="","",IF(COUNTIF($D$2:$D345,$D345)=1,1,0))</f>
        <v/>
      </c>
      <c r="AN345">
        <f>IF($AM345=1,SUMPRODUCT(--($AQ$2:$AQ$1001&lt;$AQ345))+1,"")</f>
        <v/>
      </c>
      <c r="AO345">
        <f>IF($D345="","",IF(OR($T345=TRUE(),$T345="TRUE"),1,0))</f>
        <v/>
      </c>
      <c r="AP345">
        <f>IF($D345="","",IF($Z345="Yes",1,0))</f>
        <v/>
      </c>
      <c r="AQ345">
        <f>IF($AM345=1,IFERROR(IF(VALUE($D345)&lt;100000000,VALUE($D345),1000000000),IFERROR(IF(VALUE(MID($D345,2,20))&lt;100000000,VALUE(MID($D345,2,20)),1000000000),1000000000))+ROW()/100000,"")</f>
        <v/>
      </c>
    </row>
    <row r="346">
      <c r="F346" s="11" t="n"/>
      <c r="P346" s="7">
        <f>IF($D346="","",O346*X346/100)</f>
        <v/>
      </c>
      <c r="Q346" s="7" t="n"/>
      <c r="W346" s="7" t="n"/>
      <c r="X346" s="7" t="n"/>
      <c r="AA346">
        <f>IF($D346="","",IF($AP346=1,0,IF($AO346=1,Settings!$C$6,Settings!$C$7))*100)</f>
        <v/>
      </c>
      <c r="AB346" s="7">
        <f>IF($D346="","",X346*AA346/100)</f>
        <v/>
      </c>
      <c r="AC346" s="7">
        <f>IF($D346="","",X346-AB346)</f>
        <v/>
      </c>
      <c r="AD346" s="7">
        <f>IF($D346="","",AC346-P346)</f>
        <v/>
      </c>
      <c r="AH346" s="7" t="n"/>
      <c r="AK346" s="11" t="n"/>
      <c r="AM346">
        <f>IF($D346="","",IF(COUNTIF($D$2:$D346,$D346)=1,1,0))</f>
        <v/>
      </c>
      <c r="AN346">
        <f>IF($AM346=1,SUMPRODUCT(--($AQ$2:$AQ$1001&lt;$AQ346))+1,"")</f>
        <v/>
      </c>
      <c r="AO346">
        <f>IF($D346="","",IF(OR($T346=TRUE(),$T346="TRUE"),1,0))</f>
        <v/>
      </c>
      <c r="AP346">
        <f>IF($D346="","",IF($Z346="Yes",1,0))</f>
        <v/>
      </c>
      <c r="AQ346">
        <f>IF($AM346=1,IFERROR(IF(VALUE($D346)&lt;100000000,VALUE($D346),1000000000),IFERROR(IF(VALUE(MID($D346,2,20))&lt;100000000,VALUE(MID($D346,2,20)),1000000000),1000000000))+ROW()/100000,"")</f>
        <v/>
      </c>
    </row>
    <row r="347">
      <c r="F347" s="11" t="n"/>
      <c r="P347" s="7">
        <f>IF($D347="","",O347*X347/100)</f>
        <v/>
      </c>
      <c r="Q347" s="7" t="n"/>
      <c r="W347" s="7" t="n"/>
      <c r="X347" s="7" t="n"/>
      <c r="AA347">
        <f>IF($D347="","",IF($AP347=1,0,IF($AO347=1,Settings!$C$6,Settings!$C$7))*100)</f>
        <v/>
      </c>
      <c r="AB347" s="7">
        <f>IF($D347="","",X347*AA347/100)</f>
        <v/>
      </c>
      <c r="AC347" s="7">
        <f>IF($D347="","",X347-AB347)</f>
        <v/>
      </c>
      <c r="AD347" s="7">
        <f>IF($D347="","",AC347-P347)</f>
        <v/>
      </c>
      <c r="AH347" s="7" t="n"/>
      <c r="AK347" s="11" t="n"/>
      <c r="AM347">
        <f>IF($D347="","",IF(COUNTIF($D$2:$D347,$D347)=1,1,0))</f>
        <v/>
      </c>
      <c r="AN347">
        <f>IF($AM347=1,SUMPRODUCT(--($AQ$2:$AQ$1001&lt;$AQ347))+1,"")</f>
        <v/>
      </c>
      <c r="AO347">
        <f>IF($D347="","",IF(OR($T347=TRUE(),$T347="TRUE"),1,0))</f>
        <v/>
      </c>
      <c r="AP347">
        <f>IF($D347="","",IF($Z347="Yes",1,0))</f>
        <v/>
      </c>
      <c r="AQ347">
        <f>IF($AM347=1,IFERROR(IF(VALUE($D347)&lt;100000000,VALUE($D347),1000000000),IFERROR(IF(VALUE(MID($D347,2,20))&lt;100000000,VALUE(MID($D347,2,20)),1000000000),1000000000))+ROW()/100000,"")</f>
        <v/>
      </c>
    </row>
    <row r="348">
      <c r="F348" s="11" t="n"/>
      <c r="P348" s="7">
        <f>IF($D348="","",O348*X348/100)</f>
        <v/>
      </c>
      <c r="Q348" s="7" t="n"/>
      <c r="W348" s="7" t="n"/>
      <c r="X348" s="7" t="n"/>
      <c r="AA348">
        <f>IF($D348="","",IF($AP348=1,0,IF($AO348=1,Settings!$C$6,Settings!$C$7))*100)</f>
        <v/>
      </c>
      <c r="AB348" s="7">
        <f>IF($D348="","",X348*AA348/100)</f>
        <v/>
      </c>
      <c r="AC348" s="7">
        <f>IF($D348="","",X348-AB348)</f>
        <v/>
      </c>
      <c r="AD348" s="7">
        <f>IF($D348="","",AC348-P348)</f>
        <v/>
      </c>
      <c r="AH348" s="7" t="n"/>
      <c r="AK348" s="11" t="n"/>
      <c r="AM348">
        <f>IF($D348="","",IF(COUNTIF($D$2:$D348,$D348)=1,1,0))</f>
        <v/>
      </c>
      <c r="AN348">
        <f>IF($AM348=1,SUMPRODUCT(--($AQ$2:$AQ$1001&lt;$AQ348))+1,"")</f>
        <v/>
      </c>
      <c r="AO348">
        <f>IF($D348="","",IF(OR($T348=TRUE(),$T348="TRUE"),1,0))</f>
        <v/>
      </c>
      <c r="AP348">
        <f>IF($D348="","",IF($Z348="Yes",1,0))</f>
        <v/>
      </c>
      <c r="AQ348">
        <f>IF($AM348=1,IFERROR(IF(VALUE($D348)&lt;100000000,VALUE($D348),1000000000),IFERROR(IF(VALUE(MID($D348,2,20))&lt;100000000,VALUE(MID($D348,2,20)),1000000000),1000000000))+ROW()/100000,"")</f>
        <v/>
      </c>
    </row>
    <row r="349">
      <c r="F349" s="11" t="n"/>
      <c r="P349" s="7">
        <f>IF($D349="","",O349*X349/100)</f>
        <v/>
      </c>
      <c r="Q349" s="7" t="n"/>
      <c r="W349" s="7" t="n"/>
      <c r="X349" s="7" t="n"/>
      <c r="AA349">
        <f>IF($D349="","",IF($AP349=1,0,IF($AO349=1,Settings!$C$6,Settings!$C$7))*100)</f>
        <v/>
      </c>
      <c r="AB349" s="7">
        <f>IF($D349="","",X349*AA349/100)</f>
        <v/>
      </c>
      <c r="AC349" s="7">
        <f>IF($D349="","",X349-AB349)</f>
        <v/>
      </c>
      <c r="AD349" s="7">
        <f>IF($D349="","",AC349-P349)</f>
        <v/>
      </c>
      <c r="AH349" s="7" t="n"/>
      <c r="AK349" s="11" t="n"/>
      <c r="AM349">
        <f>IF($D349="","",IF(COUNTIF($D$2:$D349,$D349)=1,1,0))</f>
        <v/>
      </c>
      <c r="AN349">
        <f>IF($AM349=1,SUMPRODUCT(--($AQ$2:$AQ$1001&lt;$AQ349))+1,"")</f>
        <v/>
      </c>
      <c r="AO349">
        <f>IF($D349="","",IF(OR($T349=TRUE(),$T349="TRUE"),1,0))</f>
        <v/>
      </c>
      <c r="AP349">
        <f>IF($D349="","",IF($Z349="Yes",1,0))</f>
        <v/>
      </c>
      <c r="AQ349">
        <f>IF($AM349=1,IFERROR(IF(VALUE($D349)&lt;100000000,VALUE($D349),1000000000),IFERROR(IF(VALUE(MID($D349,2,20))&lt;100000000,VALUE(MID($D349,2,20)),1000000000),1000000000))+ROW()/100000,"")</f>
        <v/>
      </c>
    </row>
    <row r="350">
      <c r="F350" s="11" t="n"/>
      <c r="P350" s="7">
        <f>IF($D350="","",O350*X350/100)</f>
        <v/>
      </c>
      <c r="Q350" s="7" t="n"/>
      <c r="W350" s="7" t="n"/>
      <c r="X350" s="7" t="n"/>
      <c r="AA350">
        <f>IF($D350="","",IF($AP350=1,0,IF($AO350=1,Settings!$C$6,Settings!$C$7))*100)</f>
        <v/>
      </c>
      <c r="AB350" s="7">
        <f>IF($D350="","",X350*AA350/100)</f>
        <v/>
      </c>
      <c r="AC350" s="7">
        <f>IF($D350="","",X350-AB350)</f>
        <v/>
      </c>
      <c r="AD350" s="7">
        <f>IF($D350="","",AC350-P350)</f>
        <v/>
      </c>
      <c r="AH350" s="7" t="n"/>
      <c r="AK350" s="11" t="n"/>
      <c r="AM350">
        <f>IF($D350="","",IF(COUNTIF($D$2:$D350,$D350)=1,1,0))</f>
        <v/>
      </c>
      <c r="AN350">
        <f>IF($AM350=1,SUMPRODUCT(--($AQ$2:$AQ$1001&lt;$AQ350))+1,"")</f>
        <v/>
      </c>
      <c r="AO350">
        <f>IF($D350="","",IF(OR($T350=TRUE(),$T350="TRUE"),1,0))</f>
        <v/>
      </c>
      <c r="AP350">
        <f>IF($D350="","",IF($Z350="Yes",1,0))</f>
        <v/>
      </c>
      <c r="AQ350">
        <f>IF($AM350=1,IFERROR(IF(VALUE($D350)&lt;100000000,VALUE($D350),1000000000),IFERROR(IF(VALUE(MID($D350,2,20))&lt;100000000,VALUE(MID($D350,2,20)),1000000000),1000000000))+ROW()/100000,"")</f>
        <v/>
      </c>
    </row>
    <row r="351">
      <c r="F351" s="11" t="n"/>
      <c r="P351" s="7">
        <f>IF($D351="","",O351*X351/100)</f>
        <v/>
      </c>
      <c r="Q351" s="7" t="n"/>
      <c r="W351" s="7" t="n"/>
      <c r="X351" s="7" t="n"/>
      <c r="AA351">
        <f>IF($D351="","",IF($AP351=1,0,IF($AO351=1,Settings!$C$6,Settings!$C$7))*100)</f>
        <v/>
      </c>
      <c r="AB351" s="7">
        <f>IF($D351="","",X351*AA351/100)</f>
        <v/>
      </c>
      <c r="AC351" s="7">
        <f>IF($D351="","",X351-AB351)</f>
        <v/>
      </c>
      <c r="AD351" s="7">
        <f>IF($D351="","",AC351-P351)</f>
        <v/>
      </c>
      <c r="AH351" s="7" t="n"/>
      <c r="AK351" s="11" t="n"/>
      <c r="AM351">
        <f>IF($D351="","",IF(COUNTIF($D$2:$D351,$D351)=1,1,0))</f>
        <v/>
      </c>
      <c r="AN351">
        <f>IF($AM351=1,SUMPRODUCT(--($AQ$2:$AQ$1001&lt;$AQ351))+1,"")</f>
        <v/>
      </c>
      <c r="AO351">
        <f>IF($D351="","",IF(OR($T351=TRUE(),$T351="TRUE"),1,0))</f>
        <v/>
      </c>
      <c r="AP351">
        <f>IF($D351="","",IF($Z351="Yes",1,0))</f>
        <v/>
      </c>
      <c r="AQ351">
        <f>IF($AM351=1,IFERROR(IF(VALUE($D351)&lt;100000000,VALUE($D351),1000000000),IFERROR(IF(VALUE(MID($D351,2,20))&lt;100000000,VALUE(MID($D351,2,20)),1000000000),1000000000))+ROW()/100000,"")</f>
        <v/>
      </c>
    </row>
    <row r="352">
      <c r="F352" s="11" t="n"/>
      <c r="P352" s="7">
        <f>IF($D352="","",O352*X352/100)</f>
        <v/>
      </c>
      <c r="Q352" s="7" t="n"/>
      <c r="W352" s="7" t="n"/>
      <c r="X352" s="7" t="n"/>
      <c r="AA352">
        <f>IF($D352="","",IF($AP352=1,0,IF($AO352=1,Settings!$C$6,Settings!$C$7))*100)</f>
        <v/>
      </c>
      <c r="AB352" s="7">
        <f>IF($D352="","",X352*AA352/100)</f>
        <v/>
      </c>
      <c r="AC352" s="7">
        <f>IF($D352="","",X352-AB352)</f>
        <v/>
      </c>
      <c r="AD352" s="7">
        <f>IF($D352="","",AC352-P352)</f>
        <v/>
      </c>
      <c r="AH352" s="7" t="n"/>
      <c r="AK352" s="11" t="n"/>
      <c r="AM352">
        <f>IF($D352="","",IF(COUNTIF($D$2:$D352,$D352)=1,1,0))</f>
        <v/>
      </c>
      <c r="AN352">
        <f>IF($AM352=1,SUMPRODUCT(--($AQ$2:$AQ$1001&lt;$AQ352))+1,"")</f>
        <v/>
      </c>
      <c r="AO352">
        <f>IF($D352="","",IF(OR($T352=TRUE(),$T352="TRUE"),1,0))</f>
        <v/>
      </c>
      <c r="AP352">
        <f>IF($D352="","",IF($Z352="Yes",1,0))</f>
        <v/>
      </c>
      <c r="AQ352">
        <f>IF($AM352=1,IFERROR(IF(VALUE($D352)&lt;100000000,VALUE($D352),1000000000),IFERROR(IF(VALUE(MID($D352,2,20))&lt;100000000,VALUE(MID($D352,2,20)),1000000000),1000000000))+ROW()/100000,"")</f>
        <v/>
      </c>
    </row>
    <row r="353">
      <c r="F353" s="11" t="n"/>
      <c r="P353" s="7">
        <f>IF($D353="","",O353*X353/100)</f>
        <v/>
      </c>
      <c r="Q353" s="7" t="n"/>
      <c r="W353" s="7" t="n"/>
      <c r="X353" s="7" t="n"/>
      <c r="AA353">
        <f>IF($D353="","",IF($AP353=1,0,IF($AO353=1,Settings!$C$6,Settings!$C$7))*100)</f>
        <v/>
      </c>
      <c r="AB353" s="7">
        <f>IF($D353="","",X353*AA353/100)</f>
        <v/>
      </c>
      <c r="AC353" s="7">
        <f>IF($D353="","",X353-AB353)</f>
        <v/>
      </c>
      <c r="AD353" s="7">
        <f>IF($D353="","",AC353-P353)</f>
        <v/>
      </c>
      <c r="AH353" s="7" t="n"/>
      <c r="AK353" s="11" t="n"/>
      <c r="AM353">
        <f>IF($D353="","",IF(COUNTIF($D$2:$D353,$D353)=1,1,0))</f>
        <v/>
      </c>
      <c r="AN353">
        <f>IF($AM353=1,SUMPRODUCT(--($AQ$2:$AQ$1001&lt;$AQ353))+1,"")</f>
        <v/>
      </c>
      <c r="AO353">
        <f>IF($D353="","",IF(OR($T353=TRUE(),$T353="TRUE"),1,0))</f>
        <v/>
      </c>
      <c r="AP353">
        <f>IF($D353="","",IF($Z353="Yes",1,0))</f>
        <v/>
      </c>
      <c r="AQ353">
        <f>IF($AM353=1,IFERROR(IF(VALUE($D353)&lt;100000000,VALUE($D353),1000000000),IFERROR(IF(VALUE(MID($D353,2,20))&lt;100000000,VALUE(MID($D353,2,20)),1000000000),1000000000))+ROW()/100000,"")</f>
        <v/>
      </c>
    </row>
    <row r="354">
      <c r="F354" s="11" t="n"/>
      <c r="P354" s="7">
        <f>IF($D354="","",O354*X354/100)</f>
        <v/>
      </c>
      <c r="Q354" s="7" t="n"/>
      <c r="W354" s="7" t="n"/>
      <c r="X354" s="7" t="n"/>
      <c r="AA354">
        <f>IF($D354="","",IF($AP354=1,0,IF($AO354=1,Settings!$C$6,Settings!$C$7))*100)</f>
        <v/>
      </c>
      <c r="AB354" s="7">
        <f>IF($D354="","",X354*AA354/100)</f>
        <v/>
      </c>
      <c r="AC354" s="7">
        <f>IF($D354="","",X354-AB354)</f>
        <v/>
      </c>
      <c r="AD354" s="7">
        <f>IF($D354="","",AC354-P354)</f>
        <v/>
      </c>
      <c r="AH354" s="7" t="n"/>
      <c r="AK354" s="11" t="n"/>
      <c r="AM354">
        <f>IF($D354="","",IF(COUNTIF($D$2:$D354,$D354)=1,1,0))</f>
        <v/>
      </c>
      <c r="AN354">
        <f>IF($AM354=1,SUMPRODUCT(--($AQ$2:$AQ$1001&lt;$AQ354))+1,"")</f>
        <v/>
      </c>
      <c r="AO354">
        <f>IF($D354="","",IF(OR($T354=TRUE(),$T354="TRUE"),1,0))</f>
        <v/>
      </c>
      <c r="AP354">
        <f>IF($D354="","",IF($Z354="Yes",1,0))</f>
        <v/>
      </c>
      <c r="AQ354">
        <f>IF($AM354=1,IFERROR(IF(VALUE($D354)&lt;100000000,VALUE($D354),1000000000),IFERROR(IF(VALUE(MID($D354,2,20))&lt;100000000,VALUE(MID($D354,2,20)),1000000000),1000000000))+ROW()/100000,"")</f>
        <v/>
      </c>
    </row>
    <row r="355">
      <c r="F355" s="11" t="n"/>
      <c r="P355" s="7">
        <f>IF($D355="","",O355*X355/100)</f>
        <v/>
      </c>
      <c r="Q355" s="7" t="n"/>
      <c r="W355" s="7" t="n"/>
      <c r="X355" s="7" t="n"/>
      <c r="AA355">
        <f>IF($D355="","",IF($AP355=1,0,IF($AO355=1,Settings!$C$6,Settings!$C$7))*100)</f>
        <v/>
      </c>
      <c r="AB355" s="7">
        <f>IF($D355="","",X355*AA355/100)</f>
        <v/>
      </c>
      <c r="AC355" s="7">
        <f>IF($D355="","",X355-AB355)</f>
        <v/>
      </c>
      <c r="AD355" s="7">
        <f>IF($D355="","",AC355-P355)</f>
        <v/>
      </c>
      <c r="AH355" s="7" t="n"/>
      <c r="AK355" s="11" t="n"/>
      <c r="AM355">
        <f>IF($D355="","",IF(COUNTIF($D$2:$D355,$D355)=1,1,0))</f>
        <v/>
      </c>
      <c r="AN355">
        <f>IF($AM355=1,SUMPRODUCT(--($AQ$2:$AQ$1001&lt;$AQ355))+1,"")</f>
        <v/>
      </c>
      <c r="AO355">
        <f>IF($D355="","",IF(OR($T355=TRUE(),$T355="TRUE"),1,0))</f>
        <v/>
      </c>
      <c r="AP355">
        <f>IF($D355="","",IF($Z355="Yes",1,0))</f>
        <v/>
      </c>
      <c r="AQ355">
        <f>IF($AM355=1,IFERROR(IF(VALUE($D355)&lt;100000000,VALUE($D355),1000000000),IFERROR(IF(VALUE(MID($D355,2,20))&lt;100000000,VALUE(MID($D355,2,20)),1000000000),1000000000))+ROW()/100000,"")</f>
        <v/>
      </c>
    </row>
    <row r="356">
      <c r="F356" s="11" t="n"/>
      <c r="P356" s="7">
        <f>IF($D356="","",O356*X356/100)</f>
        <v/>
      </c>
      <c r="Q356" s="7" t="n"/>
      <c r="W356" s="7" t="n"/>
      <c r="X356" s="7" t="n"/>
      <c r="AA356">
        <f>IF($D356="","",IF($AP356=1,0,IF($AO356=1,Settings!$C$6,Settings!$C$7))*100)</f>
        <v/>
      </c>
      <c r="AB356" s="7">
        <f>IF($D356="","",X356*AA356/100)</f>
        <v/>
      </c>
      <c r="AC356" s="7">
        <f>IF($D356="","",X356-AB356)</f>
        <v/>
      </c>
      <c r="AD356" s="7">
        <f>IF($D356="","",AC356-P356)</f>
        <v/>
      </c>
      <c r="AH356" s="7" t="n"/>
      <c r="AK356" s="11" t="n"/>
      <c r="AM356">
        <f>IF($D356="","",IF(COUNTIF($D$2:$D356,$D356)=1,1,0))</f>
        <v/>
      </c>
      <c r="AN356">
        <f>IF($AM356=1,SUMPRODUCT(--($AQ$2:$AQ$1001&lt;$AQ356))+1,"")</f>
        <v/>
      </c>
      <c r="AO356">
        <f>IF($D356="","",IF(OR($T356=TRUE(),$T356="TRUE"),1,0))</f>
        <v/>
      </c>
      <c r="AP356">
        <f>IF($D356="","",IF($Z356="Yes",1,0))</f>
        <v/>
      </c>
      <c r="AQ356">
        <f>IF($AM356=1,IFERROR(IF(VALUE($D356)&lt;100000000,VALUE($D356),1000000000),IFERROR(IF(VALUE(MID($D356,2,20))&lt;100000000,VALUE(MID($D356,2,20)),1000000000),1000000000))+ROW()/100000,"")</f>
        <v/>
      </c>
    </row>
    <row r="357">
      <c r="F357" s="11" t="n"/>
      <c r="P357" s="7">
        <f>IF($D357="","",O357*X357/100)</f>
        <v/>
      </c>
      <c r="Q357" s="7" t="n"/>
      <c r="W357" s="7" t="n"/>
      <c r="X357" s="7" t="n"/>
      <c r="AA357">
        <f>IF($D357="","",IF($AP357=1,0,IF($AO357=1,Settings!$C$6,Settings!$C$7))*100)</f>
        <v/>
      </c>
      <c r="AB357" s="7">
        <f>IF($D357="","",X357*AA357/100)</f>
        <v/>
      </c>
      <c r="AC357" s="7">
        <f>IF($D357="","",X357-AB357)</f>
        <v/>
      </c>
      <c r="AD357" s="7">
        <f>IF($D357="","",AC357-P357)</f>
        <v/>
      </c>
      <c r="AH357" s="7" t="n"/>
      <c r="AK357" s="11" t="n"/>
      <c r="AM357">
        <f>IF($D357="","",IF(COUNTIF($D$2:$D357,$D357)=1,1,0))</f>
        <v/>
      </c>
      <c r="AN357">
        <f>IF($AM357=1,SUMPRODUCT(--($AQ$2:$AQ$1001&lt;$AQ357))+1,"")</f>
        <v/>
      </c>
      <c r="AO357">
        <f>IF($D357="","",IF(OR($T357=TRUE(),$T357="TRUE"),1,0))</f>
        <v/>
      </c>
      <c r="AP357">
        <f>IF($D357="","",IF($Z357="Yes",1,0))</f>
        <v/>
      </c>
      <c r="AQ357">
        <f>IF($AM357=1,IFERROR(IF(VALUE($D357)&lt;100000000,VALUE($D357),1000000000),IFERROR(IF(VALUE(MID($D357,2,20))&lt;100000000,VALUE(MID($D357,2,20)),1000000000),1000000000))+ROW()/100000,"")</f>
        <v/>
      </c>
    </row>
    <row r="358">
      <c r="F358" s="11" t="n"/>
      <c r="P358" s="7">
        <f>IF($D358="","",O358*X358/100)</f>
        <v/>
      </c>
      <c r="Q358" s="7" t="n"/>
      <c r="W358" s="7" t="n"/>
      <c r="X358" s="7" t="n"/>
      <c r="AA358">
        <f>IF($D358="","",IF($AP358=1,0,IF($AO358=1,Settings!$C$6,Settings!$C$7))*100)</f>
        <v/>
      </c>
      <c r="AB358" s="7">
        <f>IF($D358="","",X358*AA358/100)</f>
        <v/>
      </c>
      <c r="AC358" s="7">
        <f>IF($D358="","",X358-AB358)</f>
        <v/>
      </c>
      <c r="AD358" s="7">
        <f>IF($D358="","",AC358-P358)</f>
        <v/>
      </c>
      <c r="AH358" s="7" t="n"/>
      <c r="AK358" s="11" t="n"/>
      <c r="AM358">
        <f>IF($D358="","",IF(COUNTIF($D$2:$D358,$D358)=1,1,0))</f>
        <v/>
      </c>
      <c r="AN358">
        <f>IF($AM358=1,SUMPRODUCT(--($AQ$2:$AQ$1001&lt;$AQ358))+1,"")</f>
        <v/>
      </c>
      <c r="AO358">
        <f>IF($D358="","",IF(OR($T358=TRUE(),$T358="TRUE"),1,0))</f>
        <v/>
      </c>
      <c r="AP358">
        <f>IF($D358="","",IF($Z358="Yes",1,0))</f>
        <v/>
      </c>
      <c r="AQ358">
        <f>IF($AM358=1,IFERROR(IF(VALUE($D358)&lt;100000000,VALUE($D358),1000000000),IFERROR(IF(VALUE(MID($D358,2,20))&lt;100000000,VALUE(MID($D358,2,20)),1000000000),1000000000))+ROW()/100000,"")</f>
        <v/>
      </c>
    </row>
    <row r="359">
      <c r="F359" s="11" t="n"/>
      <c r="P359" s="7">
        <f>IF($D359="","",O359*X359/100)</f>
        <v/>
      </c>
      <c r="Q359" s="7" t="n"/>
      <c r="W359" s="7" t="n"/>
      <c r="X359" s="7" t="n"/>
      <c r="AA359">
        <f>IF($D359="","",IF($AP359=1,0,IF($AO359=1,Settings!$C$6,Settings!$C$7))*100)</f>
        <v/>
      </c>
      <c r="AB359" s="7">
        <f>IF($D359="","",X359*AA359/100)</f>
        <v/>
      </c>
      <c r="AC359" s="7">
        <f>IF($D359="","",X359-AB359)</f>
        <v/>
      </c>
      <c r="AD359" s="7">
        <f>IF($D359="","",AC359-P359)</f>
        <v/>
      </c>
      <c r="AH359" s="7" t="n"/>
      <c r="AK359" s="11" t="n"/>
      <c r="AM359">
        <f>IF($D359="","",IF(COUNTIF($D$2:$D359,$D359)=1,1,0))</f>
        <v/>
      </c>
      <c r="AN359">
        <f>IF($AM359=1,SUMPRODUCT(--($AQ$2:$AQ$1001&lt;$AQ359))+1,"")</f>
        <v/>
      </c>
      <c r="AO359">
        <f>IF($D359="","",IF(OR($T359=TRUE(),$T359="TRUE"),1,0))</f>
        <v/>
      </c>
      <c r="AP359">
        <f>IF($D359="","",IF($Z359="Yes",1,0))</f>
        <v/>
      </c>
      <c r="AQ359">
        <f>IF($AM359=1,IFERROR(IF(VALUE($D359)&lt;100000000,VALUE($D359),1000000000),IFERROR(IF(VALUE(MID($D359,2,20))&lt;100000000,VALUE(MID($D359,2,20)),1000000000),1000000000))+ROW()/100000,"")</f>
        <v/>
      </c>
    </row>
    <row r="360">
      <c r="F360" s="11" t="n"/>
      <c r="P360" s="7">
        <f>IF($D360="","",O360*X360/100)</f>
        <v/>
      </c>
      <c r="Q360" s="7" t="n"/>
      <c r="W360" s="7" t="n"/>
      <c r="X360" s="7" t="n"/>
      <c r="AA360">
        <f>IF($D360="","",IF($AP360=1,0,IF($AO360=1,Settings!$C$6,Settings!$C$7))*100)</f>
        <v/>
      </c>
      <c r="AB360" s="7">
        <f>IF($D360="","",X360*AA360/100)</f>
        <v/>
      </c>
      <c r="AC360" s="7">
        <f>IF($D360="","",X360-AB360)</f>
        <v/>
      </c>
      <c r="AD360" s="7">
        <f>IF($D360="","",AC360-P360)</f>
        <v/>
      </c>
      <c r="AH360" s="7" t="n"/>
      <c r="AK360" s="11" t="n"/>
      <c r="AM360">
        <f>IF($D360="","",IF(COUNTIF($D$2:$D360,$D360)=1,1,0))</f>
        <v/>
      </c>
      <c r="AN360">
        <f>IF($AM360=1,SUMPRODUCT(--($AQ$2:$AQ$1001&lt;$AQ360))+1,"")</f>
        <v/>
      </c>
      <c r="AO360">
        <f>IF($D360="","",IF(OR($T360=TRUE(),$T360="TRUE"),1,0))</f>
        <v/>
      </c>
      <c r="AP360">
        <f>IF($D360="","",IF($Z360="Yes",1,0))</f>
        <v/>
      </c>
      <c r="AQ360">
        <f>IF($AM360=1,IFERROR(IF(VALUE($D360)&lt;100000000,VALUE($D360),1000000000),IFERROR(IF(VALUE(MID($D360,2,20))&lt;100000000,VALUE(MID($D360,2,20)),1000000000),1000000000))+ROW()/100000,"")</f>
        <v/>
      </c>
    </row>
    <row r="361">
      <c r="F361" s="11" t="n"/>
      <c r="P361" s="7">
        <f>IF($D361="","",O361*X361/100)</f>
        <v/>
      </c>
      <c r="Q361" s="7" t="n"/>
      <c r="W361" s="7" t="n"/>
      <c r="X361" s="7" t="n"/>
      <c r="AA361">
        <f>IF($D361="","",IF($AP361=1,0,IF($AO361=1,Settings!$C$6,Settings!$C$7))*100)</f>
        <v/>
      </c>
      <c r="AB361" s="7">
        <f>IF($D361="","",X361*AA361/100)</f>
        <v/>
      </c>
      <c r="AC361" s="7">
        <f>IF($D361="","",X361-AB361)</f>
        <v/>
      </c>
      <c r="AD361" s="7">
        <f>IF($D361="","",AC361-P361)</f>
        <v/>
      </c>
      <c r="AH361" s="7" t="n"/>
      <c r="AK361" s="11" t="n"/>
      <c r="AM361">
        <f>IF($D361="","",IF(COUNTIF($D$2:$D361,$D361)=1,1,0))</f>
        <v/>
      </c>
      <c r="AN361">
        <f>IF($AM361=1,SUMPRODUCT(--($AQ$2:$AQ$1001&lt;$AQ361))+1,"")</f>
        <v/>
      </c>
      <c r="AO361">
        <f>IF($D361="","",IF(OR($T361=TRUE(),$T361="TRUE"),1,0))</f>
        <v/>
      </c>
      <c r="AP361">
        <f>IF($D361="","",IF($Z361="Yes",1,0))</f>
        <v/>
      </c>
      <c r="AQ361">
        <f>IF($AM361=1,IFERROR(IF(VALUE($D361)&lt;100000000,VALUE($D361),1000000000),IFERROR(IF(VALUE(MID($D361,2,20))&lt;100000000,VALUE(MID($D361,2,20)),1000000000),1000000000))+ROW()/100000,"")</f>
        <v/>
      </c>
    </row>
    <row r="362">
      <c r="F362" s="11" t="n"/>
      <c r="P362" s="7">
        <f>IF($D362="","",O362*X362/100)</f>
        <v/>
      </c>
      <c r="Q362" s="7" t="n"/>
      <c r="W362" s="7" t="n"/>
      <c r="X362" s="7" t="n"/>
      <c r="AA362">
        <f>IF($D362="","",IF($AP362=1,0,IF($AO362=1,Settings!$C$6,Settings!$C$7))*100)</f>
        <v/>
      </c>
      <c r="AB362" s="7">
        <f>IF($D362="","",X362*AA362/100)</f>
        <v/>
      </c>
      <c r="AC362" s="7">
        <f>IF($D362="","",X362-AB362)</f>
        <v/>
      </c>
      <c r="AD362" s="7">
        <f>IF($D362="","",AC362-P362)</f>
        <v/>
      </c>
      <c r="AH362" s="7" t="n"/>
      <c r="AK362" s="11" t="n"/>
      <c r="AM362">
        <f>IF($D362="","",IF(COUNTIF($D$2:$D362,$D362)=1,1,0))</f>
        <v/>
      </c>
      <c r="AN362">
        <f>IF($AM362=1,SUMPRODUCT(--($AQ$2:$AQ$1001&lt;$AQ362))+1,"")</f>
        <v/>
      </c>
      <c r="AO362">
        <f>IF($D362="","",IF(OR($T362=TRUE(),$T362="TRUE"),1,0))</f>
        <v/>
      </c>
      <c r="AP362">
        <f>IF($D362="","",IF($Z362="Yes",1,0))</f>
        <v/>
      </c>
      <c r="AQ362">
        <f>IF($AM362=1,IFERROR(IF(VALUE($D362)&lt;100000000,VALUE($D362),1000000000),IFERROR(IF(VALUE(MID($D362,2,20))&lt;100000000,VALUE(MID($D362,2,20)),1000000000),1000000000))+ROW()/100000,"")</f>
        <v/>
      </c>
    </row>
    <row r="363">
      <c r="F363" s="11" t="n"/>
      <c r="P363" s="7">
        <f>IF($D363="","",O363*X363/100)</f>
        <v/>
      </c>
      <c r="Q363" s="7" t="n"/>
      <c r="W363" s="7" t="n"/>
      <c r="X363" s="7" t="n"/>
      <c r="AA363">
        <f>IF($D363="","",IF($AP363=1,0,IF($AO363=1,Settings!$C$6,Settings!$C$7))*100)</f>
        <v/>
      </c>
      <c r="AB363" s="7">
        <f>IF($D363="","",X363*AA363/100)</f>
        <v/>
      </c>
      <c r="AC363" s="7">
        <f>IF($D363="","",X363-AB363)</f>
        <v/>
      </c>
      <c r="AD363" s="7">
        <f>IF($D363="","",AC363-P363)</f>
        <v/>
      </c>
      <c r="AH363" s="7" t="n"/>
      <c r="AK363" s="11" t="n"/>
      <c r="AM363">
        <f>IF($D363="","",IF(COUNTIF($D$2:$D363,$D363)=1,1,0))</f>
        <v/>
      </c>
      <c r="AN363">
        <f>IF($AM363=1,SUMPRODUCT(--($AQ$2:$AQ$1001&lt;$AQ363))+1,"")</f>
        <v/>
      </c>
      <c r="AO363">
        <f>IF($D363="","",IF(OR($T363=TRUE(),$T363="TRUE"),1,0))</f>
        <v/>
      </c>
      <c r="AP363">
        <f>IF($D363="","",IF($Z363="Yes",1,0))</f>
        <v/>
      </c>
      <c r="AQ363">
        <f>IF($AM363=1,IFERROR(IF(VALUE($D363)&lt;100000000,VALUE($D363),1000000000),IFERROR(IF(VALUE(MID($D363,2,20))&lt;100000000,VALUE(MID($D363,2,20)),1000000000),1000000000))+ROW()/100000,"")</f>
        <v/>
      </c>
    </row>
    <row r="364">
      <c r="F364" s="11" t="n"/>
      <c r="P364" s="7">
        <f>IF($D364="","",O364*X364/100)</f>
        <v/>
      </c>
      <c r="Q364" s="7" t="n"/>
      <c r="W364" s="7" t="n"/>
      <c r="X364" s="7" t="n"/>
      <c r="AA364">
        <f>IF($D364="","",IF($AP364=1,0,IF($AO364=1,Settings!$C$6,Settings!$C$7))*100)</f>
        <v/>
      </c>
      <c r="AB364" s="7">
        <f>IF($D364="","",X364*AA364/100)</f>
        <v/>
      </c>
      <c r="AC364" s="7">
        <f>IF($D364="","",X364-AB364)</f>
        <v/>
      </c>
      <c r="AD364" s="7">
        <f>IF($D364="","",AC364-P364)</f>
        <v/>
      </c>
      <c r="AH364" s="7" t="n"/>
      <c r="AK364" s="11" t="n"/>
      <c r="AM364">
        <f>IF($D364="","",IF(COUNTIF($D$2:$D364,$D364)=1,1,0))</f>
        <v/>
      </c>
      <c r="AN364">
        <f>IF($AM364=1,SUMPRODUCT(--($AQ$2:$AQ$1001&lt;$AQ364))+1,"")</f>
        <v/>
      </c>
      <c r="AO364">
        <f>IF($D364="","",IF(OR($T364=TRUE(),$T364="TRUE"),1,0))</f>
        <v/>
      </c>
      <c r="AP364">
        <f>IF($D364="","",IF($Z364="Yes",1,0))</f>
        <v/>
      </c>
      <c r="AQ364">
        <f>IF($AM364=1,IFERROR(IF(VALUE($D364)&lt;100000000,VALUE($D364),1000000000),IFERROR(IF(VALUE(MID($D364,2,20))&lt;100000000,VALUE(MID($D364,2,20)),1000000000),1000000000))+ROW()/100000,"")</f>
        <v/>
      </c>
    </row>
    <row r="365">
      <c r="F365" s="11" t="n"/>
      <c r="P365" s="7">
        <f>IF($D365="","",O365*X365/100)</f>
        <v/>
      </c>
      <c r="Q365" s="7" t="n"/>
      <c r="W365" s="7" t="n"/>
      <c r="X365" s="7" t="n"/>
      <c r="AA365">
        <f>IF($D365="","",IF($AP365=1,0,IF($AO365=1,Settings!$C$6,Settings!$C$7))*100)</f>
        <v/>
      </c>
      <c r="AB365" s="7">
        <f>IF($D365="","",X365*AA365/100)</f>
        <v/>
      </c>
      <c r="AC365" s="7">
        <f>IF($D365="","",X365-AB365)</f>
        <v/>
      </c>
      <c r="AD365" s="7">
        <f>IF($D365="","",AC365-P365)</f>
        <v/>
      </c>
      <c r="AH365" s="7" t="n"/>
      <c r="AK365" s="11" t="n"/>
      <c r="AM365">
        <f>IF($D365="","",IF(COUNTIF($D$2:$D365,$D365)=1,1,0))</f>
        <v/>
      </c>
      <c r="AN365">
        <f>IF($AM365=1,SUMPRODUCT(--($AQ$2:$AQ$1001&lt;$AQ365))+1,"")</f>
        <v/>
      </c>
      <c r="AO365">
        <f>IF($D365="","",IF(OR($T365=TRUE(),$T365="TRUE"),1,0))</f>
        <v/>
      </c>
      <c r="AP365">
        <f>IF($D365="","",IF($Z365="Yes",1,0))</f>
        <v/>
      </c>
      <c r="AQ365">
        <f>IF($AM365=1,IFERROR(IF(VALUE($D365)&lt;100000000,VALUE($D365),1000000000),IFERROR(IF(VALUE(MID($D365,2,20))&lt;100000000,VALUE(MID($D365,2,20)),1000000000),1000000000))+ROW()/100000,"")</f>
        <v/>
      </c>
    </row>
    <row r="366">
      <c r="F366" s="11" t="n"/>
      <c r="P366" s="7">
        <f>IF($D366="","",O366*X366/100)</f>
        <v/>
      </c>
      <c r="Q366" s="7" t="n"/>
      <c r="W366" s="7" t="n"/>
      <c r="X366" s="7" t="n"/>
      <c r="AA366">
        <f>IF($D366="","",IF($AP366=1,0,IF($AO366=1,Settings!$C$6,Settings!$C$7))*100)</f>
        <v/>
      </c>
      <c r="AB366" s="7">
        <f>IF($D366="","",X366*AA366/100)</f>
        <v/>
      </c>
      <c r="AC366" s="7">
        <f>IF($D366="","",X366-AB366)</f>
        <v/>
      </c>
      <c r="AD366" s="7">
        <f>IF($D366="","",AC366-P366)</f>
        <v/>
      </c>
      <c r="AH366" s="7" t="n"/>
      <c r="AK366" s="11" t="n"/>
      <c r="AM366">
        <f>IF($D366="","",IF(COUNTIF($D$2:$D366,$D366)=1,1,0))</f>
        <v/>
      </c>
      <c r="AN366">
        <f>IF($AM366=1,SUMPRODUCT(--($AQ$2:$AQ$1001&lt;$AQ366))+1,"")</f>
        <v/>
      </c>
      <c r="AO366">
        <f>IF($D366="","",IF(OR($T366=TRUE(),$T366="TRUE"),1,0))</f>
        <v/>
      </c>
      <c r="AP366">
        <f>IF($D366="","",IF($Z366="Yes",1,0))</f>
        <v/>
      </c>
      <c r="AQ366">
        <f>IF($AM366=1,IFERROR(IF(VALUE($D366)&lt;100000000,VALUE($D366),1000000000),IFERROR(IF(VALUE(MID($D366,2,20))&lt;100000000,VALUE(MID($D366,2,20)),1000000000),1000000000))+ROW()/100000,"")</f>
        <v/>
      </c>
    </row>
    <row r="367">
      <c r="F367" s="11" t="n"/>
      <c r="P367" s="7">
        <f>IF($D367="","",O367*X367/100)</f>
        <v/>
      </c>
      <c r="Q367" s="7" t="n"/>
      <c r="W367" s="7" t="n"/>
      <c r="X367" s="7" t="n"/>
      <c r="AA367">
        <f>IF($D367="","",IF($AP367=1,0,IF($AO367=1,Settings!$C$6,Settings!$C$7))*100)</f>
        <v/>
      </c>
      <c r="AB367" s="7">
        <f>IF($D367="","",X367*AA367/100)</f>
        <v/>
      </c>
      <c r="AC367" s="7">
        <f>IF($D367="","",X367-AB367)</f>
        <v/>
      </c>
      <c r="AD367" s="7">
        <f>IF($D367="","",AC367-P367)</f>
        <v/>
      </c>
      <c r="AH367" s="7" t="n"/>
      <c r="AK367" s="11" t="n"/>
      <c r="AM367">
        <f>IF($D367="","",IF(COUNTIF($D$2:$D367,$D367)=1,1,0))</f>
        <v/>
      </c>
      <c r="AN367">
        <f>IF($AM367=1,SUMPRODUCT(--($AQ$2:$AQ$1001&lt;$AQ367))+1,"")</f>
        <v/>
      </c>
      <c r="AO367">
        <f>IF($D367="","",IF(OR($T367=TRUE(),$T367="TRUE"),1,0))</f>
        <v/>
      </c>
      <c r="AP367">
        <f>IF($D367="","",IF($Z367="Yes",1,0))</f>
        <v/>
      </c>
      <c r="AQ367">
        <f>IF($AM367=1,IFERROR(IF(VALUE($D367)&lt;100000000,VALUE($D367),1000000000),IFERROR(IF(VALUE(MID($D367,2,20))&lt;100000000,VALUE(MID($D367,2,20)),1000000000),1000000000))+ROW()/100000,"")</f>
        <v/>
      </c>
    </row>
    <row r="368">
      <c r="F368" s="11" t="n"/>
      <c r="P368" s="7">
        <f>IF($D368="","",O368*X368/100)</f>
        <v/>
      </c>
      <c r="Q368" s="7" t="n"/>
      <c r="W368" s="7" t="n"/>
      <c r="X368" s="7" t="n"/>
      <c r="AA368">
        <f>IF($D368="","",IF($AP368=1,0,IF($AO368=1,Settings!$C$6,Settings!$C$7))*100)</f>
        <v/>
      </c>
      <c r="AB368" s="7">
        <f>IF($D368="","",X368*AA368/100)</f>
        <v/>
      </c>
      <c r="AC368" s="7">
        <f>IF($D368="","",X368-AB368)</f>
        <v/>
      </c>
      <c r="AD368" s="7">
        <f>IF($D368="","",AC368-P368)</f>
        <v/>
      </c>
      <c r="AH368" s="7" t="n"/>
      <c r="AK368" s="11" t="n"/>
      <c r="AM368">
        <f>IF($D368="","",IF(COUNTIF($D$2:$D368,$D368)=1,1,0))</f>
        <v/>
      </c>
      <c r="AN368">
        <f>IF($AM368=1,SUMPRODUCT(--($AQ$2:$AQ$1001&lt;$AQ368))+1,"")</f>
        <v/>
      </c>
      <c r="AO368">
        <f>IF($D368="","",IF(OR($T368=TRUE(),$T368="TRUE"),1,0))</f>
        <v/>
      </c>
      <c r="AP368">
        <f>IF($D368="","",IF($Z368="Yes",1,0))</f>
        <v/>
      </c>
      <c r="AQ368">
        <f>IF($AM368=1,IFERROR(IF(VALUE($D368)&lt;100000000,VALUE($D368),1000000000),IFERROR(IF(VALUE(MID($D368,2,20))&lt;100000000,VALUE(MID($D368,2,20)),1000000000),1000000000))+ROW()/100000,"")</f>
        <v/>
      </c>
    </row>
    <row r="369">
      <c r="F369" s="11" t="n"/>
      <c r="P369" s="7">
        <f>IF($D369="","",O369*X369/100)</f>
        <v/>
      </c>
      <c r="Q369" s="7" t="n"/>
      <c r="W369" s="7" t="n"/>
      <c r="X369" s="7" t="n"/>
      <c r="AA369">
        <f>IF($D369="","",IF($AP369=1,0,IF($AO369=1,Settings!$C$6,Settings!$C$7))*100)</f>
        <v/>
      </c>
      <c r="AB369" s="7">
        <f>IF($D369="","",X369*AA369/100)</f>
        <v/>
      </c>
      <c r="AC369" s="7">
        <f>IF($D369="","",X369-AB369)</f>
        <v/>
      </c>
      <c r="AD369" s="7">
        <f>IF($D369="","",AC369-P369)</f>
        <v/>
      </c>
      <c r="AH369" s="7" t="n"/>
      <c r="AK369" s="11" t="n"/>
      <c r="AM369">
        <f>IF($D369="","",IF(COUNTIF($D$2:$D369,$D369)=1,1,0))</f>
        <v/>
      </c>
      <c r="AN369">
        <f>IF($AM369=1,SUMPRODUCT(--($AQ$2:$AQ$1001&lt;$AQ369))+1,"")</f>
        <v/>
      </c>
      <c r="AO369">
        <f>IF($D369="","",IF(OR($T369=TRUE(),$T369="TRUE"),1,0))</f>
        <v/>
      </c>
      <c r="AP369">
        <f>IF($D369="","",IF($Z369="Yes",1,0))</f>
        <v/>
      </c>
      <c r="AQ369">
        <f>IF($AM369=1,IFERROR(IF(VALUE($D369)&lt;100000000,VALUE($D369),1000000000),IFERROR(IF(VALUE(MID($D369,2,20))&lt;100000000,VALUE(MID($D369,2,20)),1000000000),1000000000))+ROW()/100000,"")</f>
        <v/>
      </c>
    </row>
    <row r="370">
      <c r="F370" s="11" t="n"/>
      <c r="P370" s="7">
        <f>IF($D370="","",O370*X370/100)</f>
        <v/>
      </c>
      <c r="Q370" s="7" t="n"/>
      <c r="W370" s="7" t="n"/>
      <c r="X370" s="7" t="n"/>
      <c r="AA370">
        <f>IF($D370="","",IF($AP370=1,0,IF($AO370=1,Settings!$C$6,Settings!$C$7))*100)</f>
        <v/>
      </c>
      <c r="AB370" s="7">
        <f>IF($D370="","",X370*AA370/100)</f>
        <v/>
      </c>
      <c r="AC370" s="7">
        <f>IF($D370="","",X370-AB370)</f>
        <v/>
      </c>
      <c r="AD370" s="7">
        <f>IF($D370="","",AC370-P370)</f>
        <v/>
      </c>
      <c r="AH370" s="7" t="n"/>
      <c r="AK370" s="11" t="n"/>
      <c r="AM370">
        <f>IF($D370="","",IF(COUNTIF($D$2:$D370,$D370)=1,1,0))</f>
        <v/>
      </c>
      <c r="AN370">
        <f>IF($AM370=1,SUMPRODUCT(--($AQ$2:$AQ$1001&lt;$AQ370))+1,"")</f>
        <v/>
      </c>
      <c r="AO370">
        <f>IF($D370="","",IF(OR($T370=TRUE(),$T370="TRUE"),1,0))</f>
        <v/>
      </c>
      <c r="AP370">
        <f>IF($D370="","",IF($Z370="Yes",1,0))</f>
        <v/>
      </c>
      <c r="AQ370">
        <f>IF($AM370=1,IFERROR(IF(VALUE($D370)&lt;100000000,VALUE($D370),1000000000),IFERROR(IF(VALUE(MID($D370,2,20))&lt;100000000,VALUE(MID($D370,2,20)),1000000000),1000000000))+ROW()/100000,"")</f>
        <v/>
      </c>
    </row>
    <row r="371">
      <c r="F371" s="11" t="n"/>
      <c r="P371" s="7">
        <f>IF($D371="","",O371*X371/100)</f>
        <v/>
      </c>
      <c r="Q371" s="7" t="n"/>
      <c r="W371" s="7" t="n"/>
      <c r="X371" s="7" t="n"/>
      <c r="AA371">
        <f>IF($D371="","",IF($AP371=1,0,IF($AO371=1,Settings!$C$6,Settings!$C$7))*100)</f>
        <v/>
      </c>
      <c r="AB371" s="7">
        <f>IF($D371="","",X371*AA371/100)</f>
        <v/>
      </c>
      <c r="AC371" s="7">
        <f>IF($D371="","",X371-AB371)</f>
        <v/>
      </c>
      <c r="AD371" s="7">
        <f>IF($D371="","",AC371-P371)</f>
        <v/>
      </c>
      <c r="AH371" s="7" t="n"/>
      <c r="AK371" s="11" t="n"/>
      <c r="AM371">
        <f>IF($D371="","",IF(COUNTIF($D$2:$D371,$D371)=1,1,0))</f>
        <v/>
      </c>
      <c r="AN371">
        <f>IF($AM371=1,SUMPRODUCT(--($AQ$2:$AQ$1001&lt;$AQ371))+1,"")</f>
        <v/>
      </c>
      <c r="AO371">
        <f>IF($D371="","",IF(OR($T371=TRUE(),$T371="TRUE"),1,0))</f>
        <v/>
      </c>
      <c r="AP371">
        <f>IF($D371="","",IF($Z371="Yes",1,0))</f>
        <v/>
      </c>
      <c r="AQ371">
        <f>IF($AM371=1,IFERROR(IF(VALUE($D371)&lt;100000000,VALUE($D371),1000000000),IFERROR(IF(VALUE(MID($D371,2,20))&lt;100000000,VALUE(MID($D371,2,20)),1000000000),1000000000))+ROW()/100000,"")</f>
        <v/>
      </c>
    </row>
    <row r="372">
      <c r="F372" s="11" t="n"/>
      <c r="P372" s="7">
        <f>IF($D372="","",O372*X372/100)</f>
        <v/>
      </c>
      <c r="Q372" s="7" t="n"/>
      <c r="W372" s="7" t="n"/>
      <c r="X372" s="7" t="n"/>
      <c r="AA372">
        <f>IF($D372="","",IF($AP372=1,0,IF($AO372=1,Settings!$C$6,Settings!$C$7))*100)</f>
        <v/>
      </c>
      <c r="AB372" s="7">
        <f>IF($D372="","",X372*AA372/100)</f>
        <v/>
      </c>
      <c r="AC372" s="7">
        <f>IF($D372="","",X372-AB372)</f>
        <v/>
      </c>
      <c r="AD372" s="7">
        <f>IF($D372="","",AC372-P372)</f>
        <v/>
      </c>
      <c r="AH372" s="7" t="n"/>
      <c r="AK372" s="11" t="n"/>
      <c r="AM372">
        <f>IF($D372="","",IF(COUNTIF($D$2:$D372,$D372)=1,1,0))</f>
        <v/>
      </c>
      <c r="AN372">
        <f>IF($AM372=1,SUMPRODUCT(--($AQ$2:$AQ$1001&lt;$AQ372))+1,"")</f>
        <v/>
      </c>
      <c r="AO372">
        <f>IF($D372="","",IF(OR($T372=TRUE(),$T372="TRUE"),1,0))</f>
        <v/>
      </c>
      <c r="AP372">
        <f>IF($D372="","",IF($Z372="Yes",1,0))</f>
        <v/>
      </c>
      <c r="AQ372">
        <f>IF($AM372=1,IFERROR(IF(VALUE($D372)&lt;100000000,VALUE($D372),1000000000),IFERROR(IF(VALUE(MID($D372,2,20))&lt;100000000,VALUE(MID($D372,2,20)),1000000000),1000000000))+ROW()/100000,"")</f>
        <v/>
      </c>
    </row>
    <row r="373">
      <c r="F373" s="11" t="n"/>
      <c r="P373" s="7">
        <f>IF($D373="","",O373*X373/100)</f>
        <v/>
      </c>
      <c r="Q373" s="7" t="n"/>
      <c r="W373" s="7" t="n"/>
      <c r="X373" s="7" t="n"/>
      <c r="AA373">
        <f>IF($D373="","",IF($AP373=1,0,IF($AO373=1,Settings!$C$6,Settings!$C$7))*100)</f>
        <v/>
      </c>
      <c r="AB373" s="7">
        <f>IF($D373="","",X373*AA373/100)</f>
        <v/>
      </c>
      <c r="AC373" s="7">
        <f>IF($D373="","",X373-AB373)</f>
        <v/>
      </c>
      <c r="AD373" s="7">
        <f>IF($D373="","",AC373-P373)</f>
        <v/>
      </c>
      <c r="AH373" s="7" t="n"/>
      <c r="AK373" s="11" t="n"/>
      <c r="AM373">
        <f>IF($D373="","",IF(COUNTIF($D$2:$D373,$D373)=1,1,0))</f>
        <v/>
      </c>
      <c r="AN373">
        <f>IF($AM373=1,SUMPRODUCT(--($AQ$2:$AQ$1001&lt;$AQ373))+1,"")</f>
        <v/>
      </c>
      <c r="AO373">
        <f>IF($D373="","",IF(OR($T373=TRUE(),$T373="TRUE"),1,0))</f>
        <v/>
      </c>
      <c r="AP373">
        <f>IF($D373="","",IF($Z373="Yes",1,0))</f>
        <v/>
      </c>
      <c r="AQ373">
        <f>IF($AM373=1,IFERROR(IF(VALUE($D373)&lt;100000000,VALUE($D373),1000000000),IFERROR(IF(VALUE(MID($D373,2,20))&lt;100000000,VALUE(MID($D373,2,20)),1000000000),1000000000))+ROW()/100000,"")</f>
        <v/>
      </c>
    </row>
    <row r="374">
      <c r="F374" s="11" t="n"/>
      <c r="P374" s="7">
        <f>IF($D374="","",O374*X374/100)</f>
        <v/>
      </c>
      <c r="Q374" s="7" t="n"/>
      <c r="W374" s="7" t="n"/>
      <c r="X374" s="7" t="n"/>
      <c r="AA374">
        <f>IF($D374="","",IF($AP374=1,0,IF($AO374=1,Settings!$C$6,Settings!$C$7))*100)</f>
        <v/>
      </c>
      <c r="AB374" s="7">
        <f>IF($D374="","",X374*AA374/100)</f>
        <v/>
      </c>
      <c r="AC374" s="7">
        <f>IF($D374="","",X374-AB374)</f>
        <v/>
      </c>
      <c r="AD374" s="7">
        <f>IF($D374="","",AC374-P374)</f>
        <v/>
      </c>
      <c r="AH374" s="7" t="n"/>
      <c r="AK374" s="11" t="n"/>
      <c r="AM374">
        <f>IF($D374="","",IF(COUNTIF($D$2:$D374,$D374)=1,1,0))</f>
        <v/>
      </c>
      <c r="AN374">
        <f>IF($AM374=1,SUMPRODUCT(--($AQ$2:$AQ$1001&lt;$AQ374))+1,"")</f>
        <v/>
      </c>
      <c r="AO374">
        <f>IF($D374="","",IF(OR($T374=TRUE(),$T374="TRUE"),1,0))</f>
        <v/>
      </c>
      <c r="AP374">
        <f>IF($D374="","",IF($Z374="Yes",1,0))</f>
        <v/>
      </c>
      <c r="AQ374">
        <f>IF($AM374=1,IFERROR(IF(VALUE($D374)&lt;100000000,VALUE($D374),1000000000),IFERROR(IF(VALUE(MID($D374,2,20))&lt;100000000,VALUE(MID($D374,2,20)),1000000000),1000000000))+ROW()/100000,"")</f>
        <v/>
      </c>
    </row>
    <row r="375">
      <c r="F375" s="11" t="n"/>
      <c r="P375" s="7">
        <f>IF($D375="","",O375*X375/100)</f>
        <v/>
      </c>
      <c r="Q375" s="7" t="n"/>
      <c r="W375" s="7" t="n"/>
      <c r="X375" s="7" t="n"/>
      <c r="AA375">
        <f>IF($D375="","",IF($AP375=1,0,IF($AO375=1,Settings!$C$6,Settings!$C$7))*100)</f>
        <v/>
      </c>
      <c r="AB375" s="7">
        <f>IF($D375="","",X375*AA375/100)</f>
        <v/>
      </c>
      <c r="AC375" s="7">
        <f>IF($D375="","",X375-AB375)</f>
        <v/>
      </c>
      <c r="AD375" s="7">
        <f>IF($D375="","",AC375-P375)</f>
        <v/>
      </c>
      <c r="AH375" s="7" t="n"/>
      <c r="AK375" s="11" t="n"/>
      <c r="AM375">
        <f>IF($D375="","",IF(COUNTIF($D$2:$D375,$D375)=1,1,0))</f>
        <v/>
      </c>
      <c r="AN375">
        <f>IF($AM375=1,SUMPRODUCT(--($AQ$2:$AQ$1001&lt;$AQ375))+1,"")</f>
        <v/>
      </c>
      <c r="AO375">
        <f>IF($D375="","",IF(OR($T375=TRUE(),$T375="TRUE"),1,0))</f>
        <v/>
      </c>
      <c r="AP375">
        <f>IF($D375="","",IF($Z375="Yes",1,0))</f>
        <v/>
      </c>
      <c r="AQ375">
        <f>IF($AM375=1,IFERROR(IF(VALUE($D375)&lt;100000000,VALUE($D375),1000000000),IFERROR(IF(VALUE(MID($D375,2,20))&lt;100000000,VALUE(MID($D375,2,20)),1000000000),1000000000))+ROW()/100000,"")</f>
        <v/>
      </c>
    </row>
    <row r="376">
      <c r="F376" s="11" t="n"/>
      <c r="P376" s="7">
        <f>IF($D376="","",O376*X376/100)</f>
        <v/>
      </c>
      <c r="Q376" s="7" t="n"/>
      <c r="W376" s="7" t="n"/>
      <c r="X376" s="7" t="n"/>
      <c r="AA376">
        <f>IF($D376="","",IF($AP376=1,0,IF($AO376=1,Settings!$C$6,Settings!$C$7))*100)</f>
        <v/>
      </c>
      <c r="AB376" s="7">
        <f>IF($D376="","",X376*AA376/100)</f>
        <v/>
      </c>
      <c r="AC376" s="7">
        <f>IF($D376="","",X376-AB376)</f>
        <v/>
      </c>
      <c r="AD376" s="7">
        <f>IF($D376="","",AC376-P376)</f>
        <v/>
      </c>
      <c r="AH376" s="7" t="n"/>
      <c r="AK376" s="11" t="n"/>
      <c r="AM376">
        <f>IF($D376="","",IF(COUNTIF($D$2:$D376,$D376)=1,1,0))</f>
        <v/>
      </c>
      <c r="AN376">
        <f>IF($AM376=1,SUMPRODUCT(--($AQ$2:$AQ$1001&lt;$AQ376))+1,"")</f>
        <v/>
      </c>
      <c r="AO376">
        <f>IF($D376="","",IF(OR($T376=TRUE(),$T376="TRUE"),1,0))</f>
        <v/>
      </c>
      <c r="AP376">
        <f>IF($D376="","",IF($Z376="Yes",1,0))</f>
        <v/>
      </c>
      <c r="AQ376">
        <f>IF($AM376=1,IFERROR(IF(VALUE($D376)&lt;100000000,VALUE($D376),1000000000),IFERROR(IF(VALUE(MID($D376,2,20))&lt;100000000,VALUE(MID($D376,2,20)),1000000000),1000000000))+ROW()/100000,"")</f>
        <v/>
      </c>
    </row>
    <row r="377">
      <c r="F377" s="11" t="n"/>
      <c r="P377" s="7">
        <f>IF($D377="","",O377*X377/100)</f>
        <v/>
      </c>
      <c r="Q377" s="7" t="n"/>
      <c r="W377" s="7" t="n"/>
      <c r="X377" s="7" t="n"/>
      <c r="AA377">
        <f>IF($D377="","",IF($AP377=1,0,IF($AO377=1,Settings!$C$6,Settings!$C$7))*100)</f>
        <v/>
      </c>
      <c r="AB377" s="7">
        <f>IF($D377="","",X377*AA377/100)</f>
        <v/>
      </c>
      <c r="AC377" s="7">
        <f>IF($D377="","",X377-AB377)</f>
        <v/>
      </c>
      <c r="AD377" s="7">
        <f>IF($D377="","",AC377-P377)</f>
        <v/>
      </c>
      <c r="AH377" s="7" t="n"/>
      <c r="AK377" s="11" t="n"/>
      <c r="AM377">
        <f>IF($D377="","",IF(COUNTIF($D$2:$D377,$D377)=1,1,0))</f>
        <v/>
      </c>
      <c r="AN377">
        <f>IF($AM377=1,SUMPRODUCT(--($AQ$2:$AQ$1001&lt;$AQ377))+1,"")</f>
        <v/>
      </c>
      <c r="AO377">
        <f>IF($D377="","",IF(OR($T377=TRUE(),$T377="TRUE"),1,0))</f>
        <v/>
      </c>
      <c r="AP377">
        <f>IF($D377="","",IF($Z377="Yes",1,0))</f>
        <v/>
      </c>
      <c r="AQ377">
        <f>IF($AM377=1,IFERROR(IF(VALUE($D377)&lt;100000000,VALUE($D377),1000000000),IFERROR(IF(VALUE(MID($D377,2,20))&lt;100000000,VALUE(MID($D377,2,20)),1000000000),1000000000))+ROW()/100000,"")</f>
        <v/>
      </c>
    </row>
    <row r="378">
      <c r="F378" s="11" t="n"/>
      <c r="P378" s="7">
        <f>IF($D378="","",O378*X378/100)</f>
        <v/>
      </c>
      <c r="Q378" s="7" t="n"/>
      <c r="W378" s="7" t="n"/>
      <c r="X378" s="7" t="n"/>
      <c r="AA378">
        <f>IF($D378="","",IF($AP378=1,0,IF($AO378=1,Settings!$C$6,Settings!$C$7))*100)</f>
        <v/>
      </c>
      <c r="AB378" s="7">
        <f>IF($D378="","",X378*AA378/100)</f>
        <v/>
      </c>
      <c r="AC378" s="7">
        <f>IF($D378="","",X378-AB378)</f>
        <v/>
      </c>
      <c r="AD378" s="7">
        <f>IF($D378="","",AC378-P378)</f>
        <v/>
      </c>
      <c r="AH378" s="7" t="n"/>
      <c r="AK378" s="11" t="n"/>
      <c r="AM378">
        <f>IF($D378="","",IF(COUNTIF($D$2:$D378,$D378)=1,1,0))</f>
        <v/>
      </c>
      <c r="AN378">
        <f>IF($AM378=1,SUMPRODUCT(--($AQ$2:$AQ$1001&lt;$AQ378))+1,"")</f>
        <v/>
      </c>
      <c r="AO378">
        <f>IF($D378="","",IF(OR($T378=TRUE(),$T378="TRUE"),1,0))</f>
        <v/>
      </c>
      <c r="AP378">
        <f>IF($D378="","",IF($Z378="Yes",1,0))</f>
        <v/>
      </c>
      <c r="AQ378">
        <f>IF($AM378=1,IFERROR(IF(VALUE($D378)&lt;100000000,VALUE($D378),1000000000),IFERROR(IF(VALUE(MID($D378,2,20))&lt;100000000,VALUE(MID($D378,2,20)),1000000000),1000000000))+ROW()/100000,"")</f>
        <v/>
      </c>
    </row>
    <row r="379">
      <c r="F379" s="11" t="n"/>
      <c r="P379" s="7">
        <f>IF($D379="","",O379*X379/100)</f>
        <v/>
      </c>
      <c r="Q379" s="7" t="n"/>
      <c r="W379" s="7" t="n"/>
      <c r="X379" s="7" t="n"/>
      <c r="AA379">
        <f>IF($D379="","",IF($AP379=1,0,IF($AO379=1,Settings!$C$6,Settings!$C$7))*100)</f>
        <v/>
      </c>
      <c r="AB379" s="7">
        <f>IF($D379="","",X379*AA379/100)</f>
        <v/>
      </c>
      <c r="AC379" s="7">
        <f>IF($D379="","",X379-AB379)</f>
        <v/>
      </c>
      <c r="AD379" s="7">
        <f>IF($D379="","",AC379-P379)</f>
        <v/>
      </c>
      <c r="AH379" s="7" t="n"/>
      <c r="AK379" s="11" t="n"/>
      <c r="AM379">
        <f>IF($D379="","",IF(COUNTIF($D$2:$D379,$D379)=1,1,0))</f>
        <v/>
      </c>
      <c r="AN379">
        <f>IF($AM379=1,SUMPRODUCT(--($AQ$2:$AQ$1001&lt;$AQ379))+1,"")</f>
        <v/>
      </c>
      <c r="AO379">
        <f>IF($D379="","",IF(OR($T379=TRUE(),$T379="TRUE"),1,0))</f>
        <v/>
      </c>
      <c r="AP379">
        <f>IF($D379="","",IF($Z379="Yes",1,0))</f>
        <v/>
      </c>
      <c r="AQ379">
        <f>IF($AM379=1,IFERROR(IF(VALUE($D379)&lt;100000000,VALUE($D379),1000000000),IFERROR(IF(VALUE(MID($D379,2,20))&lt;100000000,VALUE(MID($D379,2,20)),1000000000),1000000000))+ROW()/100000,"")</f>
        <v/>
      </c>
    </row>
    <row r="380">
      <c r="F380" s="11" t="n"/>
      <c r="P380" s="7">
        <f>IF($D380="","",O380*X380/100)</f>
        <v/>
      </c>
      <c r="Q380" s="7" t="n"/>
      <c r="W380" s="7" t="n"/>
      <c r="X380" s="7" t="n"/>
      <c r="AA380">
        <f>IF($D380="","",IF($AP380=1,0,IF($AO380=1,Settings!$C$6,Settings!$C$7))*100)</f>
        <v/>
      </c>
      <c r="AB380" s="7">
        <f>IF($D380="","",X380*AA380/100)</f>
        <v/>
      </c>
      <c r="AC380" s="7">
        <f>IF($D380="","",X380-AB380)</f>
        <v/>
      </c>
      <c r="AD380" s="7">
        <f>IF($D380="","",AC380-P380)</f>
        <v/>
      </c>
      <c r="AH380" s="7" t="n"/>
      <c r="AK380" s="11" t="n"/>
      <c r="AM380">
        <f>IF($D380="","",IF(COUNTIF($D$2:$D380,$D380)=1,1,0))</f>
        <v/>
      </c>
      <c r="AN380">
        <f>IF($AM380=1,SUMPRODUCT(--($AQ$2:$AQ$1001&lt;$AQ380))+1,"")</f>
        <v/>
      </c>
      <c r="AO380">
        <f>IF($D380="","",IF(OR($T380=TRUE(),$T380="TRUE"),1,0))</f>
        <v/>
      </c>
      <c r="AP380">
        <f>IF($D380="","",IF($Z380="Yes",1,0))</f>
        <v/>
      </c>
      <c r="AQ380">
        <f>IF($AM380=1,IFERROR(IF(VALUE($D380)&lt;100000000,VALUE($D380),1000000000),IFERROR(IF(VALUE(MID($D380,2,20))&lt;100000000,VALUE(MID($D380,2,20)),1000000000),1000000000))+ROW()/100000,"")</f>
        <v/>
      </c>
    </row>
    <row r="381">
      <c r="F381" s="11" t="n"/>
      <c r="P381" s="7">
        <f>IF($D381="","",O381*X381/100)</f>
        <v/>
      </c>
      <c r="Q381" s="7" t="n"/>
      <c r="W381" s="7" t="n"/>
      <c r="X381" s="7" t="n"/>
      <c r="AA381">
        <f>IF($D381="","",IF($AP381=1,0,IF($AO381=1,Settings!$C$6,Settings!$C$7))*100)</f>
        <v/>
      </c>
      <c r="AB381" s="7">
        <f>IF($D381="","",X381*AA381/100)</f>
        <v/>
      </c>
      <c r="AC381" s="7">
        <f>IF($D381="","",X381-AB381)</f>
        <v/>
      </c>
      <c r="AD381" s="7">
        <f>IF($D381="","",AC381-P381)</f>
        <v/>
      </c>
      <c r="AH381" s="7" t="n"/>
      <c r="AK381" s="11" t="n"/>
      <c r="AM381">
        <f>IF($D381="","",IF(COUNTIF($D$2:$D381,$D381)=1,1,0))</f>
        <v/>
      </c>
      <c r="AN381">
        <f>IF($AM381=1,SUMPRODUCT(--($AQ$2:$AQ$1001&lt;$AQ381))+1,"")</f>
        <v/>
      </c>
      <c r="AO381">
        <f>IF($D381="","",IF(OR($T381=TRUE(),$T381="TRUE"),1,0))</f>
        <v/>
      </c>
      <c r="AP381">
        <f>IF($D381="","",IF($Z381="Yes",1,0))</f>
        <v/>
      </c>
      <c r="AQ381">
        <f>IF($AM381=1,IFERROR(IF(VALUE($D381)&lt;100000000,VALUE($D381),1000000000),IFERROR(IF(VALUE(MID($D381,2,20))&lt;100000000,VALUE(MID($D381,2,20)),1000000000),1000000000))+ROW()/100000,"")</f>
        <v/>
      </c>
    </row>
    <row r="382">
      <c r="F382" s="11" t="n"/>
      <c r="P382" s="7">
        <f>IF($D382="","",O382*X382/100)</f>
        <v/>
      </c>
      <c r="Q382" s="7" t="n"/>
      <c r="W382" s="7" t="n"/>
      <c r="X382" s="7" t="n"/>
      <c r="AA382">
        <f>IF($D382="","",IF($AP382=1,0,IF($AO382=1,Settings!$C$6,Settings!$C$7))*100)</f>
        <v/>
      </c>
      <c r="AB382" s="7">
        <f>IF($D382="","",X382*AA382/100)</f>
        <v/>
      </c>
      <c r="AC382" s="7">
        <f>IF($D382="","",X382-AB382)</f>
        <v/>
      </c>
      <c r="AD382" s="7">
        <f>IF($D382="","",AC382-P382)</f>
        <v/>
      </c>
      <c r="AH382" s="7" t="n"/>
      <c r="AK382" s="11" t="n"/>
      <c r="AM382">
        <f>IF($D382="","",IF(COUNTIF($D$2:$D382,$D382)=1,1,0))</f>
        <v/>
      </c>
      <c r="AN382">
        <f>IF($AM382=1,SUMPRODUCT(--($AQ$2:$AQ$1001&lt;$AQ382))+1,"")</f>
        <v/>
      </c>
      <c r="AO382">
        <f>IF($D382="","",IF(OR($T382=TRUE(),$T382="TRUE"),1,0))</f>
        <v/>
      </c>
      <c r="AP382">
        <f>IF($D382="","",IF($Z382="Yes",1,0))</f>
        <v/>
      </c>
      <c r="AQ382">
        <f>IF($AM382=1,IFERROR(IF(VALUE($D382)&lt;100000000,VALUE($D382),1000000000),IFERROR(IF(VALUE(MID($D382,2,20))&lt;100000000,VALUE(MID($D382,2,20)),1000000000),1000000000))+ROW()/100000,"")</f>
        <v/>
      </c>
    </row>
    <row r="383">
      <c r="F383" s="11" t="n"/>
      <c r="P383" s="7">
        <f>IF($D383="","",O383*X383/100)</f>
        <v/>
      </c>
      <c r="Q383" s="7" t="n"/>
      <c r="W383" s="7" t="n"/>
      <c r="X383" s="7" t="n"/>
      <c r="AA383">
        <f>IF($D383="","",IF($AP383=1,0,IF($AO383=1,Settings!$C$6,Settings!$C$7))*100)</f>
        <v/>
      </c>
      <c r="AB383" s="7">
        <f>IF($D383="","",X383*AA383/100)</f>
        <v/>
      </c>
      <c r="AC383" s="7">
        <f>IF($D383="","",X383-AB383)</f>
        <v/>
      </c>
      <c r="AD383" s="7">
        <f>IF($D383="","",AC383-P383)</f>
        <v/>
      </c>
      <c r="AH383" s="7" t="n"/>
      <c r="AK383" s="11" t="n"/>
      <c r="AM383">
        <f>IF($D383="","",IF(COUNTIF($D$2:$D383,$D383)=1,1,0))</f>
        <v/>
      </c>
      <c r="AN383">
        <f>IF($AM383=1,SUMPRODUCT(--($AQ$2:$AQ$1001&lt;$AQ383))+1,"")</f>
        <v/>
      </c>
      <c r="AO383">
        <f>IF($D383="","",IF(OR($T383=TRUE(),$T383="TRUE"),1,0))</f>
        <v/>
      </c>
      <c r="AP383">
        <f>IF($D383="","",IF($Z383="Yes",1,0))</f>
        <v/>
      </c>
      <c r="AQ383">
        <f>IF($AM383=1,IFERROR(IF(VALUE($D383)&lt;100000000,VALUE($D383),1000000000),IFERROR(IF(VALUE(MID($D383,2,20))&lt;100000000,VALUE(MID($D383,2,20)),1000000000),1000000000))+ROW()/100000,"")</f>
        <v/>
      </c>
    </row>
    <row r="384">
      <c r="F384" s="11" t="n"/>
      <c r="P384" s="7">
        <f>IF($D384="","",O384*X384/100)</f>
        <v/>
      </c>
      <c r="Q384" s="7" t="n"/>
      <c r="W384" s="7" t="n"/>
      <c r="X384" s="7" t="n"/>
      <c r="AA384">
        <f>IF($D384="","",IF($AP384=1,0,IF($AO384=1,Settings!$C$6,Settings!$C$7))*100)</f>
        <v/>
      </c>
      <c r="AB384" s="7">
        <f>IF($D384="","",X384*AA384/100)</f>
        <v/>
      </c>
      <c r="AC384" s="7">
        <f>IF($D384="","",X384-AB384)</f>
        <v/>
      </c>
      <c r="AD384" s="7">
        <f>IF($D384="","",AC384-P384)</f>
        <v/>
      </c>
      <c r="AH384" s="7" t="n"/>
      <c r="AK384" s="11" t="n"/>
      <c r="AM384">
        <f>IF($D384="","",IF(COUNTIF($D$2:$D384,$D384)=1,1,0))</f>
        <v/>
      </c>
      <c r="AN384">
        <f>IF($AM384=1,SUMPRODUCT(--($AQ$2:$AQ$1001&lt;$AQ384))+1,"")</f>
        <v/>
      </c>
      <c r="AO384">
        <f>IF($D384="","",IF(OR($T384=TRUE(),$T384="TRUE"),1,0))</f>
        <v/>
      </c>
      <c r="AP384">
        <f>IF($D384="","",IF($Z384="Yes",1,0))</f>
        <v/>
      </c>
      <c r="AQ384">
        <f>IF($AM384=1,IFERROR(IF(VALUE($D384)&lt;100000000,VALUE($D384),1000000000),IFERROR(IF(VALUE(MID($D384,2,20))&lt;100000000,VALUE(MID($D384,2,20)),1000000000),1000000000))+ROW()/100000,"")</f>
        <v/>
      </c>
    </row>
    <row r="385">
      <c r="F385" s="11" t="n"/>
      <c r="P385" s="7">
        <f>IF($D385="","",O385*X385/100)</f>
        <v/>
      </c>
      <c r="Q385" s="7" t="n"/>
      <c r="W385" s="7" t="n"/>
      <c r="X385" s="7" t="n"/>
      <c r="AA385">
        <f>IF($D385="","",IF($AP385=1,0,IF($AO385=1,Settings!$C$6,Settings!$C$7))*100)</f>
        <v/>
      </c>
      <c r="AB385" s="7">
        <f>IF($D385="","",X385*AA385/100)</f>
        <v/>
      </c>
      <c r="AC385" s="7">
        <f>IF($D385="","",X385-AB385)</f>
        <v/>
      </c>
      <c r="AD385" s="7">
        <f>IF($D385="","",AC385-P385)</f>
        <v/>
      </c>
      <c r="AH385" s="7" t="n"/>
      <c r="AK385" s="11" t="n"/>
      <c r="AM385">
        <f>IF($D385="","",IF(COUNTIF($D$2:$D385,$D385)=1,1,0))</f>
        <v/>
      </c>
      <c r="AN385">
        <f>IF($AM385=1,SUMPRODUCT(--($AQ$2:$AQ$1001&lt;$AQ385))+1,"")</f>
        <v/>
      </c>
      <c r="AO385">
        <f>IF($D385="","",IF(OR($T385=TRUE(),$T385="TRUE"),1,0))</f>
        <v/>
      </c>
      <c r="AP385">
        <f>IF($D385="","",IF($Z385="Yes",1,0))</f>
        <v/>
      </c>
      <c r="AQ385">
        <f>IF($AM385=1,IFERROR(IF(VALUE($D385)&lt;100000000,VALUE($D385),1000000000),IFERROR(IF(VALUE(MID($D385,2,20))&lt;100000000,VALUE(MID($D385,2,20)),1000000000),1000000000))+ROW()/100000,"")</f>
        <v/>
      </c>
    </row>
    <row r="386">
      <c r="F386" s="11" t="n"/>
      <c r="P386" s="7">
        <f>IF($D386="","",O386*X386/100)</f>
        <v/>
      </c>
      <c r="Q386" s="7" t="n"/>
      <c r="W386" s="7" t="n"/>
      <c r="X386" s="7" t="n"/>
      <c r="AA386">
        <f>IF($D386="","",IF($AP386=1,0,IF($AO386=1,Settings!$C$6,Settings!$C$7))*100)</f>
        <v/>
      </c>
      <c r="AB386" s="7">
        <f>IF($D386="","",X386*AA386/100)</f>
        <v/>
      </c>
      <c r="AC386" s="7">
        <f>IF($D386="","",X386-AB386)</f>
        <v/>
      </c>
      <c r="AD386" s="7">
        <f>IF($D386="","",AC386-P386)</f>
        <v/>
      </c>
      <c r="AH386" s="7" t="n"/>
      <c r="AK386" s="11" t="n"/>
      <c r="AM386">
        <f>IF($D386="","",IF(COUNTIF($D$2:$D386,$D386)=1,1,0))</f>
        <v/>
      </c>
      <c r="AN386">
        <f>IF($AM386=1,SUMPRODUCT(--($AQ$2:$AQ$1001&lt;$AQ386))+1,"")</f>
        <v/>
      </c>
      <c r="AO386">
        <f>IF($D386="","",IF(OR($T386=TRUE(),$T386="TRUE"),1,0))</f>
        <v/>
      </c>
      <c r="AP386">
        <f>IF($D386="","",IF($Z386="Yes",1,0))</f>
        <v/>
      </c>
      <c r="AQ386">
        <f>IF($AM386=1,IFERROR(IF(VALUE($D386)&lt;100000000,VALUE($D386),1000000000),IFERROR(IF(VALUE(MID($D386,2,20))&lt;100000000,VALUE(MID($D386,2,20)),1000000000),1000000000))+ROW()/100000,"")</f>
        <v/>
      </c>
    </row>
    <row r="387">
      <c r="F387" s="11" t="n"/>
      <c r="P387" s="7">
        <f>IF($D387="","",O387*X387/100)</f>
        <v/>
      </c>
      <c r="Q387" s="7" t="n"/>
      <c r="W387" s="7" t="n"/>
      <c r="X387" s="7" t="n"/>
      <c r="AA387">
        <f>IF($D387="","",IF($AP387=1,0,IF($AO387=1,Settings!$C$6,Settings!$C$7))*100)</f>
        <v/>
      </c>
      <c r="AB387" s="7">
        <f>IF($D387="","",X387*AA387/100)</f>
        <v/>
      </c>
      <c r="AC387" s="7">
        <f>IF($D387="","",X387-AB387)</f>
        <v/>
      </c>
      <c r="AD387" s="7">
        <f>IF($D387="","",AC387-P387)</f>
        <v/>
      </c>
      <c r="AH387" s="7" t="n"/>
      <c r="AK387" s="11" t="n"/>
      <c r="AM387">
        <f>IF($D387="","",IF(COUNTIF($D$2:$D387,$D387)=1,1,0))</f>
        <v/>
      </c>
      <c r="AN387">
        <f>IF($AM387=1,SUMPRODUCT(--($AQ$2:$AQ$1001&lt;$AQ387))+1,"")</f>
        <v/>
      </c>
      <c r="AO387">
        <f>IF($D387="","",IF(OR($T387=TRUE(),$T387="TRUE"),1,0))</f>
        <v/>
      </c>
      <c r="AP387">
        <f>IF($D387="","",IF($Z387="Yes",1,0))</f>
        <v/>
      </c>
      <c r="AQ387">
        <f>IF($AM387=1,IFERROR(IF(VALUE($D387)&lt;100000000,VALUE($D387),1000000000),IFERROR(IF(VALUE(MID($D387,2,20))&lt;100000000,VALUE(MID($D387,2,20)),1000000000),1000000000))+ROW()/100000,"")</f>
        <v/>
      </c>
    </row>
    <row r="388">
      <c r="F388" s="11" t="n"/>
      <c r="P388" s="7">
        <f>IF($D388="","",O388*X388/100)</f>
        <v/>
      </c>
      <c r="Q388" s="7" t="n"/>
      <c r="W388" s="7" t="n"/>
      <c r="X388" s="7" t="n"/>
      <c r="AA388">
        <f>IF($D388="","",IF($AP388=1,0,IF($AO388=1,Settings!$C$6,Settings!$C$7))*100)</f>
        <v/>
      </c>
      <c r="AB388" s="7">
        <f>IF($D388="","",X388*AA388/100)</f>
        <v/>
      </c>
      <c r="AC388" s="7">
        <f>IF($D388="","",X388-AB388)</f>
        <v/>
      </c>
      <c r="AD388" s="7">
        <f>IF($D388="","",AC388-P388)</f>
        <v/>
      </c>
      <c r="AH388" s="7" t="n"/>
      <c r="AK388" s="11" t="n"/>
      <c r="AM388">
        <f>IF($D388="","",IF(COUNTIF($D$2:$D388,$D388)=1,1,0))</f>
        <v/>
      </c>
      <c r="AN388">
        <f>IF($AM388=1,SUMPRODUCT(--($AQ$2:$AQ$1001&lt;$AQ388))+1,"")</f>
        <v/>
      </c>
      <c r="AO388">
        <f>IF($D388="","",IF(OR($T388=TRUE(),$T388="TRUE"),1,0))</f>
        <v/>
      </c>
      <c r="AP388">
        <f>IF($D388="","",IF($Z388="Yes",1,0))</f>
        <v/>
      </c>
      <c r="AQ388">
        <f>IF($AM388=1,IFERROR(IF(VALUE($D388)&lt;100000000,VALUE($D388),1000000000),IFERROR(IF(VALUE(MID($D388,2,20))&lt;100000000,VALUE(MID($D388,2,20)),1000000000),1000000000))+ROW()/100000,"")</f>
        <v/>
      </c>
    </row>
    <row r="389">
      <c r="F389" s="11" t="n"/>
      <c r="P389" s="7">
        <f>IF($D389="","",O389*X389/100)</f>
        <v/>
      </c>
      <c r="Q389" s="7" t="n"/>
      <c r="W389" s="7" t="n"/>
      <c r="X389" s="7" t="n"/>
      <c r="AA389">
        <f>IF($D389="","",IF($AP389=1,0,IF($AO389=1,Settings!$C$6,Settings!$C$7))*100)</f>
        <v/>
      </c>
      <c r="AB389" s="7">
        <f>IF($D389="","",X389*AA389/100)</f>
        <v/>
      </c>
      <c r="AC389" s="7">
        <f>IF($D389="","",X389-AB389)</f>
        <v/>
      </c>
      <c r="AD389" s="7">
        <f>IF($D389="","",AC389-P389)</f>
        <v/>
      </c>
      <c r="AH389" s="7" t="n"/>
      <c r="AK389" s="11" t="n"/>
      <c r="AM389">
        <f>IF($D389="","",IF(COUNTIF($D$2:$D389,$D389)=1,1,0))</f>
        <v/>
      </c>
      <c r="AN389">
        <f>IF($AM389=1,SUMPRODUCT(--($AQ$2:$AQ$1001&lt;$AQ389))+1,"")</f>
        <v/>
      </c>
      <c r="AO389">
        <f>IF($D389="","",IF(OR($T389=TRUE(),$T389="TRUE"),1,0))</f>
        <v/>
      </c>
      <c r="AP389">
        <f>IF($D389="","",IF($Z389="Yes",1,0))</f>
        <v/>
      </c>
      <c r="AQ389">
        <f>IF($AM389=1,IFERROR(IF(VALUE($D389)&lt;100000000,VALUE($D389),1000000000),IFERROR(IF(VALUE(MID($D389,2,20))&lt;100000000,VALUE(MID($D389,2,20)),1000000000),1000000000))+ROW()/100000,"")</f>
        <v/>
      </c>
    </row>
    <row r="390">
      <c r="F390" s="11" t="n"/>
      <c r="P390" s="7">
        <f>IF($D390="","",O390*X390/100)</f>
        <v/>
      </c>
      <c r="Q390" s="7" t="n"/>
      <c r="W390" s="7" t="n"/>
      <c r="X390" s="7" t="n"/>
      <c r="AA390">
        <f>IF($D390="","",IF($AP390=1,0,IF($AO390=1,Settings!$C$6,Settings!$C$7))*100)</f>
        <v/>
      </c>
      <c r="AB390" s="7">
        <f>IF($D390="","",X390*AA390/100)</f>
        <v/>
      </c>
      <c r="AC390" s="7">
        <f>IF($D390="","",X390-AB390)</f>
        <v/>
      </c>
      <c r="AD390" s="7">
        <f>IF($D390="","",AC390-P390)</f>
        <v/>
      </c>
      <c r="AH390" s="7" t="n"/>
      <c r="AK390" s="11" t="n"/>
      <c r="AM390">
        <f>IF($D390="","",IF(COUNTIF($D$2:$D390,$D390)=1,1,0))</f>
        <v/>
      </c>
      <c r="AN390">
        <f>IF($AM390=1,SUMPRODUCT(--($AQ$2:$AQ$1001&lt;$AQ390))+1,"")</f>
        <v/>
      </c>
      <c r="AO390">
        <f>IF($D390="","",IF(OR($T390=TRUE(),$T390="TRUE"),1,0))</f>
        <v/>
      </c>
      <c r="AP390">
        <f>IF($D390="","",IF($Z390="Yes",1,0))</f>
        <v/>
      </c>
      <c r="AQ390">
        <f>IF($AM390=1,IFERROR(IF(VALUE($D390)&lt;100000000,VALUE($D390),1000000000),IFERROR(IF(VALUE(MID($D390,2,20))&lt;100000000,VALUE(MID($D390,2,20)),1000000000),1000000000))+ROW()/100000,"")</f>
        <v/>
      </c>
    </row>
    <row r="391">
      <c r="F391" s="11" t="n"/>
      <c r="P391" s="7">
        <f>IF($D391="","",O391*X391/100)</f>
        <v/>
      </c>
      <c r="Q391" s="7" t="n"/>
      <c r="W391" s="7" t="n"/>
      <c r="X391" s="7" t="n"/>
      <c r="AA391">
        <f>IF($D391="","",IF($AP391=1,0,IF($AO391=1,Settings!$C$6,Settings!$C$7))*100)</f>
        <v/>
      </c>
      <c r="AB391" s="7">
        <f>IF($D391="","",X391*AA391/100)</f>
        <v/>
      </c>
      <c r="AC391" s="7">
        <f>IF($D391="","",X391-AB391)</f>
        <v/>
      </c>
      <c r="AD391" s="7">
        <f>IF($D391="","",AC391-P391)</f>
        <v/>
      </c>
      <c r="AH391" s="7" t="n"/>
      <c r="AK391" s="11" t="n"/>
      <c r="AM391">
        <f>IF($D391="","",IF(COUNTIF($D$2:$D391,$D391)=1,1,0))</f>
        <v/>
      </c>
      <c r="AN391">
        <f>IF($AM391=1,SUMPRODUCT(--($AQ$2:$AQ$1001&lt;$AQ391))+1,"")</f>
        <v/>
      </c>
      <c r="AO391">
        <f>IF($D391="","",IF(OR($T391=TRUE(),$T391="TRUE"),1,0))</f>
        <v/>
      </c>
      <c r="AP391">
        <f>IF($D391="","",IF($Z391="Yes",1,0))</f>
        <v/>
      </c>
      <c r="AQ391">
        <f>IF($AM391=1,IFERROR(IF(VALUE($D391)&lt;100000000,VALUE($D391),1000000000),IFERROR(IF(VALUE(MID($D391,2,20))&lt;100000000,VALUE(MID($D391,2,20)),1000000000),1000000000))+ROW()/100000,"")</f>
        <v/>
      </c>
    </row>
    <row r="392">
      <c r="F392" s="11" t="n"/>
      <c r="P392" s="7">
        <f>IF($D392="","",O392*X392/100)</f>
        <v/>
      </c>
      <c r="Q392" s="7" t="n"/>
      <c r="W392" s="7" t="n"/>
      <c r="X392" s="7" t="n"/>
      <c r="AA392">
        <f>IF($D392="","",IF($AP392=1,0,IF($AO392=1,Settings!$C$6,Settings!$C$7))*100)</f>
        <v/>
      </c>
      <c r="AB392" s="7">
        <f>IF($D392="","",X392*AA392/100)</f>
        <v/>
      </c>
      <c r="AC392" s="7">
        <f>IF($D392="","",X392-AB392)</f>
        <v/>
      </c>
      <c r="AD392" s="7">
        <f>IF($D392="","",AC392-P392)</f>
        <v/>
      </c>
      <c r="AH392" s="7" t="n"/>
      <c r="AK392" s="11" t="n"/>
      <c r="AM392">
        <f>IF($D392="","",IF(COUNTIF($D$2:$D392,$D392)=1,1,0))</f>
        <v/>
      </c>
      <c r="AN392">
        <f>IF($AM392=1,SUMPRODUCT(--($AQ$2:$AQ$1001&lt;$AQ392))+1,"")</f>
        <v/>
      </c>
      <c r="AO392">
        <f>IF($D392="","",IF(OR($T392=TRUE(),$T392="TRUE"),1,0))</f>
        <v/>
      </c>
      <c r="AP392">
        <f>IF($D392="","",IF($Z392="Yes",1,0))</f>
        <v/>
      </c>
      <c r="AQ392">
        <f>IF($AM392=1,IFERROR(IF(VALUE($D392)&lt;100000000,VALUE($D392),1000000000),IFERROR(IF(VALUE(MID($D392,2,20))&lt;100000000,VALUE(MID($D392,2,20)),1000000000),1000000000))+ROW()/100000,"")</f>
        <v/>
      </c>
    </row>
    <row r="393">
      <c r="F393" s="11" t="n"/>
      <c r="P393" s="7">
        <f>IF($D393="","",O393*X393/100)</f>
        <v/>
      </c>
      <c r="Q393" s="7" t="n"/>
      <c r="W393" s="7" t="n"/>
      <c r="X393" s="7" t="n"/>
      <c r="AA393">
        <f>IF($D393="","",IF($AP393=1,0,IF($AO393=1,Settings!$C$6,Settings!$C$7))*100)</f>
        <v/>
      </c>
      <c r="AB393" s="7">
        <f>IF($D393="","",X393*AA393/100)</f>
        <v/>
      </c>
      <c r="AC393" s="7">
        <f>IF($D393="","",X393-AB393)</f>
        <v/>
      </c>
      <c r="AD393" s="7">
        <f>IF($D393="","",AC393-P393)</f>
        <v/>
      </c>
      <c r="AH393" s="7" t="n"/>
      <c r="AK393" s="11" t="n"/>
      <c r="AM393">
        <f>IF($D393="","",IF(COUNTIF($D$2:$D393,$D393)=1,1,0))</f>
        <v/>
      </c>
      <c r="AN393">
        <f>IF($AM393=1,SUMPRODUCT(--($AQ$2:$AQ$1001&lt;$AQ393))+1,"")</f>
        <v/>
      </c>
      <c r="AO393">
        <f>IF($D393="","",IF(OR($T393=TRUE(),$T393="TRUE"),1,0))</f>
        <v/>
      </c>
      <c r="AP393">
        <f>IF($D393="","",IF($Z393="Yes",1,0))</f>
        <v/>
      </c>
      <c r="AQ393">
        <f>IF($AM393=1,IFERROR(IF(VALUE($D393)&lt;100000000,VALUE($D393),1000000000),IFERROR(IF(VALUE(MID($D393,2,20))&lt;100000000,VALUE(MID($D393,2,20)),1000000000),1000000000))+ROW()/100000,"")</f>
        <v/>
      </c>
    </row>
    <row r="394">
      <c r="F394" s="11" t="n"/>
      <c r="P394" s="7">
        <f>IF($D394="","",O394*X394/100)</f>
        <v/>
      </c>
      <c r="Q394" s="7" t="n"/>
      <c r="W394" s="7" t="n"/>
      <c r="X394" s="7" t="n"/>
      <c r="AA394">
        <f>IF($D394="","",IF($AP394=1,0,IF($AO394=1,Settings!$C$6,Settings!$C$7))*100)</f>
        <v/>
      </c>
      <c r="AB394" s="7">
        <f>IF($D394="","",X394*AA394/100)</f>
        <v/>
      </c>
      <c r="AC394" s="7">
        <f>IF($D394="","",X394-AB394)</f>
        <v/>
      </c>
      <c r="AD394" s="7">
        <f>IF($D394="","",AC394-P394)</f>
        <v/>
      </c>
      <c r="AH394" s="7" t="n"/>
      <c r="AK394" s="11" t="n"/>
      <c r="AM394">
        <f>IF($D394="","",IF(COUNTIF($D$2:$D394,$D394)=1,1,0))</f>
        <v/>
      </c>
      <c r="AN394">
        <f>IF($AM394=1,SUMPRODUCT(--($AQ$2:$AQ$1001&lt;$AQ394))+1,"")</f>
        <v/>
      </c>
      <c r="AO394">
        <f>IF($D394="","",IF(OR($T394=TRUE(),$T394="TRUE"),1,0))</f>
        <v/>
      </c>
      <c r="AP394">
        <f>IF($D394="","",IF($Z394="Yes",1,0))</f>
        <v/>
      </c>
      <c r="AQ394">
        <f>IF($AM394=1,IFERROR(IF(VALUE($D394)&lt;100000000,VALUE($D394),1000000000),IFERROR(IF(VALUE(MID($D394,2,20))&lt;100000000,VALUE(MID($D394,2,20)),1000000000),1000000000))+ROW()/100000,"")</f>
        <v/>
      </c>
    </row>
    <row r="395">
      <c r="F395" s="11" t="n"/>
      <c r="P395" s="7">
        <f>IF($D395="","",O395*X395/100)</f>
        <v/>
      </c>
      <c r="Q395" s="7" t="n"/>
      <c r="W395" s="7" t="n"/>
      <c r="X395" s="7" t="n"/>
      <c r="AA395">
        <f>IF($D395="","",IF($AP395=1,0,IF($AO395=1,Settings!$C$6,Settings!$C$7))*100)</f>
        <v/>
      </c>
      <c r="AB395" s="7">
        <f>IF($D395="","",X395*AA395/100)</f>
        <v/>
      </c>
      <c r="AC395" s="7">
        <f>IF($D395="","",X395-AB395)</f>
        <v/>
      </c>
      <c r="AD395" s="7">
        <f>IF($D395="","",AC395-P395)</f>
        <v/>
      </c>
      <c r="AH395" s="7" t="n"/>
      <c r="AK395" s="11" t="n"/>
      <c r="AM395">
        <f>IF($D395="","",IF(COUNTIF($D$2:$D395,$D395)=1,1,0))</f>
        <v/>
      </c>
      <c r="AN395">
        <f>IF($AM395=1,SUMPRODUCT(--($AQ$2:$AQ$1001&lt;$AQ395))+1,"")</f>
        <v/>
      </c>
      <c r="AO395">
        <f>IF($D395="","",IF(OR($T395=TRUE(),$T395="TRUE"),1,0))</f>
        <v/>
      </c>
      <c r="AP395">
        <f>IF($D395="","",IF($Z395="Yes",1,0))</f>
        <v/>
      </c>
      <c r="AQ395">
        <f>IF($AM395=1,IFERROR(IF(VALUE($D395)&lt;100000000,VALUE($D395),1000000000),IFERROR(IF(VALUE(MID($D395,2,20))&lt;100000000,VALUE(MID($D395,2,20)),1000000000),1000000000))+ROW()/100000,"")</f>
        <v/>
      </c>
    </row>
    <row r="396">
      <c r="F396" s="11" t="n"/>
      <c r="P396" s="7">
        <f>IF($D396="","",O396*X396/100)</f>
        <v/>
      </c>
      <c r="Q396" s="7" t="n"/>
      <c r="W396" s="7" t="n"/>
      <c r="X396" s="7" t="n"/>
      <c r="AA396">
        <f>IF($D396="","",IF($AP396=1,0,IF($AO396=1,Settings!$C$6,Settings!$C$7))*100)</f>
        <v/>
      </c>
      <c r="AB396" s="7">
        <f>IF($D396="","",X396*AA396/100)</f>
        <v/>
      </c>
      <c r="AC396" s="7">
        <f>IF($D396="","",X396-AB396)</f>
        <v/>
      </c>
      <c r="AD396" s="7">
        <f>IF($D396="","",AC396-P396)</f>
        <v/>
      </c>
      <c r="AH396" s="7" t="n"/>
      <c r="AK396" s="11" t="n"/>
      <c r="AM396">
        <f>IF($D396="","",IF(COUNTIF($D$2:$D396,$D396)=1,1,0))</f>
        <v/>
      </c>
      <c r="AN396">
        <f>IF($AM396=1,SUMPRODUCT(--($AQ$2:$AQ$1001&lt;$AQ396))+1,"")</f>
        <v/>
      </c>
      <c r="AO396">
        <f>IF($D396="","",IF(OR($T396=TRUE(),$T396="TRUE"),1,0))</f>
        <v/>
      </c>
      <c r="AP396">
        <f>IF($D396="","",IF($Z396="Yes",1,0))</f>
        <v/>
      </c>
      <c r="AQ396">
        <f>IF($AM396=1,IFERROR(IF(VALUE($D396)&lt;100000000,VALUE($D396),1000000000),IFERROR(IF(VALUE(MID($D396,2,20))&lt;100000000,VALUE(MID($D396,2,20)),1000000000),1000000000))+ROW()/100000,"")</f>
        <v/>
      </c>
    </row>
    <row r="397">
      <c r="F397" s="11" t="n"/>
      <c r="P397" s="7">
        <f>IF($D397="","",O397*X397/100)</f>
        <v/>
      </c>
      <c r="Q397" s="7" t="n"/>
      <c r="W397" s="7" t="n"/>
      <c r="X397" s="7" t="n"/>
      <c r="AA397">
        <f>IF($D397="","",IF($AP397=1,0,IF($AO397=1,Settings!$C$6,Settings!$C$7))*100)</f>
        <v/>
      </c>
      <c r="AB397" s="7">
        <f>IF($D397="","",X397*AA397/100)</f>
        <v/>
      </c>
      <c r="AC397" s="7">
        <f>IF($D397="","",X397-AB397)</f>
        <v/>
      </c>
      <c r="AD397" s="7">
        <f>IF($D397="","",AC397-P397)</f>
        <v/>
      </c>
      <c r="AH397" s="7" t="n"/>
      <c r="AK397" s="11" t="n"/>
      <c r="AM397">
        <f>IF($D397="","",IF(COUNTIF($D$2:$D397,$D397)=1,1,0))</f>
        <v/>
      </c>
      <c r="AN397">
        <f>IF($AM397=1,SUMPRODUCT(--($AQ$2:$AQ$1001&lt;$AQ397))+1,"")</f>
        <v/>
      </c>
      <c r="AO397">
        <f>IF($D397="","",IF(OR($T397=TRUE(),$T397="TRUE"),1,0))</f>
        <v/>
      </c>
      <c r="AP397">
        <f>IF($D397="","",IF($Z397="Yes",1,0))</f>
        <v/>
      </c>
      <c r="AQ397">
        <f>IF($AM397=1,IFERROR(IF(VALUE($D397)&lt;100000000,VALUE($D397),1000000000),IFERROR(IF(VALUE(MID($D397,2,20))&lt;100000000,VALUE(MID($D397,2,20)),1000000000),1000000000))+ROW()/100000,"")</f>
        <v/>
      </c>
    </row>
    <row r="398">
      <c r="F398" s="11" t="n"/>
      <c r="P398" s="7">
        <f>IF($D398="","",O398*X398/100)</f>
        <v/>
      </c>
      <c r="Q398" s="7" t="n"/>
      <c r="W398" s="7" t="n"/>
      <c r="X398" s="7" t="n"/>
      <c r="AA398">
        <f>IF($D398="","",IF($AP398=1,0,IF($AO398=1,Settings!$C$6,Settings!$C$7))*100)</f>
        <v/>
      </c>
      <c r="AB398" s="7">
        <f>IF($D398="","",X398*AA398/100)</f>
        <v/>
      </c>
      <c r="AC398" s="7">
        <f>IF($D398="","",X398-AB398)</f>
        <v/>
      </c>
      <c r="AD398" s="7">
        <f>IF($D398="","",AC398-P398)</f>
        <v/>
      </c>
      <c r="AH398" s="7" t="n"/>
      <c r="AK398" s="11" t="n"/>
      <c r="AM398">
        <f>IF($D398="","",IF(COUNTIF($D$2:$D398,$D398)=1,1,0))</f>
        <v/>
      </c>
      <c r="AN398">
        <f>IF($AM398=1,SUMPRODUCT(--($AQ$2:$AQ$1001&lt;$AQ398))+1,"")</f>
        <v/>
      </c>
      <c r="AO398">
        <f>IF($D398="","",IF(OR($T398=TRUE(),$T398="TRUE"),1,0))</f>
        <v/>
      </c>
      <c r="AP398">
        <f>IF($D398="","",IF($Z398="Yes",1,0))</f>
        <v/>
      </c>
      <c r="AQ398">
        <f>IF($AM398=1,IFERROR(IF(VALUE($D398)&lt;100000000,VALUE($D398),1000000000),IFERROR(IF(VALUE(MID($D398,2,20))&lt;100000000,VALUE(MID($D398,2,20)),1000000000),1000000000))+ROW()/100000,"")</f>
        <v/>
      </c>
    </row>
    <row r="399">
      <c r="F399" s="11" t="n"/>
      <c r="P399" s="7">
        <f>IF($D399="","",O399*X399/100)</f>
        <v/>
      </c>
      <c r="Q399" s="7" t="n"/>
      <c r="W399" s="7" t="n"/>
      <c r="X399" s="7" t="n"/>
      <c r="AA399">
        <f>IF($D399="","",IF($AP399=1,0,IF($AO399=1,Settings!$C$6,Settings!$C$7))*100)</f>
        <v/>
      </c>
      <c r="AB399" s="7">
        <f>IF($D399="","",X399*AA399/100)</f>
        <v/>
      </c>
      <c r="AC399" s="7">
        <f>IF($D399="","",X399-AB399)</f>
        <v/>
      </c>
      <c r="AD399" s="7">
        <f>IF($D399="","",AC399-P399)</f>
        <v/>
      </c>
      <c r="AH399" s="7" t="n"/>
      <c r="AK399" s="11" t="n"/>
      <c r="AM399">
        <f>IF($D399="","",IF(COUNTIF($D$2:$D399,$D399)=1,1,0))</f>
        <v/>
      </c>
      <c r="AN399">
        <f>IF($AM399=1,SUMPRODUCT(--($AQ$2:$AQ$1001&lt;$AQ399))+1,"")</f>
        <v/>
      </c>
      <c r="AO399">
        <f>IF($D399="","",IF(OR($T399=TRUE(),$T399="TRUE"),1,0))</f>
        <v/>
      </c>
      <c r="AP399">
        <f>IF($D399="","",IF($Z399="Yes",1,0))</f>
        <v/>
      </c>
      <c r="AQ399">
        <f>IF($AM399=1,IFERROR(IF(VALUE($D399)&lt;100000000,VALUE($D399),1000000000),IFERROR(IF(VALUE(MID($D399,2,20))&lt;100000000,VALUE(MID($D399,2,20)),1000000000),1000000000))+ROW()/100000,"")</f>
        <v/>
      </c>
    </row>
    <row r="400">
      <c r="F400" s="11" t="n"/>
      <c r="P400" s="7">
        <f>IF($D400="","",O400*X400/100)</f>
        <v/>
      </c>
      <c r="Q400" s="7" t="n"/>
      <c r="W400" s="7" t="n"/>
      <c r="X400" s="7" t="n"/>
      <c r="AA400">
        <f>IF($D400="","",IF($AP400=1,0,IF($AO400=1,Settings!$C$6,Settings!$C$7))*100)</f>
        <v/>
      </c>
      <c r="AB400" s="7">
        <f>IF($D400="","",X400*AA400/100)</f>
        <v/>
      </c>
      <c r="AC400" s="7">
        <f>IF($D400="","",X400-AB400)</f>
        <v/>
      </c>
      <c r="AD400" s="7">
        <f>IF($D400="","",AC400-P400)</f>
        <v/>
      </c>
      <c r="AH400" s="7" t="n"/>
      <c r="AK400" s="11" t="n"/>
      <c r="AM400">
        <f>IF($D400="","",IF(COUNTIF($D$2:$D400,$D400)=1,1,0))</f>
        <v/>
      </c>
      <c r="AN400">
        <f>IF($AM400=1,SUMPRODUCT(--($AQ$2:$AQ$1001&lt;$AQ400))+1,"")</f>
        <v/>
      </c>
      <c r="AO400">
        <f>IF($D400="","",IF(OR($T400=TRUE(),$T400="TRUE"),1,0))</f>
        <v/>
      </c>
      <c r="AP400">
        <f>IF($D400="","",IF($Z400="Yes",1,0))</f>
        <v/>
      </c>
      <c r="AQ400">
        <f>IF($AM400=1,IFERROR(IF(VALUE($D400)&lt;100000000,VALUE($D400),1000000000),IFERROR(IF(VALUE(MID($D400,2,20))&lt;100000000,VALUE(MID($D400,2,20)),1000000000),1000000000))+ROW()/100000,"")</f>
        <v/>
      </c>
    </row>
    <row r="401">
      <c r="F401" s="11" t="n"/>
      <c r="P401" s="7">
        <f>IF($D401="","",O401*X401/100)</f>
        <v/>
      </c>
      <c r="Q401" s="7" t="n"/>
      <c r="W401" s="7" t="n"/>
      <c r="X401" s="7" t="n"/>
      <c r="AA401">
        <f>IF($D401="","",IF($AP401=1,0,IF($AO401=1,Settings!$C$6,Settings!$C$7))*100)</f>
        <v/>
      </c>
      <c r="AB401" s="7">
        <f>IF($D401="","",X401*AA401/100)</f>
        <v/>
      </c>
      <c r="AC401" s="7">
        <f>IF($D401="","",X401-AB401)</f>
        <v/>
      </c>
      <c r="AD401" s="7">
        <f>IF($D401="","",AC401-P401)</f>
        <v/>
      </c>
      <c r="AH401" s="7" t="n"/>
      <c r="AK401" s="11" t="n"/>
      <c r="AM401">
        <f>IF($D401="","",IF(COUNTIF($D$2:$D401,$D401)=1,1,0))</f>
        <v/>
      </c>
      <c r="AN401">
        <f>IF($AM401=1,SUMPRODUCT(--($AQ$2:$AQ$1001&lt;$AQ401))+1,"")</f>
        <v/>
      </c>
      <c r="AO401">
        <f>IF($D401="","",IF(OR($T401=TRUE(),$T401="TRUE"),1,0))</f>
        <v/>
      </c>
      <c r="AP401">
        <f>IF($D401="","",IF($Z401="Yes",1,0))</f>
        <v/>
      </c>
      <c r="AQ401">
        <f>IF($AM401=1,IFERROR(IF(VALUE($D401)&lt;100000000,VALUE($D401),1000000000),IFERROR(IF(VALUE(MID($D401,2,20))&lt;100000000,VALUE(MID($D401,2,20)),1000000000),1000000000))+ROW()/100000,"")</f>
        <v/>
      </c>
    </row>
    <row r="402">
      <c r="F402" s="11" t="n"/>
      <c r="P402" s="7">
        <f>IF($D402="","",O402*X402/100)</f>
        <v/>
      </c>
      <c r="Q402" s="7" t="n"/>
      <c r="W402" s="7" t="n"/>
      <c r="X402" s="7" t="n"/>
      <c r="AA402">
        <f>IF($D402="","",IF($AP402=1,0,IF($AO402=1,Settings!$C$6,Settings!$C$7))*100)</f>
        <v/>
      </c>
      <c r="AB402" s="7">
        <f>IF($D402="","",X402*AA402/100)</f>
        <v/>
      </c>
      <c r="AC402" s="7">
        <f>IF($D402="","",X402-AB402)</f>
        <v/>
      </c>
      <c r="AD402" s="7">
        <f>IF($D402="","",AC402-P402)</f>
        <v/>
      </c>
      <c r="AH402" s="7" t="n"/>
      <c r="AK402" s="11" t="n"/>
      <c r="AM402">
        <f>IF($D402="","",IF(COUNTIF($D$2:$D402,$D402)=1,1,0))</f>
        <v/>
      </c>
      <c r="AN402">
        <f>IF($AM402=1,SUMPRODUCT(--($AQ$2:$AQ$1001&lt;$AQ402))+1,"")</f>
        <v/>
      </c>
      <c r="AO402">
        <f>IF($D402="","",IF(OR($T402=TRUE(),$T402="TRUE"),1,0))</f>
        <v/>
      </c>
      <c r="AP402">
        <f>IF($D402="","",IF($Z402="Yes",1,0))</f>
        <v/>
      </c>
      <c r="AQ402">
        <f>IF($AM402=1,IFERROR(IF(VALUE($D402)&lt;100000000,VALUE($D402),1000000000),IFERROR(IF(VALUE(MID($D402,2,20))&lt;100000000,VALUE(MID($D402,2,20)),1000000000),1000000000))+ROW()/100000,"")</f>
        <v/>
      </c>
    </row>
    <row r="403">
      <c r="F403" s="11" t="n"/>
      <c r="P403" s="7">
        <f>IF($D403="","",O403*X403/100)</f>
        <v/>
      </c>
      <c r="Q403" s="7" t="n"/>
      <c r="W403" s="7" t="n"/>
      <c r="X403" s="7" t="n"/>
      <c r="AA403">
        <f>IF($D403="","",IF($AP403=1,0,IF($AO403=1,Settings!$C$6,Settings!$C$7))*100)</f>
        <v/>
      </c>
      <c r="AB403" s="7">
        <f>IF($D403="","",X403*AA403/100)</f>
        <v/>
      </c>
      <c r="AC403" s="7">
        <f>IF($D403="","",X403-AB403)</f>
        <v/>
      </c>
      <c r="AD403" s="7">
        <f>IF($D403="","",AC403-P403)</f>
        <v/>
      </c>
      <c r="AH403" s="7" t="n"/>
      <c r="AK403" s="11" t="n"/>
      <c r="AM403">
        <f>IF($D403="","",IF(COUNTIF($D$2:$D403,$D403)=1,1,0))</f>
        <v/>
      </c>
      <c r="AN403">
        <f>IF($AM403=1,SUMPRODUCT(--($AQ$2:$AQ$1001&lt;$AQ403))+1,"")</f>
        <v/>
      </c>
      <c r="AO403">
        <f>IF($D403="","",IF(OR($T403=TRUE(),$T403="TRUE"),1,0))</f>
        <v/>
      </c>
      <c r="AP403">
        <f>IF($D403="","",IF($Z403="Yes",1,0))</f>
        <v/>
      </c>
      <c r="AQ403">
        <f>IF($AM403=1,IFERROR(IF(VALUE($D403)&lt;100000000,VALUE($D403),1000000000),IFERROR(IF(VALUE(MID($D403,2,20))&lt;100000000,VALUE(MID($D403,2,20)),1000000000),1000000000))+ROW()/100000,"")</f>
        <v/>
      </c>
    </row>
    <row r="404">
      <c r="F404" s="11" t="n"/>
      <c r="P404" s="7">
        <f>IF($D404="","",O404*X404/100)</f>
        <v/>
      </c>
      <c r="Q404" s="7" t="n"/>
      <c r="W404" s="7" t="n"/>
      <c r="X404" s="7" t="n"/>
      <c r="AA404">
        <f>IF($D404="","",IF($AP404=1,0,IF($AO404=1,Settings!$C$6,Settings!$C$7))*100)</f>
        <v/>
      </c>
      <c r="AB404" s="7">
        <f>IF($D404="","",X404*AA404/100)</f>
        <v/>
      </c>
      <c r="AC404" s="7">
        <f>IF($D404="","",X404-AB404)</f>
        <v/>
      </c>
      <c r="AD404" s="7">
        <f>IF($D404="","",AC404-P404)</f>
        <v/>
      </c>
      <c r="AH404" s="7" t="n"/>
      <c r="AK404" s="11" t="n"/>
      <c r="AM404">
        <f>IF($D404="","",IF(COUNTIF($D$2:$D404,$D404)=1,1,0))</f>
        <v/>
      </c>
      <c r="AN404">
        <f>IF($AM404=1,SUMPRODUCT(--($AQ$2:$AQ$1001&lt;$AQ404))+1,"")</f>
        <v/>
      </c>
      <c r="AO404">
        <f>IF($D404="","",IF(OR($T404=TRUE(),$T404="TRUE"),1,0))</f>
        <v/>
      </c>
      <c r="AP404">
        <f>IF($D404="","",IF($Z404="Yes",1,0))</f>
        <v/>
      </c>
      <c r="AQ404">
        <f>IF($AM404=1,IFERROR(IF(VALUE($D404)&lt;100000000,VALUE($D404),1000000000),IFERROR(IF(VALUE(MID($D404,2,20))&lt;100000000,VALUE(MID($D404,2,20)),1000000000),1000000000))+ROW()/100000,"")</f>
        <v/>
      </c>
    </row>
    <row r="405">
      <c r="F405" s="11" t="n"/>
      <c r="P405" s="7">
        <f>IF($D405="","",O405*X405/100)</f>
        <v/>
      </c>
      <c r="Q405" s="7" t="n"/>
      <c r="W405" s="7" t="n"/>
      <c r="X405" s="7" t="n"/>
      <c r="AA405">
        <f>IF($D405="","",IF($AP405=1,0,IF($AO405=1,Settings!$C$6,Settings!$C$7))*100)</f>
        <v/>
      </c>
      <c r="AB405" s="7">
        <f>IF($D405="","",X405*AA405/100)</f>
        <v/>
      </c>
      <c r="AC405" s="7">
        <f>IF($D405="","",X405-AB405)</f>
        <v/>
      </c>
      <c r="AD405" s="7">
        <f>IF($D405="","",AC405-P405)</f>
        <v/>
      </c>
      <c r="AH405" s="7" t="n"/>
      <c r="AK405" s="11" t="n"/>
      <c r="AM405">
        <f>IF($D405="","",IF(COUNTIF($D$2:$D405,$D405)=1,1,0))</f>
        <v/>
      </c>
      <c r="AN405">
        <f>IF($AM405=1,SUMPRODUCT(--($AQ$2:$AQ$1001&lt;$AQ405))+1,"")</f>
        <v/>
      </c>
      <c r="AO405">
        <f>IF($D405="","",IF(OR($T405=TRUE(),$T405="TRUE"),1,0))</f>
        <v/>
      </c>
      <c r="AP405">
        <f>IF($D405="","",IF($Z405="Yes",1,0))</f>
        <v/>
      </c>
      <c r="AQ405">
        <f>IF($AM405=1,IFERROR(IF(VALUE($D405)&lt;100000000,VALUE($D405),1000000000),IFERROR(IF(VALUE(MID($D405,2,20))&lt;100000000,VALUE(MID($D405,2,20)),1000000000),1000000000))+ROW()/100000,"")</f>
        <v/>
      </c>
    </row>
    <row r="406">
      <c r="F406" s="11" t="n"/>
      <c r="P406" s="7">
        <f>IF($D406="","",O406*X406/100)</f>
        <v/>
      </c>
      <c r="Q406" s="7" t="n"/>
      <c r="W406" s="7" t="n"/>
      <c r="X406" s="7" t="n"/>
      <c r="AA406">
        <f>IF($D406="","",IF($AP406=1,0,IF($AO406=1,Settings!$C$6,Settings!$C$7))*100)</f>
        <v/>
      </c>
      <c r="AB406" s="7">
        <f>IF($D406="","",X406*AA406/100)</f>
        <v/>
      </c>
      <c r="AC406" s="7">
        <f>IF($D406="","",X406-AB406)</f>
        <v/>
      </c>
      <c r="AD406" s="7">
        <f>IF($D406="","",AC406-P406)</f>
        <v/>
      </c>
      <c r="AH406" s="7" t="n"/>
      <c r="AK406" s="11" t="n"/>
      <c r="AM406">
        <f>IF($D406="","",IF(COUNTIF($D$2:$D406,$D406)=1,1,0))</f>
        <v/>
      </c>
      <c r="AN406">
        <f>IF($AM406=1,SUMPRODUCT(--($AQ$2:$AQ$1001&lt;$AQ406))+1,"")</f>
        <v/>
      </c>
      <c r="AO406">
        <f>IF($D406="","",IF(OR($T406=TRUE(),$T406="TRUE"),1,0))</f>
        <v/>
      </c>
      <c r="AP406">
        <f>IF($D406="","",IF($Z406="Yes",1,0))</f>
        <v/>
      </c>
      <c r="AQ406">
        <f>IF($AM406=1,IFERROR(IF(VALUE($D406)&lt;100000000,VALUE($D406),1000000000),IFERROR(IF(VALUE(MID($D406,2,20))&lt;100000000,VALUE(MID($D406,2,20)),1000000000),1000000000))+ROW()/100000,"")</f>
        <v/>
      </c>
    </row>
    <row r="407">
      <c r="F407" s="11" t="n"/>
      <c r="P407" s="7">
        <f>IF($D407="","",O407*X407/100)</f>
        <v/>
      </c>
      <c r="Q407" s="7" t="n"/>
      <c r="W407" s="7" t="n"/>
      <c r="X407" s="7" t="n"/>
      <c r="AA407">
        <f>IF($D407="","",IF($AP407=1,0,IF($AO407=1,Settings!$C$6,Settings!$C$7))*100)</f>
        <v/>
      </c>
      <c r="AB407" s="7">
        <f>IF($D407="","",X407*AA407/100)</f>
        <v/>
      </c>
      <c r="AC407" s="7">
        <f>IF($D407="","",X407-AB407)</f>
        <v/>
      </c>
      <c r="AD407" s="7">
        <f>IF($D407="","",AC407-P407)</f>
        <v/>
      </c>
      <c r="AH407" s="7" t="n"/>
      <c r="AK407" s="11" t="n"/>
      <c r="AM407">
        <f>IF($D407="","",IF(COUNTIF($D$2:$D407,$D407)=1,1,0))</f>
        <v/>
      </c>
      <c r="AN407">
        <f>IF($AM407=1,SUMPRODUCT(--($AQ$2:$AQ$1001&lt;$AQ407))+1,"")</f>
        <v/>
      </c>
      <c r="AO407">
        <f>IF($D407="","",IF(OR($T407=TRUE(),$T407="TRUE"),1,0))</f>
        <v/>
      </c>
      <c r="AP407">
        <f>IF($D407="","",IF($Z407="Yes",1,0))</f>
        <v/>
      </c>
      <c r="AQ407">
        <f>IF($AM407=1,IFERROR(IF(VALUE($D407)&lt;100000000,VALUE($D407),1000000000),IFERROR(IF(VALUE(MID($D407,2,20))&lt;100000000,VALUE(MID($D407,2,20)),1000000000),1000000000))+ROW()/100000,"")</f>
        <v/>
      </c>
    </row>
    <row r="408">
      <c r="F408" s="11" t="n"/>
      <c r="P408" s="7">
        <f>IF($D408="","",O408*X408/100)</f>
        <v/>
      </c>
      <c r="Q408" s="7" t="n"/>
      <c r="W408" s="7" t="n"/>
      <c r="X408" s="7" t="n"/>
      <c r="AA408">
        <f>IF($D408="","",IF($AP408=1,0,IF($AO408=1,Settings!$C$6,Settings!$C$7))*100)</f>
        <v/>
      </c>
      <c r="AB408" s="7">
        <f>IF($D408="","",X408*AA408/100)</f>
        <v/>
      </c>
      <c r="AC408" s="7">
        <f>IF($D408="","",X408-AB408)</f>
        <v/>
      </c>
      <c r="AD408" s="7">
        <f>IF($D408="","",AC408-P408)</f>
        <v/>
      </c>
      <c r="AH408" s="7" t="n"/>
      <c r="AK408" s="11" t="n"/>
      <c r="AM408">
        <f>IF($D408="","",IF(COUNTIF($D$2:$D408,$D408)=1,1,0))</f>
        <v/>
      </c>
      <c r="AN408">
        <f>IF($AM408=1,SUMPRODUCT(--($AQ$2:$AQ$1001&lt;$AQ408))+1,"")</f>
        <v/>
      </c>
      <c r="AO408">
        <f>IF($D408="","",IF(OR($T408=TRUE(),$T408="TRUE"),1,0))</f>
        <v/>
      </c>
      <c r="AP408">
        <f>IF($D408="","",IF($Z408="Yes",1,0))</f>
        <v/>
      </c>
      <c r="AQ408">
        <f>IF($AM408=1,IFERROR(IF(VALUE($D408)&lt;100000000,VALUE($D408),1000000000),IFERROR(IF(VALUE(MID($D408,2,20))&lt;100000000,VALUE(MID($D408,2,20)),1000000000),1000000000))+ROW()/100000,"")</f>
        <v/>
      </c>
    </row>
    <row r="409">
      <c r="F409" s="11" t="n"/>
      <c r="P409" s="7">
        <f>IF($D409="","",O409*X409/100)</f>
        <v/>
      </c>
      <c r="Q409" s="7" t="n"/>
      <c r="W409" s="7" t="n"/>
      <c r="X409" s="7" t="n"/>
      <c r="AA409">
        <f>IF($D409="","",IF($AP409=1,0,IF($AO409=1,Settings!$C$6,Settings!$C$7))*100)</f>
        <v/>
      </c>
      <c r="AB409" s="7">
        <f>IF($D409="","",X409*AA409/100)</f>
        <v/>
      </c>
      <c r="AC409" s="7">
        <f>IF($D409="","",X409-AB409)</f>
        <v/>
      </c>
      <c r="AD409" s="7">
        <f>IF($D409="","",AC409-P409)</f>
        <v/>
      </c>
      <c r="AH409" s="7" t="n"/>
      <c r="AK409" s="11" t="n"/>
      <c r="AM409">
        <f>IF($D409="","",IF(COUNTIF($D$2:$D409,$D409)=1,1,0))</f>
        <v/>
      </c>
      <c r="AN409">
        <f>IF($AM409=1,SUMPRODUCT(--($AQ$2:$AQ$1001&lt;$AQ409))+1,"")</f>
        <v/>
      </c>
      <c r="AO409">
        <f>IF($D409="","",IF(OR($T409=TRUE(),$T409="TRUE"),1,0))</f>
        <v/>
      </c>
      <c r="AP409">
        <f>IF($D409="","",IF($Z409="Yes",1,0))</f>
        <v/>
      </c>
      <c r="AQ409">
        <f>IF($AM409=1,IFERROR(IF(VALUE($D409)&lt;100000000,VALUE($D409),1000000000),IFERROR(IF(VALUE(MID($D409,2,20))&lt;100000000,VALUE(MID($D409,2,20)),1000000000),1000000000))+ROW()/100000,"")</f>
        <v/>
      </c>
    </row>
    <row r="410">
      <c r="F410" s="11" t="n"/>
      <c r="P410" s="7">
        <f>IF($D410="","",O410*X410/100)</f>
        <v/>
      </c>
      <c r="Q410" s="7" t="n"/>
      <c r="W410" s="7" t="n"/>
      <c r="X410" s="7" t="n"/>
      <c r="AA410">
        <f>IF($D410="","",IF($AP410=1,0,IF($AO410=1,Settings!$C$6,Settings!$C$7))*100)</f>
        <v/>
      </c>
      <c r="AB410" s="7">
        <f>IF($D410="","",X410*AA410/100)</f>
        <v/>
      </c>
      <c r="AC410" s="7">
        <f>IF($D410="","",X410-AB410)</f>
        <v/>
      </c>
      <c r="AD410" s="7">
        <f>IF($D410="","",AC410-P410)</f>
        <v/>
      </c>
      <c r="AH410" s="7" t="n"/>
      <c r="AK410" s="11" t="n"/>
      <c r="AM410">
        <f>IF($D410="","",IF(COUNTIF($D$2:$D410,$D410)=1,1,0))</f>
        <v/>
      </c>
      <c r="AN410">
        <f>IF($AM410=1,SUMPRODUCT(--($AQ$2:$AQ$1001&lt;$AQ410))+1,"")</f>
        <v/>
      </c>
      <c r="AO410">
        <f>IF($D410="","",IF(OR($T410=TRUE(),$T410="TRUE"),1,0))</f>
        <v/>
      </c>
      <c r="AP410">
        <f>IF($D410="","",IF($Z410="Yes",1,0))</f>
        <v/>
      </c>
      <c r="AQ410">
        <f>IF($AM410=1,IFERROR(IF(VALUE($D410)&lt;100000000,VALUE($D410),1000000000),IFERROR(IF(VALUE(MID($D410,2,20))&lt;100000000,VALUE(MID($D410,2,20)),1000000000),1000000000))+ROW()/100000,"")</f>
        <v/>
      </c>
    </row>
    <row r="411">
      <c r="F411" s="11" t="n"/>
      <c r="P411" s="7">
        <f>IF($D411="","",O411*X411/100)</f>
        <v/>
      </c>
      <c r="Q411" s="7" t="n"/>
      <c r="W411" s="7" t="n"/>
      <c r="X411" s="7" t="n"/>
      <c r="AA411">
        <f>IF($D411="","",IF($AP411=1,0,IF($AO411=1,Settings!$C$6,Settings!$C$7))*100)</f>
        <v/>
      </c>
      <c r="AB411" s="7">
        <f>IF($D411="","",X411*AA411/100)</f>
        <v/>
      </c>
      <c r="AC411" s="7">
        <f>IF($D411="","",X411-AB411)</f>
        <v/>
      </c>
      <c r="AD411" s="7">
        <f>IF($D411="","",AC411-P411)</f>
        <v/>
      </c>
      <c r="AH411" s="7" t="n"/>
      <c r="AK411" s="11" t="n"/>
      <c r="AM411">
        <f>IF($D411="","",IF(COUNTIF($D$2:$D411,$D411)=1,1,0))</f>
        <v/>
      </c>
      <c r="AN411">
        <f>IF($AM411=1,SUMPRODUCT(--($AQ$2:$AQ$1001&lt;$AQ411))+1,"")</f>
        <v/>
      </c>
      <c r="AO411">
        <f>IF($D411="","",IF(OR($T411=TRUE(),$T411="TRUE"),1,0))</f>
        <v/>
      </c>
      <c r="AP411">
        <f>IF($D411="","",IF($Z411="Yes",1,0))</f>
        <v/>
      </c>
      <c r="AQ411">
        <f>IF($AM411=1,IFERROR(IF(VALUE($D411)&lt;100000000,VALUE($D411),1000000000),IFERROR(IF(VALUE(MID($D411,2,20))&lt;100000000,VALUE(MID($D411,2,20)),1000000000),1000000000))+ROW()/100000,"")</f>
        <v/>
      </c>
    </row>
    <row r="412">
      <c r="F412" s="11" t="n"/>
      <c r="P412" s="7">
        <f>IF($D412="","",O412*X412/100)</f>
        <v/>
      </c>
      <c r="Q412" s="7" t="n"/>
      <c r="W412" s="7" t="n"/>
      <c r="X412" s="7" t="n"/>
      <c r="AA412">
        <f>IF($D412="","",IF($AP412=1,0,IF($AO412=1,Settings!$C$6,Settings!$C$7))*100)</f>
        <v/>
      </c>
      <c r="AB412" s="7">
        <f>IF($D412="","",X412*AA412/100)</f>
        <v/>
      </c>
      <c r="AC412" s="7">
        <f>IF($D412="","",X412-AB412)</f>
        <v/>
      </c>
      <c r="AD412" s="7">
        <f>IF($D412="","",AC412-P412)</f>
        <v/>
      </c>
      <c r="AH412" s="7" t="n"/>
      <c r="AK412" s="11" t="n"/>
      <c r="AM412">
        <f>IF($D412="","",IF(COUNTIF($D$2:$D412,$D412)=1,1,0))</f>
        <v/>
      </c>
      <c r="AN412">
        <f>IF($AM412=1,SUMPRODUCT(--($AQ$2:$AQ$1001&lt;$AQ412))+1,"")</f>
        <v/>
      </c>
      <c r="AO412">
        <f>IF($D412="","",IF(OR($T412=TRUE(),$T412="TRUE"),1,0))</f>
        <v/>
      </c>
      <c r="AP412">
        <f>IF($D412="","",IF($Z412="Yes",1,0))</f>
        <v/>
      </c>
      <c r="AQ412">
        <f>IF($AM412=1,IFERROR(IF(VALUE($D412)&lt;100000000,VALUE($D412),1000000000),IFERROR(IF(VALUE(MID($D412,2,20))&lt;100000000,VALUE(MID($D412,2,20)),1000000000),1000000000))+ROW()/100000,"")</f>
        <v/>
      </c>
    </row>
    <row r="413">
      <c r="F413" s="11" t="n"/>
      <c r="P413" s="7">
        <f>IF($D413="","",O413*X413/100)</f>
        <v/>
      </c>
      <c r="Q413" s="7" t="n"/>
      <c r="W413" s="7" t="n"/>
      <c r="X413" s="7" t="n"/>
      <c r="AA413">
        <f>IF($D413="","",IF($AP413=1,0,IF($AO413=1,Settings!$C$6,Settings!$C$7))*100)</f>
        <v/>
      </c>
      <c r="AB413" s="7">
        <f>IF($D413="","",X413*AA413/100)</f>
        <v/>
      </c>
      <c r="AC413" s="7">
        <f>IF($D413="","",X413-AB413)</f>
        <v/>
      </c>
      <c r="AD413" s="7">
        <f>IF($D413="","",AC413-P413)</f>
        <v/>
      </c>
      <c r="AH413" s="7" t="n"/>
      <c r="AK413" s="11" t="n"/>
      <c r="AM413">
        <f>IF($D413="","",IF(COUNTIF($D$2:$D413,$D413)=1,1,0))</f>
        <v/>
      </c>
      <c r="AN413">
        <f>IF($AM413=1,SUMPRODUCT(--($AQ$2:$AQ$1001&lt;$AQ413))+1,"")</f>
        <v/>
      </c>
      <c r="AO413">
        <f>IF($D413="","",IF(OR($T413=TRUE(),$T413="TRUE"),1,0))</f>
        <v/>
      </c>
      <c r="AP413">
        <f>IF($D413="","",IF($Z413="Yes",1,0))</f>
        <v/>
      </c>
      <c r="AQ413">
        <f>IF($AM413=1,IFERROR(IF(VALUE($D413)&lt;100000000,VALUE($D413),1000000000),IFERROR(IF(VALUE(MID($D413,2,20))&lt;100000000,VALUE(MID($D413,2,20)),1000000000),1000000000))+ROW()/100000,"")</f>
        <v/>
      </c>
    </row>
    <row r="414">
      <c r="F414" s="11" t="n"/>
      <c r="P414" s="7">
        <f>IF($D414="","",O414*X414/100)</f>
        <v/>
      </c>
      <c r="Q414" s="7" t="n"/>
      <c r="W414" s="7" t="n"/>
      <c r="X414" s="7" t="n"/>
      <c r="AA414">
        <f>IF($D414="","",IF($AP414=1,0,IF($AO414=1,Settings!$C$6,Settings!$C$7))*100)</f>
        <v/>
      </c>
      <c r="AB414" s="7">
        <f>IF($D414="","",X414*AA414/100)</f>
        <v/>
      </c>
      <c r="AC414" s="7">
        <f>IF($D414="","",X414-AB414)</f>
        <v/>
      </c>
      <c r="AD414" s="7">
        <f>IF($D414="","",AC414-P414)</f>
        <v/>
      </c>
      <c r="AH414" s="7" t="n"/>
      <c r="AK414" s="11" t="n"/>
      <c r="AM414">
        <f>IF($D414="","",IF(COUNTIF($D$2:$D414,$D414)=1,1,0))</f>
        <v/>
      </c>
      <c r="AN414">
        <f>IF($AM414=1,SUMPRODUCT(--($AQ$2:$AQ$1001&lt;$AQ414))+1,"")</f>
        <v/>
      </c>
      <c r="AO414">
        <f>IF($D414="","",IF(OR($T414=TRUE(),$T414="TRUE"),1,0))</f>
        <v/>
      </c>
      <c r="AP414">
        <f>IF($D414="","",IF($Z414="Yes",1,0))</f>
        <v/>
      </c>
      <c r="AQ414">
        <f>IF($AM414=1,IFERROR(IF(VALUE($D414)&lt;100000000,VALUE($D414),1000000000),IFERROR(IF(VALUE(MID($D414,2,20))&lt;100000000,VALUE(MID($D414,2,20)),1000000000),1000000000))+ROW()/100000,"")</f>
        <v/>
      </c>
    </row>
    <row r="415">
      <c r="F415" s="11" t="n"/>
      <c r="P415" s="7">
        <f>IF($D415="","",O415*X415/100)</f>
        <v/>
      </c>
      <c r="Q415" s="7" t="n"/>
      <c r="W415" s="7" t="n"/>
      <c r="X415" s="7" t="n"/>
      <c r="AA415">
        <f>IF($D415="","",IF($AP415=1,0,IF($AO415=1,Settings!$C$6,Settings!$C$7))*100)</f>
        <v/>
      </c>
      <c r="AB415" s="7">
        <f>IF($D415="","",X415*AA415/100)</f>
        <v/>
      </c>
      <c r="AC415" s="7">
        <f>IF($D415="","",X415-AB415)</f>
        <v/>
      </c>
      <c r="AD415" s="7">
        <f>IF($D415="","",AC415-P415)</f>
        <v/>
      </c>
      <c r="AH415" s="7" t="n"/>
      <c r="AK415" s="11" t="n"/>
      <c r="AM415">
        <f>IF($D415="","",IF(COUNTIF($D$2:$D415,$D415)=1,1,0))</f>
        <v/>
      </c>
      <c r="AN415">
        <f>IF($AM415=1,SUMPRODUCT(--($AQ$2:$AQ$1001&lt;$AQ415))+1,"")</f>
        <v/>
      </c>
      <c r="AO415">
        <f>IF($D415="","",IF(OR($T415=TRUE(),$T415="TRUE"),1,0))</f>
        <v/>
      </c>
      <c r="AP415">
        <f>IF($D415="","",IF($Z415="Yes",1,0))</f>
        <v/>
      </c>
      <c r="AQ415">
        <f>IF($AM415=1,IFERROR(IF(VALUE($D415)&lt;100000000,VALUE($D415),1000000000),IFERROR(IF(VALUE(MID($D415,2,20))&lt;100000000,VALUE(MID($D415,2,20)),1000000000),1000000000))+ROW()/100000,"")</f>
        <v/>
      </c>
    </row>
    <row r="416">
      <c r="F416" s="11" t="n"/>
      <c r="P416" s="7">
        <f>IF($D416="","",O416*X416/100)</f>
        <v/>
      </c>
      <c r="Q416" s="7" t="n"/>
      <c r="W416" s="7" t="n"/>
      <c r="X416" s="7" t="n"/>
      <c r="AA416">
        <f>IF($D416="","",IF($AP416=1,0,IF($AO416=1,Settings!$C$6,Settings!$C$7))*100)</f>
        <v/>
      </c>
      <c r="AB416" s="7">
        <f>IF($D416="","",X416*AA416/100)</f>
        <v/>
      </c>
      <c r="AC416" s="7">
        <f>IF($D416="","",X416-AB416)</f>
        <v/>
      </c>
      <c r="AD416" s="7">
        <f>IF($D416="","",AC416-P416)</f>
        <v/>
      </c>
      <c r="AH416" s="7" t="n"/>
      <c r="AK416" s="11" t="n"/>
      <c r="AM416">
        <f>IF($D416="","",IF(COUNTIF($D$2:$D416,$D416)=1,1,0))</f>
        <v/>
      </c>
      <c r="AN416">
        <f>IF($AM416=1,SUMPRODUCT(--($AQ$2:$AQ$1001&lt;$AQ416))+1,"")</f>
        <v/>
      </c>
      <c r="AO416">
        <f>IF($D416="","",IF(OR($T416=TRUE(),$T416="TRUE"),1,0))</f>
        <v/>
      </c>
      <c r="AP416">
        <f>IF($D416="","",IF($Z416="Yes",1,0))</f>
        <v/>
      </c>
      <c r="AQ416">
        <f>IF($AM416=1,IFERROR(IF(VALUE($D416)&lt;100000000,VALUE($D416),1000000000),IFERROR(IF(VALUE(MID($D416,2,20))&lt;100000000,VALUE(MID($D416,2,20)),1000000000),1000000000))+ROW()/100000,"")</f>
        <v/>
      </c>
    </row>
    <row r="417">
      <c r="F417" s="11" t="n"/>
      <c r="P417" s="7">
        <f>IF($D417="","",O417*X417/100)</f>
        <v/>
      </c>
      <c r="Q417" s="7" t="n"/>
      <c r="W417" s="7" t="n"/>
      <c r="X417" s="7" t="n"/>
      <c r="AA417">
        <f>IF($D417="","",IF($AP417=1,0,IF($AO417=1,Settings!$C$6,Settings!$C$7))*100)</f>
        <v/>
      </c>
      <c r="AB417" s="7">
        <f>IF($D417="","",X417*AA417/100)</f>
        <v/>
      </c>
      <c r="AC417" s="7">
        <f>IF($D417="","",X417-AB417)</f>
        <v/>
      </c>
      <c r="AD417" s="7">
        <f>IF($D417="","",AC417-P417)</f>
        <v/>
      </c>
      <c r="AH417" s="7" t="n"/>
      <c r="AK417" s="11" t="n"/>
      <c r="AM417">
        <f>IF($D417="","",IF(COUNTIF($D$2:$D417,$D417)=1,1,0))</f>
        <v/>
      </c>
      <c r="AN417">
        <f>IF($AM417=1,SUMPRODUCT(--($AQ$2:$AQ$1001&lt;$AQ417))+1,"")</f>
        <v/>
      </c>
      <c r="AO417">
        <f>IF($D417="","",IF(OR($T417=TRUE(),$T417="TRUE"),1,0))</f>
        <v/>
      </c>
      <c r="AP417">
        <f>IF($D417="","",IF($Z417="Yes",1,0))</f>
        <v/>
      </c>
      <c r="AQ417">
        <f>IF($AM417=1,IFERROR(IF(VALUE($D417)&lt;100000000,VALUE($D417),1000000000),IFERROR(IF(VALUE(MID($D417,2,20))&lt;100000000,VALUE(MID($D417,2,20)),1000000000),1000000000))+ROW()/100000,"")</f>
        <v/>
      </c>
    </row>
    <row r="418">
      <c r="F418" s="11" t="n"/>
      <c r="P418" s="7">
        <f>IF($D418="","",O418*X418/100)</f>
        <v/>
      </c>
      <c r="Q418" s="7" t="n"/>
      <c r="W418" s="7" t="n"/>
      <c r="X418" s="7" t="n"/>
      <c r="AA418">
        <f>IF($D418="","",IF($AP418=1,0,IF($AO418=1,Settings!$C$6,Settings!$C$7))*100)</f>
        <v/>
      </c>
      <c r="AB418" s="7">
        <f>IF($D418="","",X418*AA418/100)</f>
        <v/>
      </c>
      <c r="AC418" s="7">
        <f>IF($D418="","",X418-AB418)</f>
        <v/>
      </c>
      <c r="AD418" s="7">
        <f>IF($D418="","",AC418-P418)</f>
        <v/>
      </c>
      <c r="AH418" s="7" t="n"/>
      <c r="AK418" s="11" t="n"/>
      <c r="AM418">
        <f>IF($D418="","",IF(COUNTIF($D$2:$D418,$D418)=1,1,0))</f>
        <v/>
      </c>
      <c r="AN418">
        <f>IF($AM418=1,SUMPRODUCT(--($AQ$2:$AQ$1001&lt;$AQ418))+1,"")</f>
        <v/>
      </c>
      <c r="AO418">
        <f>IF($D418="","",IF(OR($T418=TRUE(),$T418="TRUE"),1,0))</f>
        <v/>
      </c>
      <c r="AP418">
        <f>IF($D418="","",IF($Z418="Yes",1,0))</f>
        <v/>
      </c>
      <c r="AQ418">
        <f>IF($AM418=1,IFERROR(IF(VALUE($D418)&lt;100000000,VALUE($D418),1000000000),IFERROR(IF(VALUE(MID($D418,2,20))&lt;100000000,VALUE(MID($D418,2,20)),1000000000),1000000000))+ROW()/100000,"")</f>
        <v/>
      </c>
    </row>
    <row r="419">
      <c r="F419" s="11" t="n"/>
      <c r="P419" s="7">
        <f>IF($D419="","",O419*X419/100)</f>
        <v/>
      </c>
      <c r="Q419" s="7" t="n"/>
      <c r="W419" s="7" t="n"/>
      <c r="X419" s="7" t="n"/>
      <c r="AA419">
        <f>IF($D419="","",IF($AP419=1,0,IF($AO419=1,Settings!$C$6,Settings!$C$7))*100)</f>
        <v/>
      </c>
      <c r="AB419" s="7">
        <f>IF($D419="","",X419*AA419/100)</f>
        <v/>
      </c>
      <c r="AC419" s="7">
        <f>IF($D419="","",X419-AB419)</f>
        <v/>
      </c>
      <c r="AD419" s="7">
        <f>IF($D419="","",AC419-P419)</f>
        <v/>
      </c>
      <c r="AH419" s="7" t="n"/>
      <c r="AK419" s="11" t="n"/>
      <c r="AM419">
        <f>IF($D419="","",IF(COUNTIF($D$2:$D419,$D419)=1,1,0))</f>
        <v/>
      </c>
      <c r="AN419">
        <f>IF($AM419=1,SUMPRODUCT(--($AQ$2:$AQ$1001&lt;$AQ419))+1,"")</f>
        <v/>
      </c>
      <c r="AO419">
        <f>IF($D419="","",IF(OR($T419=TRUE(),$T419="TRUE"),1,0))</f>
        <v/>
      </c>
      <c r="AP419">
        <f>IF($D419="","",IF($Z419="Yes",1,0))</f>
        <v/>
      </c>
      <c r="AQ419">
        <f>IF($AM419=1,IFERROR(IF(VALUE($D419)&lt;100000000,VALUE($D419),1000000000),IFERROR(IF(VALUE(MID($D419,2,20))&lt;100000000,VALUE(MID($D419,2,20)),1000000000),1000000000))+ROW()/100000,"")</f>
        <v/>
      </c>
    </row>
    <row r="420">
      <c r="F420" s="11" t="n"/>
      <c r="P420" s="7">
        <f>IF($D420="","",O420*X420/100)</f>
        <v/>
      </c>
      <c r="Q420" s="7" t="n"/>
      <c r="W420" s="7" t="n"/>
      <c r="X420" s="7" t="n"/>
      <c r="AA420">
        <f>IF($D420="","",IF($AP420=1,0,IF($AO420=1,Settings!$C$6,Settings!$C$7))*100)</f>
        <v/>
      </c>
      <c r="AB420" s="7">
        <f>IF($D420="","",X420*AA420/100)</f>
        <v/>
      </c>
      <c r="AC420" s="7">
        <f>IF($D420="","",X420-AB420)</f>
        <v/>
      </c>
      <c r="AD420" s="7">
        <f>IF($D420="","",AC420-P420)</f>
        <v/>
      </c>
      <c r="AH420" s="7" t="n"/>
      <c r="AK420" s="11" t="n"/>
      <c r="AM420">
        <f>IF($D420="","",IF(COUNTIF($D$2:$D420,$D420)=1,1,0))</f>
        <v/>
      </c>
      <c r="AN420">
        <f>IF($AM420=1,SUMPRODUCT(--($AQ$2:$AQ$1001&lt;$AQ420))+1,"")</f>
        <v/>
      </c>
      <c r="AO420">
        <f>IF($D420="","",IF(OR($T420=TRUE(),$T420="TRUE"),1,0))</f>
        <v/>
      </c>
      <c r="AP420">
        <f>IF($D420="","",IF($Z420="Yes",1,0))</f>
        <v/>
      </c>
      <c r="AQ420">
        <f>IF($AM420=1,IFERROR(IF(VALUE($D420)&lt;100000000,VALUE($D420),1000000000),IFERROR(IF(VALUE(MID($D420,2,20))&lt;100000000,VALUE(MID($D420,2,20)),1000000000),1000000000))+ROW()/100000,"")</f>
        <v/>
      </c>
    </row>
    <row r="421">
      <c r="F421" s="11" t="n"/>
      <c r="P421" s="7">
        <f>IF($D421="","",O421*X421/100)</f>
        <v/>
      </c>
      <c r="Q421" s="7" t="n"/>
      <c r="W421" s="7" t="n"/>
      <c r="X421" s="7" t="n"/>
      <c r="AA421">
        <f>IF($D421="","",IF($AP421=1,0,IF($AO421=1,Settings!$C$6,Settings!$C$7))*100)</f>
        <v/>
      </c>
      <c r="AB421" s="7">
        <f>IF($D421="","",X421*AA421/100)</f>
        <v/>
      </c>
      <c r="AC421" s="7">
        <f>IF($D421="","",X421-AB421)</f>
        <v/>
      </c>
      <c r="AD421" s="7">
        <f>IF($D421="","",AC421-P421)</f>
        <v/>
      </c>
      <c r="AH421" s="7" t="n"/>
      <c r="AK421" s="11" t="n"/>
      <c r="AM421">
        <f>IF($D421="","",IF(COUNTIF($D$2:$D421,$D421)=1,1,0))</f>
        <v/>
      </c>
      <c r="AN421">
        <f>IF($AM421=1,SUMPRODUCT(--($AQ$2:$AQ$1001&lt;$AQ421))+1,"")</f>
        <v/>
      </c>
      <c r="AO421">
        <f>IF($D421="","",IF(OR($T421=TRUE(),$T421="TRUE"),1,0))</f>
        <v/>
      </c>
      <c r="AP421">
        <f>IF($D421="","",IF($Z421="Yes",1,0))</f>
        <v/>
      </c>
      <c r="AQ421">
        <f>IF($AM421=1,IFERROR(IF(VALUE($D421)&lt;100000000,VALUE($D421),1000000000),IFERROR(IF(VALUE(MID($D421,2,20))&lt;100000000,VALUE(MID($D421,2,20)),1000000000),1000000000))+ROW()/100000,"")</f>
        <v/>
      </c>
    </row>
    <row r="422">
      <c r="F422" s="11" t="n"/>
      <c r="P422" s="7">
        <f>IF($D422="","",O422*X422/100)</f>
        <v/>
      </c>
      <c r="Q422" s="7" t="n"/>
      <c r="W422" s="7" t="n"/>
      <c r="X422" s="7" t="n"/>
      <c r="AA422">
        <f>IF($D422="","",IF($AP422=1,0,IF($AO422=1,Settings!$C$6,Settings!$C$7))*100)</f>
        <v/>
      </c>
      <c r="AB422" s="7">
        <f>IF($D422="","",X422*AA422/100)</f>
        <v/>
      </c>
      <c r="AC422" s="7">
        <f>IF($D422="","",X422-AB422)</f>
        <v/>
      </c>
      <c r="AD422" s="7">
        <f>IF($D422="","",AC422-P422)</f>
        <v/>
      </c>
      <c r="AH422" s="7" t="n"/>
      <c r="AK422" s="11" t="n"/>
      <c r="AM422">
        <f>IF($D422="","",IF(COUNTIF($D$2:$D422,$D422)=1,1,0))</f>
        <v/>
      </c>
      <c r="AN422">
        <f>IF($AM422=1,SUMPRODUCT(--($AQ$2:$AQ$1001&lt;$AQ422))+1,"")</f>
        <v/>
      </c>
      <c r="AO422">
        <f>IF($D422="","",IF(OR($T422=TRUE(),$T422="TRUE"),1,0))</f>
        <v/>
      </c>
      <c r="AP422">
        <f>IF($D422="","",IF($Z422="Yes",1,0))</f>
        <v/>
      </c>
      <c r="AQ422">
        <f>IF($AM422=1,IFERROR(IF(VALUE($D422)&lt;100000000,VALUE($D422),1000000000),IFERROR(IF(VALUE(MID($D422,2,20))&lt;100000000,VALUE(MID($D422,2,20)),1000000000),1000000000))+ROW()/100000,"")</f>
        <v/>
      </c>
    </row>
    <row r="423">
      <c r="F423" s="11" t="n"/>
      <c r="P423" s="7">
        <f>IF($D423="","",O423*X423/100)</f>
        <v/>
      </c>
      <c r="Q423" s="7" t="n"/>
      <c r="W423" s="7" t="n"/>
      <c r="X423" s="7" t="n"/>
      <c r="AA423">
        <f>IF($D423="","",IF($AP423=1,0,IF($AO423=1,Settings!$C$6,Settings!$C$7))*100)</f>
        <v/>
      </c>
      <c r="AB423" s="7">
        <f>IF($D423="","",X423*AA423/100)</f>
        <v/>
      </c>
      <c r="AC423" s="7">
        <f>IF($D423="","",X423-AB423)</f>
        <v/>
      </c>
      <c r="AD423" s="7">
        <f>IF($D423="","",AC423-P423)</f>
        <v/>
      </c>
      <c r="AH423" s="7" t="n"/>
      <c r="AK423" s="11" t="n"/>
      <c r="AM423">
        <f>IF($D423="","",IF(COUNTIF($D$2:$D423,$D423)=1,1,0))</f>
        <v/>
      </c>
      <c r="AN423">
        <f>IF($AM423=1,SUMPRODUCT(--($AQ$2:$AQ$1001&lt;$AQ423))+1,"")</f>
        <v/>
      </c>
      <c r="AO423">
        <f>IF($D423="","",IF(OR($T423=TRUE(),$T423="TRUE"),1,0))</f>
        <v/>
      </c>
      <c r="AP423">
        <f>IF($D423="","",IF($Z423="Yes",1,0))</f>
        <v/>
      </c>
      <c r="AQ423">
        <f>IF($AM423=1,IFERROR(IF(VALUE($D423)&lt;100000000,VALUE($D423),1000000000),IFERROR(IF(VALUE(MID($D423,2,20))&lt;100000000,VALUE(MID($D423,2,20)),1000000000),1000000000))+ROW()/100000,"")</f>
        <v/>
      </c>
    </row>
    <row r="424">
      <c r="F424" s="11" t="n"/>
      <c r="P424" s="7">
        <f>IF($D424="","",O424*X424/100)</f>
        <v/>
      </c>
      <c r="Q424" s="7" t="n"/>
      <c r="W424" s="7" t="n"/>
      <c r="X424" s="7" t="n"/>
      <c r="AA424">
        <f>IF($D424="","",IF($AP424=1,0,IF($AO424=1,Settings!$C$6,Settings!$C$7))*100)</f>
        <v/>
      </c>
      <c r="AB424" s="7">
        <f>IF($D424="","",X424*AA424/100)</f>
        <v/>
      </c>
      <c r="AC424" s="7">
        <f>IF($D424="","",X424-AB424)</f>
        <v/>
      </c>
      <c r="AD424" s="7">
        <f>IF($D424="","",AC424-P424)</f>
        <v/>
      </c>
      <c r="AH424" s="7" t="n"/>
      <c r="AK424" s="11" t="n"/>
      <c r="AM424">
        <f>IF($D424="","",IF(COUNTIF($D$2:$D424,$D424)=1,1,0))</f>
        <v/>
      </c>
      <c r="AN424">
        <f>IF($AM424=1,SUMPRODUCT(--($AQ$2:$AQ$1001&lt;$AQ424))+1,"")</f>
        <v/>
      </c>
      <c r="AO424">
        <f>IF($D424="","",IF(OR($T424=TRUE(),$T424="TRUE"),1,0))</f>
        <v/>
      </c>
      <c r="AP424">
        <f>IF($D424="","",IF($Z424="Yes",1,0))</f>
        <v/>
      </c>
      <c r="AQ424">
        <f>IF($AM424=1,IFERROR(IF(VALUE($D424)&lt;100000000,VALUE($D424),1000000000),IFERROR(IF(VALUE(MID($D424,2,20))&lt;100000000,VALUE(MID($D424,2,20)),1000000000),1000000000))+ROW()/100000,"")</f>
        <v/>
      </c>
    </row>
    <row r="425">
      <c r="F425" s="11" t="n"/>
      <c r="P425" s="7">
        <f>IF($D425="","",O425*X425/100)</f>
        <v/>
      </c>
      <c r="Q425" s="7" t="n"/>
      <c r="W425" s="7" t="n"/>
      <c r="X425" s="7" t="n"/>
      <c r="AA425">
        <f>IF($D425="","",IF($AP425=1,0,IF($AO425=1,Settings!$C$6,Settings!$C$7))*100)</f>
        <v/>
      </c>
      <c r="AB425" s="7">
        <f>IF($D425="","",X425*AA425/100)</f>
        <v/>
      </c>
      <c r="AC425" s="7">
        <f>IF($D425="","",X425-AB425)</f>
        <v/>
      </c>
      <c r="AD425" s="7">
        <f>IF($D425="","",AC425-P425)</f>
        <v/>
      </c>
      <c r="AH425" s="7" t="n"/>
      <c r="AK425" s="11" t="n"/>
      <c r="AM425">
        <f>IF($D425="","",IF(COUNTIF($D$2:$D425,$D425)=1,1,0))</f>
        <v/>
      </c>
      <c r="AN425">
        <f>IF($AM425=1,SUMPRODUCT(--($AQ$2:$AQ$1001&lt;$AQ425))+1,"")</f>
        <v/>
      </c>
      <c r="AO425">
        <f>IF($D425="","",IF(OR($T425=TRUE(),$T425="TRUE"),1,0))</f>
        <v/>
      </c>
      <c r="AP425">
        <f>IF($D425="","",IF($Z425="Yes",1,0))</f>
        <v/>
      </c>
      <c r="AQ425">
        <f>IF($AM425=1,IFERROR(IF(VALUE($D425)&lt;100000000,VALUE($D425),1000000000),IFERROR(IF(VALUE(MID($D425,2,20))&lt;100000000,VALUE(MID($D425,2,20)),1000000000),1000000000))+ROW()/100000,"")</f>
        <v/>
      </c>
    </row>
    <row r="426">
      <c r="F426" s="11" t="n"/>
      <c r="P426" s="7">
        <f>IF($D426="","",O426*X426/100)</f>
        <v/>
      </c>
      <c r="Q426" s="7" t="n"/>
      <c r="W426" s="7" t="n"/>
      <c r="X426" s="7" t="n"/>
      <c r="AA426">
        <f>IF($D426="","",IF($AP426=1,0,IF($AO426=1,Settings!$C$6,Settings!$C$7))*100)</f>
        <v/>
      </c>
      <c r="AB426" s="7">
        <f>IF($D426="","",X426*AA426/100)</f>
        <v/>
      </c>
      <c r="AC426" s="7">
        <f>IF($D426="","",X426-AB426)</f>
        <v/>
      </c>
      <c r="AD426" s="7">
        <f>IF($D426="","",AC426-P426)</f>
        <v/>
      </c>
      <c r="AH426" s="7" t="n"/>
      <c r="AK426" s="11" t="n"/>
      <c r="AM426">
        <f>IF($D426="","",IF(COUNTIF($D$2:$D426,$D426)=1,1,0))</f>
        <v/>
      </c>
      <c r="AN426">
        <f>IF($AM426=1,SUMPRODUCT(--($AQ$2:$AQ$1001&lt;$AQ426))+1,"")</f>
        <v/>
      </c>
      <c r="AO426">
        <f>IF($D426="","",IF(OR($T426=TRUE(),$T426="TRUE"),1,0))</f>
        <v/>
      </c>
      <c r="AP426">
        <f>IF($D426="","",IF($Z426="Yes",1,0))</f>
        <v/>
      </c>
      <c r="AQ426">
        <f>IF($AM426=1,IFERROR(IF(VALUE($D426)&lt;100000000,VALUE($D426),1000000000),IFERROR(IF(VALUE(MID($D426,2,20))&lt;100000000,VALUE(MID($D426,2,20)),1000000000),1000000000))+ROW()/100000,"")</f>
        <v/>
      </c>
    </row>
    <row r="427">
      <c r="F427" s="11" t="n"/>
      <c r="P427" s="7">
        <f>IF($D427="","",O427*X427/100)</f>
        <v/>
      </c>
      <c r="Q427" s="7" t="n"/>
      <c r="W427" s="7" t="n"/>
      <c r="X427" s="7" t="n"/>
      <c r="AA427">
        <f>IF($D427="","",IF($AP427=1,0,IF($AO427=1,Settings!$C$6,Settings!$C$7))*100)</f>
        <v/>
      </c>
      <c r="AB427" s="7">
        <f>IF($D427="","",X427*AA427/100)</f>
        <v/>
      </c>
      <c r="AC427" s="7">
        <f>IF($D427="","",X427-AB427)</f>
        <v/>
      </c>
      <c r="AD427" s="7">
        <f>IF($D427="","",AC427-P427)</f>
        <v/>
      </c>
      <c r="AH427" s="7" t="n"/>
      <c r="AK427" s="11" t="n"/>
      <c r="AM427">
        <f>IF($D427="","",IF(COUNTIF($D$2:$D427,$D427)=1,1,0))</f>
        <v/>
      </c>
      <c r="AN427">
        <f>IF($AM427=1,SUMPRODUCT(--($AQ$2:$AQ$1001&lt;$AQ427))+1,"")</f>
        <v/>
      </c>
      <c r="AO427">
        <f>IF($D427="","",IF(OR($T427=TRUE(),$T427="TRUE"),1,0))</f>
        <v/>
      </c>
      <c r="AP427">
        <f>IF($D427="","",IF($Z427="Yes",1,0))</f>
        <v/>
      </c>
      <c r="AQ427">
        <f>IF($AM427=1,IFERROR(IF(VALUE($D427)&lt;100000000,VALUE($D427),1000000000),IFERROR(IF(VALUE(MID($D427,2,20))&lt;100000000,VALUE(MID($D427,2,20)),1000000000),1000000000))+ROW()/100000,"")</f>
        <v/>
      </c>
    </row>
    <row r="428">
      <c r="F428" s="11" t="n"/>
      <c r="P428" s="7">
        <f>IF($D428="","",O428*X428/100)</f>
        <v/>
      </c>
      <c r="Q428" s="7" t="n"/>
      <c r="W428" s="7" t="n"/>
      <c r="X428" s="7" t="n"/>
      <c r="AA428">
        <f>IF($D428="","",IF($AP428=1,0,IF($AO428=1,Settings!$C$6,Settings!$C$7))*100)</f>
        <v/>
      </c>
      <c r="AB428" s="7">
        <f>IF($D428="","",X428*AA428/100)</f>
        <v/>
      </c>
      <c r="AC428" s="7">
        <f>IF($D428="","",X428-AB428)</f>
        <v/>
      </c>
      <c r="AD428" s="7">
        <f>IF($D428="","",AC428-P428)</f>
        <v/>
      </c>
      <c r="AH428" s="7" t="n"/>
      <c r="AK428" s="11" t="n"/>
      <c r="AM428">
        <f>IF($D428="","",IF(COUNTIF($D$2:$D428,$D428)=1,1,0))</f>
        <v/>
      </c>
      <c r="AN428">
        <f>IF($AM428=1,SUMPRODUCT(--($AQ$2:$AQ$1001&lt;$AQ428))+1,"")</f>
        <v/>
      </c>
      <c r="AO428">
        <f>IF($D428="","",IF(OR($T428=TRUE(),$T428="TRUE"),1,0))</f>
        <v/>
      </c>
      <c r="AP428">
        <f>IF($D428="","",IF($Z428="Yes",1,0))</f>
        <v/>
      </c>
      <c r="AQ428">
        <f>IF($AM428=1,IFERROR(IF(VALUE($D428)&lt;100000000,VALUE($D428),1000000000),IFERROR(IF(VALUE(MID($D428,2,20))&lt;100000000,VALUE(MID($D428,2,20)),1000000000),1000000000))+ROW()/100000,"")</f>
        <v/>
      </c>
    </row>
    <row r="429">
      <c r="F429" s="11" t="n"/>
      <c r="P429" s="7">
        <f>IF($D429="","",O429*X429/100)</f>
        <v/>
      </c>
      <c r="Q429" s="7" t="n"/>
      <c r="W429" s="7" t="n"/>
      <c r="X429" s="7" t="n"/>
      <c r="AA429">
        <f>IF($D429="","",IF($AP429=1,0,IF($AO429=1,Settings!$C$6,Settings!$C$7))*100)</f>
        <v/>
      </c>
      <c r="AB429" s="7">
        <f>IF($D429="","",X429*AA429/100)</f>
        <v/>
      </c>
      <c r="AC429" s="7">
        <f>IF($D429="","",X429-AB429)</f>
        <v/>
      </c>
      <c r="AD429" s="7">
        <f>IF($D429="","",AC429-P429)</f>
        <v/>
      </c>
      <c r="AH429" s="7" t="n"/>
      <c r="AK429" s="11" t="n"/>
      <c r="AM429">
        <f>IF($D429="","",IF(COUNTIF($D$2:$D429,$D429)=1,1,0))</f>
        <v/>
      </c>
      <c r="AN429">
        <f>IF($AM429=1,SUMPRODUCT(--($AQ$2:$AQ$1001&lt;$AQ429))+1,"")</f>
        <v/>
      </c>
      <c r="AO429">
        <f>IF($D429="","",IF(OR($T429=TRUE(),$T429="TRUE"),1,0))</f>
        <v/>
      </c>
      <c r="AP429">
        <f>IF($D429="","",IF($Z429="Yes",1,0))</f>
        <v/>
      </c>
      <c r="AQ429">
        <f>IF($AM429=1,IFERROR(IF(VALUE($D429)&lt;100000000,VALUE($D429),1000000000),IFERROR(IF(VALUE(MID($D429,2,20))&lt;100000000,VALUE(MID($D429,2,20)),1000000000),1000000000))+ROW()/100000,"")</f>
        <v/>
      </c>
    </row>
    <row r="430">
      <c r="F430" s="11" t="n"/>
      <c r="P430" s="7">
        <f>IF($D430="","",O430*X430/100)</f>
        <v/>
      </c>
      <c r="Q430" s="7" t="n"/>
      <c r="W430" s="7" t="n"/>
      <c r="X430" s="7" t="n"/>
      <c r="AA430">
        <f>IF($D430="","",IF($AP430=1,0,IF($AO430=1,Settings!$C$6,Settings!$C$7))*100)</f>
        <v/>
      </c>
      <c r="AB430" s="7">
        <f>IF($D430="","",X430*AA430/100)</f>
        <v/>
      </c>
      <c r="AC430" s="7">
        <f>IF($D430="","",X430-AB430)</f>
        <v/>
      </c>
      <c r="AD430" s="7">
        <f>IF($D430="","",AC430-P430)</f>
        <v/>
      </c>
      <c r="AH430" s="7" t="n"/>
      <c r="AK430" s="11" t="n"/>
      <c r="AM430">
        <f>IF($D430="","",IF(COUNTIF($D$2:$D430,$D430)=1,1,0))</f>
        <v/>
      </c>
      <c r="AN430">
        <f>IF($AM430=1,SUMPRODUCT(--($AQ$2:$AQ$1001&lt;$AQ430))+1,"")</f>
        <v/>
      </c>
      <c r="AO430">
        <f>IF($D430="","",IF(OR($T430=TRUE(),$T430="TRUE"),1,0))</f>
        <v/>
      </c>
      <c r="AP430">
        <f>IF($D430="","",IF($Z430="Yes",1,0))</f>
        <v/>
      </c>
      <c r="AQ430">
        <f>IF($AM430=1,IFERROR(IF(VALUE($D430)&lt;100000000,VALUE($D430),1000000000),IFERROR(IF(VALUE(MID($D430,2,20))&lt;100000000,VALUE(MID($D430,2,20)),1000000000),1000000000))+ROW()/100000,"")</f>
        <v/>
      </c>
    </row>
    <row r="431">
      <c r="F431" s="11" t="n"/>
      <c r="P431" s="7">
        <f>IF($D431="","",O431*X431/100)</f>
        <v/>
      </c>
      <c r="Q431" s="7" t="n"/>
      <c r="W431" s="7" t="n"/>
      <c r="X431" s="7" t="n"/>
      <c r="AA431">
        <f>IF($D431="","",IF($AP431=1,0,IF($AO431=1,Settings!$C$6,Settings!$C$7))*100)</f>
        <v/>
      </c>
      <c r="AB431" s="7">
        <f>IF($D431="","",X431*AA431/100)</f>
        <v/>
      </c>
      <c r="AC431" s="7">
        <f>IF($D431="","",X431-AB431)</f>
        <v/>
      </c>
      <c r="AD431" s="7">
        <f>IF($D431="","",AC431-P431)</f>
        <v/>
      </c>
      <c r="AH431" s="7" t="n"/>
      <c r="AK431" s="11" t="n"/>
      <c r="AM431">
        <f>IF($D431="","",IF(COUNTIF($D$2:$D431,$D431)=1,1,0))</f>
        <v/>
      </c>
      <c r="AN431">
        <f>IF($AM431=1,SUMPRODUCT(--($AQ$2:$AQ$1001&lt;$AQ431))+1,"")</f>
        <v/>
      </c>
      <c r="AO431">
        <f>IF($D431="","",IF(OR($T431=TRUE(),$T431="TRUE"),1,0))</f>
        <v/>
      </c>
      <c r="AP431">
        <f>IF($D431="","",IF($Z431="Yes",1,0))</f>
        <v/>
      </c>
      <c r="AQ431">
        <f>IF($AM431=1,IFERROR(IF(VALUE($D431)&lt;100000000,VALUE($D431),1000000000),IFERROR(IF(VALUE(MID($D431,2,20))&lt;100000000,VALUE(MID($D431,2,20)),1000000000),1000000000))+ROW()/100000,"")</f>
        <v/>
      </c>
    </row>
    <row r="432">
      <c r="F432" s="11" t="n"/>
      <c r="P432" s="7">
        <f>IF($D432="","",O432*X432/100)</f>
        <v/>
      </c>
      <c r="Q432" s="7" t="n"/>
      <c r="W432" s="7" t="n"/>
      <c r="X432" s="7" t="n"/>
      <c r="AA432">
        <f>IF($D432="","",IF($AP432=1,0,IF($AO432=1,Settings!$C$6,Settings!$C$7))*100)</f>
        <v/>
      </c>
      <c r="AB432" s="7">
        <f>IF($D432="","",X432*AA432/100)</f>
        <v/>
      </c>
      <c r="AC432" s="7">
        <f>IF($D432="","",X432-AB432)</f>
        <v/>
      </c>
      <c r="AD432" s="7">
        <f>IF($D432="","",AC432-P432)</f>
        <v/>
      </c>
      <c r="AH432" s="7" t="n"/>
      <c r="AK432" s="11" t="n"/>
      <c r="AM432">
        <f>IF($D432="","",IF(COUNTIF($D$2:$D432,$D432)=1,1,0))</f>
        <v/>
      </c>
      <c r="AN432">
        <f>IF($AM432=1,SUMPRODUCT(--($AQ$2:$AQ$1001&lt;$AQ432))+1,"")</f>
        <v/>
      </c>
      <c r="AO432">
        <f>IF($D432="","",IF(OR($T432=TRUE(),$T432="TRUE"),1,0))</f>
        <v/>
      </c>
      <c r="AP432">
        <f>IF($D432="","",IF($Z432="Yes",1,0))</f>
        <v/>
      </c>
      <c r="AQ432">
        <f>IF($AM432=1,IFERROR(IF(VALUE($D432)&lt;100000000,VALUE($D432),1000000000),IFERROR(IF(VALUE(MID($D432,2,20))&lt;100000000,VALUE(MID($D432,2,20)),1000000000),1000000000))+ROW()/100000,"")</f>
        <v/>
      </c>
    </row>
    <row r="433">
      <c r="F433" s="11" t="n"/>
      <c r="P433" s="7">
        <f>IF($D433="","",O433*X433/100)</f>
        <v/>
      </c>
      <c r="Q433" s="7" t="n"/>
      <c r="W433" s="7" t="n"/>
      <c r="X433" s="7" t="n"/>
      <c r="AA433">
        <f>IF($D433="","",IF($AP433=1,0,IF($AO433=1,Settings!$C$6,Settings!$C$7))*100)</f>
        <v/>
      </c>
      <c r="AB433" s="7">
        <f>IF($D433="","",X433*AA433/100)</f>
        <v/>
      </c>
      <c r="AC433" s="7">
        <f>IF($D433="","",X433-AB433)</f>
        <v/>
      </c>
      <c r="AD433" s="7">
        <f>IF($D433="","",AC433-P433)</f>
        <v/>
      </c>
      <c r="AH433" s="7" t="n"/>
      <c r="AK433" s="11" t="n"/>
      <c r="AM433">
        <f>IF($D433="","",IF(COUNTIF($D$2:$D433,$D433)=1,1,0))</f>
        <v/>
      </c>
      <c r="AN433">
        <f>IF($AM433=1,SUMPRODUCT(--($AQ$2:$AQ$1001&lt;$AQ433))+1,"")</f>
        <v/>
      </c>
      <c r="AO433">
        <f>IF($D433="","",IF(OR($T433=TRUE(),$T433="TRUE"),1,0))</f>
        <v/>
      </c>
      <c r="AP433">
        <f>IF($D433="","",IF($Z433="Yes",1,0))</f>
        <v/>
      </c>
      <c r="AQ433">
        <f>IF($AM433=1,IFERROR(IF(VALUE($D433)&lt;100000000,VALUE($D433),1000000000),IFERROR(IF(VALUE(MID($D433,2,20))&lt;100000000,VALUE(MID($D433,2,20)),1000000000),1000000000))+ROW()/100000,"")</f>
        <v/>
      </c>
    </row>
    <row r="434">
      <c r="F434" s="11" t="n"/>
      <c r="P434" s="7">
        <f>IF($D434="","",O434*X434/100)</f>
        <v/>
      </c>
      <c r="Q434" s="7" t="n"/>
      <c r="W434" s="7" t="n"/>
      <c r="X434" s="7" t="n"/>
      <c r="AA434">
        <f>IF($D434="","",IF($AP434=1,0,IF($AO434=1,Settings!$C$6,Settings!$C$7))*100)</f>
        <v/>
      </c>
      <c r="AB434" s="7">
        <f>IF($D434="","",X434*AA434/100)</f>
        <v/>
      </c>
      <c r="AC434" s="7">
        <f>IF($D434="","",X434-AB434)</f>
        <v/>
      </c>
      <c r="AD434" s="7">
        <f>IF($D434="","",AC434-P434)</f>
        <v/>
      </c>
      <c r="AH434" s="7" t="n"/>
      <c r="AK434" s="11" t="n"/>
      <c r="AM434">
        <f>IF($D434="","",IF(COUNTIF($D$2:$D434,$D434)=1,1,0))</f>
        <v/>
      </c>
      <c r="AN434">
        <f>IF($AM434=1,SUMPRODUCT(--($AQ$2:$AQ$1001&lt;$AQ434))+1,"")</f>
        <v/>
      </c>
      <c r="AO434">
        <f>IF($D434="","",IF(OR($T434=TRUE(),$T434="TRUE"),1,0))</f>
        <v/>
      </c>
      <c r="AP434">
        <f>IF($D434="","",IF($Z434="Yes",1,0))</f>
        <v/>
      </c>
      <c r="AQ434">
        <f>IF($AM434=1,IFERROR(IF(VALUE($D434)&lt;100000000,VALUE($D434),1000000000),IFERROR(IF(VALUE(MID($D434,2,20))&lt;100000000,VALUE(MID($D434,2,20)),1000000000),1000000000))+ROW()/100000,"")</f>
        <v/>
      </c>
    </row>
    <row r="435">
      <c r="F435" s="11" t="n"/>
      <c r="P435" s="7">
        <f>IF($D435="","",O435*X435/100)</f>
        <v/>
      </c>
      <c r="Q435" s="7" t="n"/>
      <c r="W435" s="7" t="n"/>
      <c r="X435" s="7" t="n"/>
      <c r="AA435">
        <f>IF($D435="","",IF($AP435=1,0,IF($AO435=1,Settings!$C$6,Settings!$C$7))*100)</f>
        <v/>
      </c>
      <c r="AB435" s="7">
        <f>IF($D435="","",X435*AA435/100)</f>
        <v/>
      </c>
      <c r="AC435" s="7">
        <f>IF($D435="","",X435-AB435)</f>
        <v/>
      </c>
      <c r="AD435" s="7">
        <f>IF($D435="","",AC435-P435)</f>
        <v/>
      </c>
      <c r="AH435" s="7" t="n"/>
      <c r="AK435" s="11" t="n"/>
      <c r="AM435">
        <f>IF($D435="","",IF(COUNTIF($D$2:$D435,$D435)=1,1,0))</f>
        <v/>
      </c>
      <c r="AN435">
        <f>IF($AM435=1,SUMPRODUCT(--($AQ$2:$AQ$1001&lt;$AQ435))+1,"")</f>
        <v/>
      </c>
      <c r="AO435">
        <f>IF($D435="","",IF(OR($T435=TRUE(),$T435="TRUE"),1,0))</f>
        <v/>
      </c>
      <c r="AP435">
        <f>IF($D435="","",IF($Z435="Yes",1,0))</f>
        <v/>
      </c>
      <c r="AQ435">
        <f>IF($AM435=1,IFERROR(IF(VALUE($D435)&lt;100000000,VALUE($D435),1000000000),IFERROR(IF(VALUE(MID($D435,2,20))&lt;100000000,VALUE(MID($D435,2,20)),1000000000),1000000000))+ROW()/100000,"")</f>
        <v/>
      </c>
    </row>
    <row r="436">
      <c r="F436" s="11" t="n"/>
      <c r="P436" s="7">
        <f>IF($D436="","",O436*X436/100)</f>
        <v/>
      </c>
      <c r="Q436" s="7" t="n"/>
      <c r="W436" s="7" t="n"/>
      <c r="X436" s="7" t="n"/>
      <c r="AA436">
        <f>IF($D436="","",IF($AP436=1,0,IF($AO436=1,Settings!$C$6,Settings!$C$7))*100)</f>
        <v/>
      </c>
      <c r="AB436" s="7">
        <f>IF($D436="","",X436*AA436/100)</f>
        <v/>
      </c>
      <c r="AC436" s="7">
        <f>IF($D436="","",X436-AB436)</f>
        <v/>
      </c>
      <c r="AD436" s="7">
        <f>IF($D436="","",AC436-P436)</f>
        <v/>
      </c>
      <c r="AH436" s="7" t="n"/>
      <c r="AK436" s="11" t="n"/>
      <c r="AM436">
        <f>IF($D436="","",IF(COUNTIF($D$2:$D436,$D436)=1,1,0))</f>
        <v/>
      </c>
      <c r="AN436">
        <f>IF($AM436=1,SUMPRODUCT(--($AQ$2:$AQ$1001&lt;$AQ436))+1,"")</f>
        <v/>
      </c>
      <c r="AO436">
        <f>IF($D436="","",IF(OR($T436=TRUE(),$T436="TRUE"),1,0))</f>
        <v/>
      </c>
      <c r="AP436">
        <f>IF($D436="","",IF($Z436="Yes",1,0))</f>
        <v/>
      </c>
      <c r="AQ436">
        <f>IF($AM436=1,IFERROR(IF(VALUE($D436)&lt;100000000,VALUE($D436),1000000000),IFERROR(IF(VALUE(MID($D436,2,20))&lt;100000000,VALUE(MID($D436,2,20)),1000000000),1000000000))+ROW()/100000,"")</f>
        <v/>
      </c>
    </row>
    <row r="437">
      <c r="F437" s="11" t="n"/>
      <c r="P437" s="7">
        <f>IF($D437="","",O437*X437/100)</f>
        <v/>
      </c>
      <c r="Q437" s="7" t="n"/>
      <c r="W437" s="7" t="n"/>
      <c r="X437" s="7" t="n"/>
      <c r="AA437">
        <f>IF($D437="","",IF($AP437=1,0,IF($AO437=1,Settings!$C$6,Settings!$C$7))*100)</f>
        <v/>
      </c>
      <c r="AB437" s="7">
        <f>IF($D437="","",X437*AA437/100)</f>
        <v/>
      </c>
      <c r="AC437" s="7">
        <f>IF($D437="","",X437-AB437)</f>
        <v/>
      </c>
      <c r="AD437" s="7">
        <f>IF($D437="","",AC437-P437)</f>
        <v/>
      </c>
      <c r="AH437" s="7" t="n"/>
      <c r="AK437" s="11" t="n"/>
      <c r="AM437">
        <f>IF($D437="","",IF(COUNTIF($D$2:$D437,$D437)=1,1,0))</f>
        <v/>
      </c>
      <c r="AN437">
        <f>IF($AM437=1,SUMPRODUCT(--($AQ$2:$AQ$1001&lt;$AQ437))+1,"")</f>
        <v/>
      </c>
      <c r="AO437">
        <f>IF($D437="","",IF(OR($T437=TRUE(),$T437="TRUE"),1,0))</f>
        <v/>
      </c>
      <c r="AP437">
        <f>IF($D437="","",IF($Z437="Yes",1,0))</f>
        <v/>
      </c>
      <c r="AQ437">
        <f>IF($AM437=1,IFERROR(IF(VALUE($D437)&lt;100000000,VALUE($D437),1000000000),IFERROR(IF(VALUE(MID($D437,2,20))&lt;100000000,VALUE(MID($D437,2,20)),1000000000),1000000000))+ROW()/100000,"")</f>
        <v/>
      </c>
    </row>
    <row r="438">
      <c r="F438" s="11" t="n"/>
      <c r="P438" s="7">
        <f>IF($D438="","",O438*X438/100)</f>
        <v/>
      </c>
      <c r="Q438" s="7" t="n"/>
      <c r="W438" s="7" t="n"/>
      <c r="X438" s="7" t="n"/>
      <c r="AA438">
        <f>IF($D438="","",IF($AP438=1,0,IF($AO438=1,Settings!$C$6,Settings!$C$7))*100)</f>
        <v/>
      </c>
      <c r="AB438" s="7">
        <f>IF($D438="","",X438*AA438/100)</f>
        <v/>
      </c>
      <c r="AC438" s="7">
        <f>IF($D438="","",X438-AB438)</f>
        <v/>
      </c>
      <c r="AD438" s="7">
        <f>IF($D438="","",AC438-P438)</f>
        <v/>
      </c>
      <c r="AH438" s="7" t="n"/>
      <c r="AK438" s="11" t="n"/>
      <c r="AM438">
        <f>IF($D438="","",IF(COUNTIF($D$2:$D438,$D438)=1,1,0))</f>
        <v/>
      </c>
      <c r="AN438">
        <f>IF($AM438=1,SUMPRODUCT(--($AQ$2:$AQ$1001&lt;$AQ438))+1,"")</f>
        <v/>
      </c>
      <c r="AO438">
        <f>IF($D438="","",IF(OR($T438=TRUE(),$T438="TRUE"),1,0))</f>
        <v/>
      </c>
      <c r="AP438">
        <f>IF($D438="","",IF($Z438="Yes",1,0))</f>
        <v/>
      </c>
      <c r="AQ438">
        <f>IF($AM438=1,IFERROR(IF(VALUE($D438)&lt;100000000,VALUE($D438),1000000000),IFERROR(IF(VALUE(MID($D438,2,20))&lt;100000000,VALUE(MID($D438,2,20)),1000000000),1000000000))+ROW()/100000,"")</f>
        <v/>
      </c>
    </row>
    <row r="439">
      <c r="F439" s="11" t="n"/>
      <c r="P439" s="7">
        <f>IF($D439="","",O439*X439/100)</f>
        <v/>
      </c>
      <c r="Q439" s="7" t="n"/>
      <c r="W439" s="7" t="n"/>
      <c r="X439" s="7" t="n"/>
      <c r="AA439">
        <f>IF($D439="","",IF($AP439=1,0,IF($AO439=1,Settings!$C$6,Settings!$C$7))*100)</f>
        <v/>
      </c>
      <c r="AB439" s="7">
        <f>IF($D439="","",X439*AA439/100)</f>
        <v/>
      </c>
      <c r="AC439" s="7">
        <f>IF($D439="","",X439-AB439)</f>
        <v/>
      </c>
      <c r="AD439" s="7">
        <f>IF($D439="","",AC439-P439)</f>
        <v/>
      </c>
      <c r="AH439" s="7" t="n"/>
      <c r="AK439" s="11" t="n"/>
      <c r="AM439">
        <f>IF($D439="","",IF(COUNTIF($D$2:$D439,$D439)=1,1,0))</f>
        <v/>
      </c>
      <c r="AN439">
        <f>IF($AM439=1,SUMPRODUCT(--($AQ$2:$AQ$1001&lt;$AQ439))+1,"")</f>
        <v/>
      </c>
      <c r="AO439">
        <f>IF($D439="","",IF(OR($T439=TRUE(),$T439="TRUE"),1,0))</f>
        <v/>
      </c>
      <c r="AP439">
        <f>IF($D439="","",IF($Z439="Yes",1,0))</f>
        <v/>
      </c>
      <c r="AQ439">
        <f>IF($AM439=1,IFERROR(IF(VALUE($D439)&lt;100000000,VALUE($D439),1000000000),IFERROR(IF(VALUE(MID($D439,2,20))&lt;100000000,VALUE(MID($D439,2,20)),1000000000),1000000000))+ROW()/100000,"")</f>
        <v/>
      </c>
    </row>
    <row r="440">
      <c r="F440" s="11" t="n"/>
      <c r="P440" s="7">
        <f>IF($D440="","",O440*X440/100)</f>
        <v/>
      </c>
      <c r="Q440" s="7" t="n"/>
      <c r="W440" s="7" t="n"/>
      <c r="X440" s="7" t="n"/>
      <c r="AA440">
        <f>IF($D440="","",IF($AP440=1,0,IF($AO440=1,Settings!$C$6,Settings!$C$7))*100)</f>
        <v/>
      </c>
      <c r="AB440" s="7">
        <f>IF($D440="","",X440*AA440/100)</f>
        <v/>
      </c>
      <c r="AC440" s="7">
        <f>IF($D440="","",X440-AB440)</f>
        <v/>
      </c>
      <c r="AD440" s="7">
        <f>IF($D440="","",AC440-P440)</f>
        <v/>
      </c>
      <c r="AH440" s="7" t="n"/>
      <c r="AK440" s="11" t="n"/>
      <c r="AM440">
        <f>IF($D440="","",IF(COUNTIF($D$2:$D440,$D440)=1,1,0))</f>
        <v/>
      </c>
      <c r="AN440">
        <f>IF($AM440=1,SUMPRODUCT(--($AQ$2:$AQ$1001&lt;$AQ440))+1,"")</f>
        <v/>
      </c>
      <c r="AO440">
        <f>IF($D440="","",IF(OR($T440=TRUE(),$T440="TRUE"),1,0))</f>
        <v/>
      </c>
      <c r="AP440">
        <f>IF($D440="","",IF($Z440="Yes",1,0))</f>
        <v/>
      </c>
      <c r="AQ440">
        <f>IF($AM440=1,IFERROR(IF(VALUE($D440)&lt;100000000,VALUE($D440),1000000000),IFERROR(IF(VALUE(MID($D440,2,20))&lt;100000000,VALUE(MID($D440,2,20)),1000000000),1000000000))+ROW()/100000,"")</f>
        <v/>
      </c>
    </row>
    <row r="441">
      <c r="F441" s="11" t="n"/>
      <c r="P441" s="7">
        <f>IF($D441="","",O441*X441/100)</f>
        <v/>
      </c>
      <c r="Q441" s="7" t="n"/>
      <c r="W441" s="7" t="n"/>
      <c r="X441" s="7" t="n"/>
      <c r="AA441">
        <f>IF($D441="","",IF($AP441=1,0,IF($AO441=1,Settings!$C$6,Settings!$C$7))*100)</f>
        <v/>
      </c>
      <c r="AB441" s="7">
        <f>IF($D441="","",X441*AA441/100)</f>
        <v/>
      </c>
      <c r="AC441" s="7">
        <f>IF($D441="","",X441-AB441)</f>
        <v/>
      </c>
      <c r="AD441" s="7">
        <f>IF($D441="","",AC441-P441)</f>
        <v/>
      </c>
      <c r="AH441" s="7" t="n"/>
      <c r="AK441" s="11" t="n"/>
      <c r="AM441">
        <f>IF($D441="","",IF(COUNTIF($D$2:$D441,$D441)=1,1,0))</f>
        <v/>
      </c>
      <c r="AN441">
        <f>IF($AM441=1,SUMPRODUCT(--($AQ$2:$AQ$1001&lt;$AQ441))+1,"")</f>
        <v/>
      </c>
      <c r="AO441">
        <f>IF($D441="","",IF(OR($T441=TRUE(),$T441="TRUE"),1,0))</f>
        <v/>
      </c>
      <c r="AP441">
        <f>IF($D441="","",IF($Z441="Yes",1,0))</f>
        <v/>
      </c>
      <c r="AQ441">
        <f>IF($AM441=1,IFERROR(IF(VALUE($D441)&lt;100000000,VALUE($D441),1000000000),IFERROR(IF(VALUE(MID($D441,2,20))&lt;100000000,VALUE(MID($D441,2,20)),1000000000),1000000000))+ROW()/100000,"")</f>
        <v/>
      </c>
    </row>
    <row r="442">
      <c r="F442" s="11" t="n"/>
      <c r="P442" s="7">
        <f>IF($D442="","",O442*X442/100)</f>
        <v/>
      </c>
      <c r="Q442" s="7" t="n"/>
      <c r="W442" s="7" t="n"/>
      <c r="X442" s="7" t="n"/>
      <c r="AA442">
        <f>IF($D442="","",IF($AP442=1,0,IF($AO442=1,Settings!$C$6,Settings!$C$7))*100)</f>
        <v/>
      </c>
      <c r="AB442" s="7">
        <f>IF($D442="","",X442*AA442/100)</f>
        <v/>
      </c>
      <c r="AC442" s="7">
        <f>IF($D442="","",X442-AB442)</f>
        <v/>
      </c>
      <c r="AD442" s="7">
        <f>IF($D442="","",AC442-P442)</f>
        <v/>
      </c>
      <c r="AH442" s="7" t="n"/>
      <c r="AK442" s="11" t="n"/>
      <c r="AM442">
        <f>IF($D442="","",IF(COUNTIF($D$2:$D442,$D442)=1,1,0))</f>
        <v/>
      </c>
      <c r="AN442">
        <f>IF($AM442=1,SUMPRODUCT(--($AQ$2:$AQ$1001&lt;$AQ442))+1,"")</f>
        <v/>
      </c>
      <c r="AO442">
        <f>IF($D442="","",IF(OR($T442=TRUE(),$T442="TRUE"),1,0))</f>
        <v/>
      </c>
      <c r="AP442">
        <f>IF($D442="","",IF($Z442="Yes",1,0))</f>
        <v/>
      </c>
      <c r="AQ442">
        <f>IF($AM442=1,IFERROR(IF(VALUE($D442)&lt;100000000,VALUE($D442),1000000000),IFERROR(IF(VALUE(MID($D442,2,20))&lt;100000000,VALUE(MID($D442,2,20)),1000000000),1000000000))+ROW()/100000,"")</f>
        <v/>
      </c>
    </row>
    <row r="443">
      <c r="F443" s="11" t="n"/>
      <c r="P443" s="7">
        <f>IF($D443="","",O443*X443/100)</f>
        <v/>
      </c>
      <c r="Q443" s="7" t="n"/>
      <c r="W443" s="7" t="n"/>
      <c r="X443" s="7" t="n"/>
      <c r="AA443">
        <f>IF($D443="","",IF($AP443=1,0,IF($AO443=1,Settings!$C$6,Settings!$C$7))*100)</f>
        <v/>
      </c>
      <c r="AB443" s="7">
        <f>IF($D443="","",X443*AA443/100)</f>
        <v/>
      </c>
      <c r="AC443" s="7">
        <f>IF($D443="","",X443-AB443)</f>
        <v/>
      </c>
      <c r="AD443" s="7">
        <f>IF($D443="","",AC443-P443)</f>
        <v/>
      </c>
      <c r="AH443" s="7" t="n"/>
      <c r="AK443" s="11" t="n"/>
      <c r="AM443">
        <f>IF($D443="","",IF(COUNTIF($D$2:$D443,$D443)=1,1,0))</f>
        <v/>
      </c>
      <c r="AN443">
        <f>IF($AM443=1,SUMPRODUCT(--($AQ$2:$AQ$1001&lt;$AQ443))+1,"")</f>
        <v/>
      </c>
      <c r="AO443">
        <f>IF($D443="","",IF(OR($T443=TRUE(),$T443="TRUE"),1,0))</f>
        <v/>
      </c>
      <c r="AP443">
        <f>IF($D443="","",IF($Z443="Yes",1,0))</f>
        <v/>
      </c>
      <c r="AQ443">
        <f>IF($AM443=1,IFERROR(IF(VALUE($D443)&lt;100000000,VALUE($D443),1000000000),IFERROR(IF(VALUE(MID($D443,2,20))&lt;100000000,VALUE(MID($D443,2,20)),1000000000),1000000000))+ROW()/100000,"")</f>
        <v/>
      </c>
    </row>
    <row r="444">
      <c r="F444" s="11" t="n"/>
      <c r="P444" s="7">
        <f>IF($D444="","",O444*X444/100)</f>
        <v/>
      </c>
      <c r="Q444" s="7" t="n"/>
      <c r="W444" s="7" t="n"/>
      <c r="X444" s="7" t="n"/>
      <c r="AA444">
        <f>IF($D444="","",IF($AP444=1,0,IF($AO444=1,Settings!$C$6,Settings!$C$7))*100)</f>
        <v/>
      </c>
      <c r="AB444" s="7">
        <f>IF($D444="","",X444*AA444/100)</f>
        <v/>
      </c>
      <c r="AC444" s="7">
        <f>IF($D444="","",X444-AB444)</f>
        <v/>
      </c>
      <c r="AD444" s="7">
        <f>IF($D444="","",AC444-P444)</f>
        <v/>
      </c>
      <c r="AH444" s="7" t="n"/>
      <c r="AK444" s="11" t="n"/>
      <c r="AM444">
        <f>IF($D444="","",IF(COUNTIF($D$2:$D444,$D444)=1,1,0))</f>
        <v/>
      </c>
      <c r="AN444">
        <f>IF($AM444=1,SUMPRODUCT(--($AQ$2:$AQ$1001&lt;$AQ444))+1,"")</f>
        <v/>
      </c>
      <c r="AO444">
        <f>IF($D444="","",IF(OR($T444=TRUE(),$T444="TRUE"),1,0))</f>
        <v/>
      </c>
      <c r="AP444">
        <f>IF($D444="","",IF($Z444="Yes",1,0))</f>
        <v/>
      </c>
      <c r="AQ444">
        <f>IF($AM444=1,IFERROR(IF(VALUE($D444)&lt;100000000,VALUE($D444),1000000000),IFERROR(IF(VALUE(MID($D444,2,20))&lt;100000000,VALUE(MID($D444,2,20)),1000000000),1000000000))+ROW()/100000,"")</f>
        <v/>
      </c>
    </row>
    <row r="445">
      <c r="F445" s="11" t="n"/>
      <c r="P445" s="7">
        <f>IF($D445="","",O445*X445/100)</f>
        <v/>
      </c>
      <c r="Q445" s="7" t="n"/>
      <c r="W445" s="7" t="n"/>
      <c r="X445" s="7" t="n"/>
      <c r="AA445">
        <f>IF($D445="","",IF($AP445=1,0,IF($AO445=1,Settings!$C$6,Settings!$C$7))*100)</f>
        <v/>
      </c>
      <c r="AB445" s="7">
        <f>IF($D445="","",X445*AA445/100)</f>
        <v/>
      </c>
      <c r="AC445" s="7">
        <f>IF($D445="","",X445-AB445)</f>
        <v/>
      </c>
      <c r="AD445" s="7">
        <f>IF($D445="","",AC445-P445)</f>
        <v/>
      </c>
      <c r="AH445" s="7" t="n"/>
      <c r="AK445" s="11" t="n"/>
      <c r="AM445">
        <f>IF($D445="","",IF(COUNTIF($D$2:$D445,$D445)=1,1,0))</f>
        <v/>
      </c>
      <c r="AN445">
        <f>IF($AM445=1,SUMPRODUCT(--($AQ$2:$AQ$1001&lt;$AQ445))+1,"")</f>
        <v/>
      </c>
      <c r="AO445">
        <f>IF($D445="","",IF(OR($T445=TRUE(),$T445="TRUE"),1,0))</f>
        <v/>
      </c>
      <c r="AP445">
        <f>IF($D445="","",IF($Z445="Yes",1,0))</f>
        <v/>
      </c>
      <c r="AQ445">
        <f>IF($AM445=1,IFERROR(IF(VALUE($D445)&lt;100000000,VALUE($D445),1000000000),IFERROR(IF(VALUE(MID($D445,2,20))&lt;100000000,VALUE(MID($D445,2,20)),1000000000),1000000000))+ROW()/100000,"")</f>
        <v/>
      </c>
    </row>
    <row r="446">
      <c r="F446" s="11" t="n"/>
      <c r="P446" s="7">
        <f>IF($D446="","",O446*X446/100)</f>
        <v/>
      </c>
      <c r="Q446" s="7" t="n"/>
      <c r="W446" s="7" t="n"/>
      <c r="X446" s="7" t="n"/>
      <c r="AA446">
        <f>IF($D446="","",IF($AP446=1,0,IF($AO446=1,Settings!$C$6,Settings!$C$7))*100)</f>
        <v/>
      </c>
      <c r="AB446" s="7">
        <f>IF($D446="","",X446*AA446/100)</f>
        <v/>
      </c>
      <c r="AC446" s="7">
        <f>IF($D446="","",X446-AB446)</f>
        <v/>
      </c>
      <c r="AD446" s="7">
        <f>IF($D446="","",AC446-P446)</f>
        <v/>
      </c>
      <c r="AH446" s="7" t="n"/>
      <c r="AK446" s="11" t="n"/>
      <c r="AM446">
        <f>IF($D446="","",IF(COUNTIF($D$2:$D446,$D446)=1,1,0))</f>
        <v/>
      </c>
      <c r="AN446">
        <f>IF($AM446=1,SUMPRODUCT(--($AQ$2:$AQ$1001&lt;$AQ446))+1,"")</f>
        <v/>
      </c>
      <c r="AO446">
        <f>IF($D446="","",IF(OR($T446=TRUE(),$T446="TRUE"),1,0))</f>
        <v/>
      </c>
      <c r="AP446">
        <f>IF($D446="","",IF($Z446="Yes",1,0))</f>
        <v/>
      </c>
      <c r="AQ446">
        <f>IF($AM446=1,IFERROR(IF(VALUE($D446)&lt;100000000,VALUE($D446),1000000000),IFERROR(IF(VALUE(MID($D446,2,20))&lt;100000000,VALUE(MID($D446,2,20)),1000000000),1000000000))+ROW()/100000,"")</f>
        <v/>
      </c>
    </row>
    <row r="447">
      <c r="F447" s="11" t="n"/>
      <c r="P447" s="7">
        <f>IF($D447="","",O447*X447/100)</f>
        <v/>
      </c>
      <c r="Q447" s="7" t="n"/>
      <c r="W447" s="7" t="n"/>
      <c r="X447" s="7" t="n"/>
      <c r="AA447">
        <f>IF($D447="","",IF($AP447=1,0,IF($AO447=1,Settings!$C$6,Settings!$C$7))*100)</f>
        <v/>
      </c>
      <c r="AB447" s="7">
        <f>IF($D447="","",X447*AA447/100)</f>
        <v/>
      </c>
      <c r="AC447" s="7">
        <f>IF($D447="","",X447-AB447)</f>
        <v/>
      </c>
      <c r="AD447" s="7">
        <f>IF($D447="","",AC447-P447)</f>
        <v/>
      </c>
      <c r="AH447" s="7" t="n"/>
      <c r="AK447" s="11" t="n"/>
      <c r="AM447">
        <f>IF($D447="","",IF(COUNTIF($D$2:$D447,$D447)=1,1,0))</f>
        <v/>
      </c>
      <c r="AN447">
        <f>IF($AM447=1,SUMPRODUCT(--($AQ$2:$AQ$1001&lt;$AQ447))+1,"")</f>
        <v/>
      </c>
      <c r="AO447">
        <f>IF($D447="","",IF(OR($T447=TRUE(),$T447="TRUE"),1,0))</f>
        <v/>
      </c>
      <c r="AP447">
        <f>IF($D447="","",IF($Z447="Yes",1,0))</f>
        <v/>
      </c>
      <c r="AQ447">
        <f>IF($AM447=1,IFERROR(IF(VALUE($D447)&lt;100000000,VALUE($D447),1000000000),IFERROR(IF(VALUE(MID($D447,2,20))&lt;100000000,VALUE(MID($D447,2,20)),1000000000),1000000000))+ROW()/100000,"")</f>
        <v/>
      </c>
    </row>
    <row r="448">
      <c r="F448" s="11" t="n"/>
      <c r="P448" s="7">
        <f>IF($D448="","",O448*X448/100)</f>
        <v/>
      </c>
      <c r="Q448" s="7" t="n"/>
      <c r="W448" s="7" t="n"/>
      <c r="X448" s="7" t="n"/>
      <c r="AA448">
        <f>IF($D448="","",IF($AP448=1,0,IF($AO448=1,Settings!$C$6,Settings!$C$7))*100)</f>
        <v/>
      </c>
      <c r="AB448" s="7">
        <f>IF($D448="","",X448*AA448/100)</f>
        <v/>
      </c>
      <c r="AC448" s="7">
        <f>IF($D448="","",X448-AB448)</f>
        <v/>
      </c>
      <c r="AD448" s="7">
        <f>IF($D448="","",AC448-P448)</f>
        <v/>
      </c>
      <c r="AH448" s="7" t="n"/>
      <c r="AK448" s="11" t="n"/>
      <c r="AM448">
        <f>IF($D448="","",IF(COUNTIF($D$2:$D448,$D448)=1,1,0))</f>
        <v/>
      </c>
      <c r="AN448">
        <f>IF($AM448=1,SUMPRODUCT(--($AQ$2:$AQ$1001&lt;$AQ448))+1,"")</f>
        <v/>
      </c>
      <c r="AO448">
        <f>IF($D448="","",IF(OR($T448=TRUE(),$T448="TRUE"),1,0))</f>
        <v/>
      </c>
      <c r="AP448">
        <f>IF($D448="","",IF($Z448="Yes",1,0))</f>
        <v/>
      </c>
      <c r="AQ448">
        <f>IF($AM448=1,IFERROR(IF(VALUE($D448)&lt;100000000,VALUE($D448),1000000000),IFERROR(IF(VALUE(MID($D448,2,20))&lt;100000000,VALUE(MID($D448,2,20)),1000000000),1000000000))+ROW()/100000,"")</f>
        <v/>
      </c>
    </row>
    <row r="449">
      <c r="F449" s="11" t="n"/>
      <c r="P449" s="7">
        <f>IF($D449="","",O449*X449/100)</f>
        <v/>
      </c>
      <c r="Q449" s="7" t="n"/>
      <c r="W449" s="7" t="n"/>
      <c r="X449" s="7" t="n"/>
      <c r="AA449">
        <f>IF($D449="","",IF($AP449=1,0,IF($AO449=1,Settings!$C$6,Settings!$C$7))*100)</f>
        <v/>
      </c>
      <c r="AB449" s="7">
        <f>IF($D449="","",X449*AA449/100)</f>
        <v/>
      </c>
      <c r="AC449" s="7">
        <f>IF($D449="","",X449-AB449)</f>
        <v/>
      </c>
      <c r="AD449" s="7">
        <f>IF($D449="","",AC449-P449)</f>
        <v/>
      </c>
      <c r="AH449" s="7" t="n"/>
      <c r="AK449" s="11" t="n"/>
      <c r="AM449">
        <f>IF($D449="","",IF(COUNTIF($D$2:$D449,$D449)=1,1,0))</f>
        <v/>
      </c>
      <c r="AN449">
        <f>IF($AM449=1,SUMPRODUCT(--($AQ$2:$AQ$1001&lt;$AQ449))+1,"")</f>
        <v/>
      </c>
      <c r="AO449">
        <f>IF($D449="","",IF(OR($T449=TRUE(),$T449="TRUE"),1,0))</f>
        <v/>
      </c>
      <c r="AP449">
        <f>IF($D449="","",IF($Z449="Yes",1,0))</f>
        <v/>
      </c>
      <c r="AQ449">
        <f>IF($AM449=1,IFERROR(IF(VALUE($D449)&lt;100000000,VALUE($D449),1000000000),IFERROR(IF(VALUE(MID($D449,2,20))&lt;100000000,VALUE(MID($D449,2,20)),1000000000),1000000000))+ROW()/100000,"")</f>
        <v/>
      </c>
    </row>
    <row r="450">
      <c r="F450" s="11" t="n"/>
      <c r="P450" s="7">
        <f>IF($D450="","",O450*X450/100)</f>
        <v/>
      </c>
      <c r="Q450" s="7" t="n"/>
      <c r="W450" s="7" t="n"/>
      <c r="X450" s="7" t="n"/>
      <c r="AA450">
        <f>IF($D450="","",IF($AP450=1,0,IF($AO450=1,Settings!$C$6,Settings!$C$7))*100)</f>
        <v/>
      </c>
      <c r="AB450" s="7">
        <f>IF($D450="","",X450*AA450/100)</f>
        <v/>
      </c>
      <c r="AC450" s="7">
        <f>IF($D450="","",X450-AB450)</f>
        <v/>
      </c>
      <c r="AD450" s="7">
        <f>IF($D450="","",AC450-P450)</f>
        <v/>
      </c>
      <c r="AH450" s="7" t="n"/>
      <c r="AK450" s="11" t="n"/>
      <c r="AM450">
        <f>IF($D450="","",IF(COUNTIF($D$2:$D450,$D450)=1,1,0))</f>
        <v/>
      </c>
      <c r="AN450">
        <f>IF($AM450=1,SUMPRODUCT(--($AQ$2:$AQ$1001&lt;$AQ450))+1,"")</f>
        <v/>
      </c>
      <c r="AO450">
        <f>IF($D450="","",IF(OR($T450=TRUE(),$T450="TRUE"),1,0))</f>
        <v/>
      </c>
      <c r="AP450">
        <f>IF($D450="","",IF($Z450="Yes",1,0))</f>
        <v/>
      </c>
      <c r="AQ450">
        <f>IF($AM450=1,IFERROR(IF(VALUE($D450)&lt;100000000,VALUE($D450),1000000000),IFERROR(IF(VALUE(MID($D450,2,20))&lt;100000000,VALUE(MID($D450,2,20)),1000000000),1000000000))+ROW()/100000,"")</f>
        <v/>
      </c>
    </row>
    <row r="451">
      <c r="F451" s="11" t="n"/>
      <c r="P451" s="7">
        <f>IF($D451="","",O451*X451/100)</f>
        <v/>
      </c>
      <c r="Q451" s="7" t="n"/>
      <c r="W451" s="7" t="n"/>
      <c r="X451" s="7" t="n"/>
      <c r="AA451">
        <f>IF($D451="","",IF($AP451=1,0,IF($AO451=1,Settings!$C$6,Settings!$C$7))*100)</f>
        <v/>
      </c>
      <c r="AB451" s="7">
        <f>IF($D451="","",X451*AA451/100)</f>
        <v/>
      </c>
      <c r="AC451" s="7">
        <f>IF($D451="","",X451-AB451)</f>
        <v/>
      </c>
      <c r="AD451" s="7">
        <f>IF($D451="","",AC451-P451)</f>
        <v/>
      </c>
      <c r="AH451" s="7" t="n"/>
      <c r="AK451" s="11" t="n"/>
      <c r="AM451">
        <f>IF($D451="","",IF(COUNTIF($D$2:$D451,$D451)=1,1,0))</f>
        <v/>
      </c>
      <c r="AN451">
        <f>IF($AM451=1,SUMPRODUCT(--($AQ$2:$AQ$1001&lt;$AQ451))+1,"")</f>
        <v/>
      </c>
      <c r="AO451">
        <f>IF($D451="","",IF(OR($T451=TRUE(),$T451="TRUE"),1,0))</f>
        <v/>
      </c>
      <c r="AP451">
        <f>IF($D451="","",IF($Z451="Yes",1,0))</f>
        <v/>
      </c>
      <c r="AQ451">
        <f>IF($AM451=1,IFERROR(IF(VALUE($D451)&lt;100000000,VALUE($D451),1000000000),IFERROR(IF(VALUE(MID($D451,2,20))&lt;100000000,VALUE(MID($D451,2,20)),1000000000),1000000000))+ROW()/100000,"")</f>
        <v/>
      </c>
    </row>
    <row r="452">
      <c r="F452" s="11" t="n"/>
      <c r="P452" s="7">
        <f>IF($D452="","",O452*X452/100)</f>
        <v/>
      </c>
      <c r="Q452" s="7" t="n"/>
      <c r="W452" s="7" t="n"/>
      <c r="X452" s="7" t="n"/>
      <c r="AA452">
        <f>IF($D452="","",IF($AP452=1,0,IF($AO452=1,Settings!$C$6,Settings!$C$7))*100)</f>
        <v/>
      </c>
      <c r="AB452" s="7">
        <f>IF($D452="","",X452*AA452/100)</f>
        <v/>
      </c>
      <c r="AC452" s="7">
        <f>IF($D452="","",X452-AB452)</f>
        <v/>
      </c>
      <c r="AD452" s="7">
        <f>IF($D452="","",AC452-P452)</f>
        <v/>
      </c>
      <c r="AH452" s="7" t="n"/>
      <c r="AK452" s="11" t="n"/>
      <c r="AM452">
        <f>IF($D452="","",IF(COUNTIF($D$2:$D452,$D452)=1,1,0))</f>
        <v/>
      </c>
      <c r="AN452">
        <f>IF($AM452=1,SUMPRODUCT(--($AQ$2:$AQ$1001&lt;$AQ452))+1,"")</f>
        <v/>
      </c>
      <c r="AO452">
        <f>IF($D452="","",IF(OR($T452=TRUE(),$T452="TRUE"),1,0))</f>
        <v/>
      </c>
      <c r="AP452">
        <f>IF($D452="","",IF($Z452="Yes",1,0))</f>
        <v/>
      </c>
      <c r="AQ452">
        <f>IF($AM452=1,IFERROR(IF(VALUE($D452)&lt;100000000,VALUE($D452),1000000000),IFERROR(IF(VALUE(MID($D452,2,20))&lt;100000000,VALUE(MID($D452,2,20)),1000000000),1000000000))+ROW()/100000,"")</f>
        <v/>
      </c>
    </row>
    <row r="453">
      <c r="F453" s="11" t="n"/>
      <c r="P453" s="7">
        <f>IF($D453="","",O453*X453/100)</f>
        <v/>
      </c>
      <c r="Q453" s="7" t="n"/>
      <c r="W453" s="7" t="n"/>
      <c r="X453" s="7" t="n"/>
      <c r="AA453">
        <f>IF($D453="","",IF($AP453=1,0,IF($AO453=1,Settings!$C$6,Settings!$C$7))*100)</f>
        <v/>
      </c>
      <c r="AB453" s="7">
        <f>IF($D453="","",X453*AA453/100)</f>
        <v/>
      </c>
      <c r="AC453" s="7">
        <f>IF($D453="","",X453-AB453)</f>
        <v/>
      </c>
      <c r="AD453" s="7">
        <f>IF($D453="","",AC453-P453)</f>
        <v/>
      </c>
      <c r="AH453" s="7" t="n"/>
      <c r="AK453" s="11" t="n"/>
      <c r="AM453">
        <f>IF($D453="","",IF(COUNTIF($D$2:$D453,$D453)=1,1,0))</f>
        <v/>
      </c>
      <c r="AN453">
        <f>IF($AM453=1,SUMPRODUCT(--($AQ$2:$AQ$1001&lt;$AQ453))+1,"")</f>
        <v/>
      </c>
      <c r="AO453">
        <f>IF($D453="","",IF(OR($T453=TRUE(),$T453="TRUE"),1,0))</f>
        <v/>
      </c>
      <c r="AP453">
        <f>IF($D453="","",IF($Z453="Yes",1,0))</f>
        <v/>
      </c>
      <c r="AQ453">
        <f>IF($AM453=1,IFERROR(IF(VALUE($D453)&lt;100000000,VALUE($D453),1000000000),IFERROR(IF(VALUE(MID($D453,2,20))&lt;100000000,VALUE(MID($D453,2,20)),1000000000),1000000000))+ROW()/100000,"")</f>
        <v/>
      </c>
    </row>
    <row r="454">
      <c r="F454" s="11" t="n"/>
      <c r="P454" s="7">
        <f>IF($D454="","",O454*X454/100)</f>
        <v/>
      </c>
      <c r="Q454" s="7" t="n"/>
      <c r="W454" s="7" t="n"/>
      <c r="X454" s="7" t="n"/>
      <c r="AA454">
        <f>IF($D454="","",IF($AP454=1,0,IF($AO454=1,Settings!$C$6,Settings!$C$7))*100)</f>
        <v/>
      </c>
      <c r="AB454" s="7">
        <f>IF($D454="","",X454*AA454/100)</f>
        <v/>
      </c>
      <c r="AC454" s="7">
        <f>IF($D454="","",X454-AB454)</f>
        <v/>
      </c>
      <c r="AD454" s="7">
        <f>IF($D454="","",AC454-P454)</f>
        <v/>
      </c>
      <c r="AH454" s="7" t="n"/>
      <c r="AK454" s="11" t="n"/>
      <c r="AM454">
        <f>IF($D454="","",IF(COUNTIF($D$2:$D454,$D454)=1,1,0))</f>
        <v/>
      </c>
      <c r="AN454">
        <f>IF($AM454=1,SUMPRODUCT(--($AQ$2:$AQ$1001&lt;$AQ454))+1,"")</f>
        <v/>
      </c>
      <c r="AO454">
        <f>IF($D454="","",IF(OR($T454=TRUE(),$T454="TRUE"),1,0))</f>
        <v/>
      </c>
      <c r="AP454">
        <f>IF($D454="","",IF($Z454="Yes",1,0))</f>
        <v/>
      </c>
      <c r="AQ454">
        <f>IF($AM454=1,IFERROR(IF(VALUE($D454)&lt;100000000,VALUE($D454),1000000000),IFERROR(IF(VALUE(MID($D454,2,20))&lt;100000000,VALUE(MID($D454,2,20)),1000000000),1000000000))+ROW()/100000,"")</f>
        <v/>
      </c>
    </row>
    <row r="455">
      <c r="F455" s="11" t="n"/>
      <c r="P455" s="7">
        <f>IF($D455="","",O455*X455/100)</f>
        <v/>
      </c>
      <c r="Q455" s="7" t="n"/>
      <c r="W455" s="7" t="n"/>
      <c r="X455" s="7" t="n"/>
      <c r="AA455">
        <f>IF($D455="","",IF($AP455=1,0,IF($AO455=1,Settings!$C$6,Settings!$C$7))*100)</f>
        <v/>
      </c>
      <c r="AB455" s="7">
        <f>IF($D455="","",X455*AA455/100)</f>
        <v/>
      </c>
      <c r="AC455" s="7">
        <f>IF($D455="","",X455-AB455)</f>
        <v/>
      </c>
      <c r="AD455" s="7">
        <f>IF($D455="","",AC455-P455)</f>
        <v/>
      </c>
      <c r="AH455" s="7" t="n"/>
      <c r="AK455" s="11" t="n"/>
      <c r="AM455">
        <f>IF($D455="","",IF(COUNTIF($D$2:$D455,$D455)=1,1,0))</f>
        <v/>
      </c>
      <c r="AN455">
        <f>IF($AM455=1,SUMPRODUCT(--($AQ$2:$AQ$1001&lt;$AQ455))+1,"")</f>
        <v/>
      </c>
      <c r="AO455">
        <f>IF($D455="","",IF(OR($T455=TRUE(),$T455="TRUE"),1,0))</f>
        <v/>
      </c>
      <c r="AP455">
        <f>IF($D455="","",IF($Z455="Yes",1,0))</f>
        <v/>
      </c>
      <c r="AQ455">
        <f>IF($AM455=1,IFERROR(IF(VALUE($D455)&lt;100000000,VALUE($D455),1000000000),IFERROR(IF(VALUE(MID($D455,2,20))&lt;100000000,VALUE(MID($D455,2,20)),1000000000),1000000000))+ROW()/100000,"")</f>
        <v/>
      </c>
    </row>
    <row r="456">
      <c r="F456" s="11" t="n"/>
      <c r="P456" s="7">
        <f>IF($D456="","",O456*X456/100)</f>
        <v/>
      </c>
      <c r="Q456" s="7" t="n"/>
      <c r="W456" s="7" t="n"/>
      <c r="X456" s="7" t="n"/>
      <c r="AA456">
        <f>IF($D456="","",IF($AP456=1,0,IF($AO456=1,Settings!$C$6,Settings!$C$7))*100)</f>
        <v/>
      </c>
      <c r="AB456" s="7">
        <f>IF($D456="","",X456*AA456/100)</f>
        <v/>
      </c>
      <c r="AC456" s="7">
        <f>IF($D456="","",X456-AB456)</f>
        <v/>
      </c>
      <c r="AD456" s="7">
        <f>IF($D456="","",AC456-P456)</f>
        <v/>
      </c>
      <c r="AH456" s="7" t="n"/>
      <c r="AK456" s="11" t="n"/>
      <c r="AM456">
        <f>IF($D456="","",IF(COUNTIF($D$2:$D456,$D456)=1,1,0))</f>
        <v/>
      </c>
      <c r="AN456">
        <f>IF($AM456=1,SUMPRODUCT(--($AQ$2:$AQ$1001&lt;$AQ456))+1,"")</f>
        <v/>
      </c>
      <c r="AO456">
        <f>IF($D456="","",IF(OR($T456=TRUE(),$T456="TRUE"),1,0))</f>
        <v/>
      </c>
      <c r="AP456">
        <f>IF($D456="","",IF($Z456="Yes",1,0))</f>
        <v/>
      </c>
      <c r="AQ456">
        <f>IF($AM456=1,IFERROR(IF(VALUE($D456)&lt;100000000,VALUE($D456),1000000000),IFERROR(IF(VALUE(MID($D456,2,20))&lt;100000000,VALUE(MID($D456,2,20)),1000000000),1000000000))+ROW()/100000,"")</f>
        <v/>
      </c>
    </row>
    <row r="457">
      <c r="F457" s="11" t="n"/>
      <c r="P457" s="7">
        <f>IF($D457="","",O457*X457/100)</f>
        <v/>
      </c>
      <c r="Q457" s="7" t="n"/>
      <c r="W457" s="7" t="n"/>
      <c r="X457" s="7" t="n"/>
      <c r="AA457">
        <f>IF($D457="","",IF($AP457=1,0,IF($AO457=1,Settings!$C$6,Settings!$C$7))*100)</f>
        <v/>
      </c>
      <c r="AB457" s="7">
        <f>IF($D457="","",X457*AA457/100)</f>
        <v/>
      </c>
      <c r="AC457" s="7">
        <f>IF($D457="","",X457-AB457)</f>
        <v/>
      </c>
      <c r="AD457" s="7">
        <f>IF($D457="","",AC457-P457)</f>
        <v/>
      </c>
      <c r="AH457" s="7" t="n"/>
      <c r="AK457" s="11" t="n"/>
      <c r="AM457">
        <f>IF($D457="","",IF(COUNTIF($D$2:$D457,$D457)=1,1,0))</f>
        <v/>
      </c>
      <c r="AN457">
        <f>IF($AM457=1,SUMPRODUCT(--($AQ$2:$AQ$1001&lt;$AQ457))+1,"")</f>
        <v/>
      </c>
      <c r="AO457">
        <f>IF($D457="","",IF(OR($T457=TRUE(),$T457="TRUE"),1,0))</f>
        <v/>
      </c>
      <c r="AP457">
        <f>IF($D457="","",IF($Z457="Yes",1,0))</f>
        <v/>
      </c>
      <c r="AQ457">
        <f>IF($AM457=1,IFERROR(IF(VALUE($D457)&lt;100000000,VALUE($D457),1000000000),IFERROR(IF(VALUE(MID($D457,2,20))&lt;100000000,VALUE(MID($D457,2,20)),1000000000),1000000000))+ROW()/100000,"")</f>
        <v/>
      </c>
    </row>
    <row r="458">
      <c r="F458" s="11" t="n"/>
      <c r="P458" s="7">
        <f>IF($D458="","",O458*X458/100)</f>
        <v/>
      </c>
      <c r="Q458" s="7" t="n"/>
      <c r="W458" s="7" t="n"/>
      <c r="X458" s="7" t="n"/>
      <c r="AA458">
        <f>IF($D458="","",IF($AP458=1,0,IF($AO458=1,Settings!$C$6,Settings!$C$7))*100)</f>
        <v/>
      </c>
      <c r="AB458" s="7">
        <f>IF($D458="","",X458*AA458/100)</f>
        <v/>
      </c>
      <c r="AC458" s="7">
        <f>IF($D458="","",X458-AB458)</f>
        <v/>
      </c>
      <c r="AD458" s="7">
        <f>IF($D458="","",AC458-P458)</f>
        <v/>
      </c>
      <c r="AH458" s="7" t="n"/>
      <c r="AK458" s="11" t="n"/>
      <c r="AM458">
        <f>IF($D458="","",IF(COUNTIF($D$2:$D458,$D458)=1,1,0))</f>
        <v/>
      </c>
      <c r="AN458">
        <f>IF($AM458=1,SUMPRODUCT(--($AQ$2:$AQ$1001&lt;$AQ458))+1,"")</f>
        <v/>
      </c>
      <c r="AO458">
        <f>IF($D458="","",IF(OR($T458=TRUE(),$T458="TRUE"),1,0))</f>
        <v/>
      </c>
      <c r="AP458">
        <f>IF($D458="","",IF($Z458="Yes",1,0))</f>
        <v/>
      </c>
      <c r="AQ458">
        <f>IF($AM458=1,IFERROR(IF(VALUE($D458)&lt;100000000,VALUE($D458),1000000000),IFERROR(IF(VALUE(MID($D458,2,20))&lt;100000000,VALUE(MID($D458,2,20)),1000000000),1000000000))+ROW()/100000,"")</f>
        <v/>
      </c>
    </row>
    <row r="459">
      <c r="F459" s="11" t="n"/>
      <c r="P459" s="7">
        <f>IF($D459="","",O459*X459/100)</f>
        <v/>
      </c>
      <c r="Q459" s="7" t="n"/>
      <c r="W459" s="7" t="n"/>
      <c r="X459" s="7" t="n"/>
      <c r="AA459">
        <f>IF($D459="","",IF($AP459=1,0,IF($AO459=1,Settings!$C$6,Settings!$C$7))*100)</f>
        <v/>
      </c>
      <c r="AB459" s="7">
        <f>IF($D459="","",X459*AA459/100)</f>
        <v/>
      </c>
      <c r="AC459" s="7">
        <f>IF($D459="","",X459-AB459)</f>
        <v/>
      </c>
      <c r="AD459" s="7">
        <f>IF($D459="","",AC459-P459)</f>
        <v/>
      </c>
      <c r="AH459" s="7" t="n"/>
      <c r="AK459" s="11" t="n"/>
      <c r="AM459">
        <f>IF($D459="","",IF(COUNTIF($D$2:$D459,$D459)=1,1,0))</f>
        <v/>
      </c>
      <c r="AN459">
        <f>IF($AM459=1,SUMPRODUCT(--($AQ$2:$AQ$1001&lt;$AQ459))+1,"")</f>
        <v/>
      </c>
      <c r="AO459">
        <f>IF($D459="","",IF(OR($T459=TRUE(),$T459="TRUE"),1,0))</f>
        <v/>
      </c>
      <c r="AP459">
        <f>IF($D459="","",IF($Z459="Yes",1,0))</f>
        <v/>
      </c>
      <c r="AQ459">
        <f>IF($AM459=1,IFERROR(IF(VALUE($D459)&lt;100000000,VALUE($D459),1000000000),IFERROR(IF(VALUE(MID($D459,2,20))&lt;100000000,VALUE(MID($D459,2,20)),1000000000),1000000000))+ROW()/100000,"")</f>
        <v/>
      </c>
    </row>
    <row r="460">
      <c r="F460" s="11" t="n"/>
      <c r="P460" s="7">
        <f>IF($D460="","",O460*X460/100)</f>
        <v/>
      </c>
      <c r="Q460" s="7" t="n"/>
      <c r="W460" s="7" t="n"/>
      <c r="X460" s="7" t="n"/>
      <c r="AA460">
        <f>IF($D460="","",IF($AP460=1,0,IF($AO460=1,Settings!$C$6,Settings!$C$7))*100)</f>
        <v/>
      </c>
      <c r="AB460" s="7">
        <f>IF($D460="","",X460*AA460/100)</f>
        <v/>
      </c>
      <c r="AC460" s="7">
        <f>IF($D460="","",X460-AB460)</f>
        <v/>
      </c>
      <c r="AD460" s="7">
        <f>IF($D460="","",AC460-P460)</f>
        <v/>
      </c>
      <c r="AH460" s="7" t="n"/>
      <c r="AK460" s="11" t="n"/>
      <c r="AM460">
        <f>IF($D460="","",IF(COUNTIF($D$2:$D460,$D460)=1,1,0))</f>
        <v/>
      </c>
      <c r="AN460">
        <f>IF($AM460=1,SUMPRODUCT(--($AQ$2:$AQ$1001&lt;$AQ460))+1,"")</f>
        <v/>
      </c>
      <c r="AO460">
        <f>IF($D460="","",IF(OR($T460=TRUE(),$T460="TRUE"),1,0))</f>
        <v/>
      </c>
      <c r="AP460">
        <f>IF($D460="","",IF($Z460="Yes",1,0))</f>
        <v/>
      </c>
      <c r="AQ460">
        <f>IF($AM460=1,IFERROR(IF(VALUE($D460)&lt;100000000,VALUE($D460),1000000000),IFERROR(IF(VALUE(MID($D460,2,20))&lt;100000000,VALUE(MID($D460,2,20)),1000000000),1000000000))+ROW()/100000,"")</f>
        <v/>
      </c>
    </row>
    <row r="461">
      <c r="F461" s="11" t="n"/>
      <c r="P461" s="7">
        <f>IF($D461="","",O461*X461/100)</f>
        <v/>
      </c>
      <c r="Q461" s="7" t="n"/>
      <c r="W461" s="7" t="n"/>
      <c r="X461" s="7" t="n"/>
      <c r="AA461">
        <f>IF($D461="","",IF($AP461=1,0,IF($AO461=1,Settings!$C$6,Settings!$C$7))*100)</f>
        <v/>
      </c>
      <c r="AB461" s="7">
        <f>IF($D461="","",X461*AA461/100)</f>
        <v/>
      </c>
      <c r="AC461" s="7">
        <f>IF($D461="","",X461-AB461)</f>
        <v/>
      </c>
      <c r="AD461" s="7">
        <f>IF($D461="","",AC461-P461)</f>
        <v/>
      </c>
      <c r="AH461" s="7" t="n"/>
      <c r="AK461" s="11" t="n"/>
      <c r="AM461">
        <f>IF($D461="","",IF(COUNTIF($D$2:$D461,$D461)=1,1,0))</f>
        <v/>
      </c>
      <c r="AN461">
        <f>IF($AM461=1,SUMPRODUCT(--($AQ$2:$AQ$1001&lt;$AQ461))+1,"")</f>
        <v/>
      </c>
      <c r="AO461">
        <f>IF($D461="","",IF(OR($T461=TRUE(),$T461="TRUE"),1,0))</f>
        <v/>
      </c>
      <c r="AP461">
        <f>IF($D461="","",IF($Z461="Yes",1,0))</f>
        <v/>
      </c>
      <c r="AQ461">
        <f>IF($AM461=1,IFERROR(IF(VALUE($D461)&lt;100000000,VALUE($D461),1000000000),IFERROR(IF(VALUE(MID($D461,2,20))&lt;100000000,VALUE(MID($D461,2,20)),1000000000),1000000000))+ROW()/100000,"")</f>
        <v/>
      </c>
    </row>
    <row r="462">
      <c r="F462" s="11" t="n"/>
      <c r="P462" s="7">
        <f>IF($D462="","",O462*X462/100)</f>
        <v/>
      </c>
      <c r="Q462" s="7" t="n"/>
      <c r="W462" s="7" t="n"/>
      <c r="X462" s="7" t="n"/>
      <c r="AA462">
        <f>IF($D462="","",IF($AP462=1,0,IF($AO462=1,Settings!$C$6,Settings!$C$7))*100)</f>
        <v/>
      </c>
      <c r="AB462" s="7">
        <f>IF($D462="","",X462*AA462/100)</f>
        <v/>
      </c>
      <c r="AC462" s="7">
        <f>IF($D462="","",X462-AB462)</f>
        <v/>
      </c>
      <c r="AD462" s="7">
        <f>IF($D462="","",AC462-P462)</f>
        <v/>
      </c>
      <c r="AH462" s="7" t="n"/>
      <c r="AK462" s="11" t="n"/>
      <c r="AM462">
        <f>IF($D462="","",IF(COUNTIF($D$2:$D462,$D462)=1,1,0))</f>
        <v/>
      </c>
      <c r="AN462">
        <f>IF($AM462=1,SUMPRODUCT(--($AQ$2:$AQ$1001&lt;$AQ462))+1,"")</f>
        <v/>
      </c>
      <c r="AO462">
        <f>IF($D462="","",IF(OR($T462=TRUE(),$T462="TRUE"),1,0))</f>
        <v/>
      </c>
      <c r="AP462">
        <f>IF($D462="","",IF($Z462="Yes",1,0))</f>
        <v/>
      </c>
      <c r="AQ462">
        <f>IF($AM462=1,IFERROR(IF(VALUE($D462)&lt;100000000,VALUE($D462),1000000000),IFERROR(IF(VALUE(MID($D462,2,20))&lt;100000000,VALUE(MID($D462,2,20)),1000000000),1000000000))+ROW()/100000,"")</f>
        <v/>
      </c>
    </row>
    <row r="463">
      <c r="F463" s="11" t="n"/>
      <c r="P463" s="7">
        <f>IF($D463="","",O463*X463/100)</f>
        <v/>
      </c>
      <c r="Q463" s="7" t="n"/>
      <c r="W463" s="7" t="n"/>
      <c r="X463" s="7" t="n"/>
      <c r="AA463">
        <f>IF($D463="","",IF($AP463=1,0,IF($AO463=1,Settings!$C$6,Settings!$C$7))*100)</f>
        <v/>
      </c>
      <c r="AB463" s="7">
        <f>IF($D463="","",X463*AA463/100)</f>
        <v/>
      </c>
      <c r="AC463" s="7">
        <f>IF($D463="","",X463-AB463)</f>
        <v/>
      </c>
      <c r="AD463" s="7">
        <f>IF($D463="","",AC463-P463)</f>
        <v/>
      </c>
      <c r="AH463" s="7" t="n"/>
      <c r="AK463" s="11" t="n"/>
      <c r="AM463">
        <f>IF($D463="","",IF(COUNTIF($D$2:$D463,$D463)=1,1,0))</f>
        <v/>
      </c>
      <c r="AN463">
        <f>IF($AM463=1,SUMPRODUCT(--($AQ$2:$AQ$1001&lt;$AQ463))+1,"")</f>
        <v/>
      </c>
      <c r="AO463">
        <f>IF($D463="","",IF(OR($T463=TRUE(),$T463="TRUE"),1,0))</f>
        <v/>
      </c>
      <c r="AP463">
        <f>IF($D463="","",IF($Z463="Yes",1,0))</f>
        <v/>
      </c>
      <c r="AQ463">
        <f>IF($AM463=1,IFERROR(IF(VALUE($D463)&lt;100000000,VALUE($D463),1000000000),IFERROR(IF(VALUE(MID($D463,2,20))&lt;100000000,VALUE(MID($D463,2,20)),1000000000),1000000000))+ROW()/100000,"")</f>
        <v/>
      </c>
    </row>
    <row r="464">
      <c r="F464" s="11" t="n"/>
      <c r="P464" s="7">
        <f>IF($D464="","",O464*X464/100)</f>
        <v/>
      </c>
      <c r="Q464" s="7" t="n"/>
      <c r="W464" s="7" t="n"/>
      <c r="X464" s="7" t="n"/>
      <c r="AA464">
        <f>IF($D464="","",IF($AP464=1,0,IF($AO464=1,Settings!$C$6,Settings!$C$7))*100)</f>
        <v/>
      </c>
      <c r="AB464" s="7">
        <f>IF($D464="","",X464*AA464/100)</f>
        <v/>
      </c>
      <c r="AC464" s="7">
        <f>IF($D464="","",X464-AB464)</f>
        <v/>
      </c>
      <c r="AD464" s="7">
        <f>IF($D464="","",AC464-P464)</f>
        <v/>
      </c>
      <c r="AH464" s="7" t="n"/>
      <c r="AK464" s="11" t="n"/>
      <c r="AM464">
        <f>IF($D464="","",IF(COUNTIF($D$2:$D464,$D464)=1,1,0))</f>
        <v/>
      </c>
      <c r="AN464">
        <f>IF($AM464=1,SUMPRODUCT(--($AQ$2:$AQ$1001&lt;$AQ464))+1,"")</f>
        <v/>
      </c>
      <c r="AO464">
        <f>IF($D464="","",IF(OR($T464=TRUE(),$T464="TRUE"),1,0))</f>
        <v/>
      </c>
      <c r="AP464">
        <f>IF($D464="","",IF($Z464="Yes",1,0))</f>
        <v/>
      </c>
      <c r="AQ464">
        <f>IF($AM464=1,IFERROR(IF(VALUE($D464)&lt;100000000,VALUE($D464),1000000000),IFERROR(IF(VALUE(MID($D464,2,20))&lt;100000000,VALUE(MID($D464,2,20)),1000000000),1000000000))+ROW()/100000,"")</f>
        <v/>
      </c>
    </row>
    <row r="465">
      <c r="F465" s="11" t="n"/>
      <c r="P465" s="7">
        <f>IF($D465="","",O465*X465/100)</f>
        <v/>
      </c>
      <c r="Q465" s="7" t="n"/>
      <c r="W465" s="7" t="n"/>
      <c r="X465" s="7" t="n"/>
      <c r="AA465">
        <f>IF($D465="","",IF($AP465=1,0,IF($AO465=1,Settings!$C$6,Settings!$C$7))*100)</f>
        <v/>
      </c>
      <c r="AB465" s="7">
        <f>IF($D465="","",X465*AA465/100)</f>
        <v/>
      </c>
      <c r="AC465" s="7">
        <f>IF($D465="","",X465-AB465)</f>
        <v/>
      </c>
      <c r="AD465" s="7">
        <f>IF($D465="","",AC465-P465)</f>
        <v/>
      </c>
      <c r="AH465" s="7" t="n"/>
      <c r="AK465" s="11" t="n"/>
      <c r="AM465">
        <f>IF($D465="","",IF(COUNTIF($D$2:$D465,$D465)=1,1,0))</f>
        <v/>
      </c>
      <c r="AN465">
        <f>IF($AM465=1,SUMPRODUCT(--($AQ$2:$AQ$1001&lt;$AQ465))+1,"")</f>
        <v/>
      </c>
      <c r="AO465">
        <f>IF($D465="","",IF(OR($T465=TRUE(),$T465="TRUE"),1,0))</f>
        <v/>
      </c>
      <c r="AP465">
        <f>IF($D465="","",IF($Z465="Yes",1,0))</f>
        <v/>
      </c>
      <c r="AQ465">
        <f>IF($AM465=1,IFERROR(IF(VALUE($D465)&lt;100000000,VALUE($D465),1000000000),IFERROR(IF(VALUE(MID($D465,2,20))&lt;100000000,VALUE(MID($D465,2,20)),1000000000),1000000000))+ROW()/100000,"")</f>
        <v/>
      </c>
    </row>
    <row r="466">
      <c r="F466" s="11" t="n"/>
      <c r="P466" s="7">
        <f>IF($D466="","",O466*X466/100)</f>
        <v/>
      </c>
      <c r="Q466" s="7" t="n"/>
      <c r="W466" s="7" t="n"/>
      <c r="X466" s="7" t="n"/>
      <c r="AA466">
        <f>IF($D466="","",IF($AP466=1,0,IF($AO466=1,Settings!$C$6,Settings!$C$7))*100)</f>
        <v/>
      </c>
      <c r="AB466" s="7">
        <f>IF($D466="","",X466*AA466/100)</f>
        <v/>
      </c>
      <c r="AC466" s="7">
        <f>IF($D466="","",X466-AB466)</f>
        <v/>
      </c>
      <c r="AD466" s="7">
        <f>IF($D466="","",AC466-P466)</f>
        <v/>
      </c>
      <c r="AH466" s="7" t="n"/>
      <c r="AK466" s="11" t="n"/>
      <c r="AM466">
        <f>IF($D466="","",IF(COUNTIF($D$2:$D466,$D466)=1,1,0))</f>
        <v/>
      </c>
      <c r="AN466">
        <f>IF($AM466=1,SUMPRODUCT(--($AQ$2:$AQ$1001&lt;$AQ466))+1,"")</f>
        <v/>
      </c>
      <c r="AO466">
        <f>IF($D466="","",IF(OR($T466=TRUE(),$T466="TRUE"),1,0))</f>
        <v/>
      </c>
      <c r="AP466">
        <f>IF($D466="","",IF($Z466="Yes",1,0))</f>
        <v/>
      </c>
      <c r="AQ466">
        <f>IF($AM466=1,IFERROR(IF(VALUE($D466)&lt;100000000,VALUE($D466),1000000000),IFERROR(IF(VALUE(MID($D466,2,20))&lt;100000000,VALUE(MID($D466,2,20)),1000000000),1000000000))+ROW()/100000,"")</f>
        <v/>
      </c>
    </row>
    <row r="467">
      <c r="F467" s="11" t="n"/>
      <c r="P467" s="7">
        <f>IF($D467="","",O467*X467/100)</f>
        <v/>
      </c>
      <c r="Q467" s="7" t="n"/>
      <c r="W467" s="7" t="n"/>
      <c r="X467" s="7" t="n"/>
      <c r="AA467">
        <f>IF($D467="","",IF($AP467=1,0,IF($AO467=1,Settings!$C$6,Settings!$C$7))*100)</f>
        <v/>
      </c>
      <c r="AB467" s="7">
        <f>IF($D467="","",X467*AA467/100)</f>
        <v/>
      </c>
      <c r="AC467" s="7">
        <f>IF($D467="","",X467-AB467)</f>
        <v/>
      </c>
      <c r="AD467" s="7">
        <f>IF($D467="","",AC467-P467)</f>
        <v/>
      </c>
      <c r="AH467" s="7" t="n"/>
      <c r="AK467" s="11" t="n"/>
      <c r="AM467">
        <f>IF($D467="","",IF(COUNTIF($D$2:$D467,$D467)=1,1,0))</f>
        <v/>
      </c>
      <c r="AN467">
        <f>IF($AM467=1,SUMPRODUCT(--($AQ$2:$AQ$1001&lt;$AQ467))+1,"")</f>
        <v/>
      </c>
      <c r="AO467">
        <f>IF($D467="","",IF(OR($T467=TRUE(),$T467="TRUE"),1,0))</f>
        <v/>
      </c>
      <c r="AP467">
        <f>IF($D467="","",IF($Z467="Yes",1,0))</f>
        <v/>
      </c>
      <c r="AQ467">
        <f>IF($AM467=1,IFERROR(IF(VALUE($D467)&lt;100000000,VALUE($D467),1000000000),IFERROR(IF(VALUE(MID($D467,2,20))&lt;100000000,VALUE(MID($D467,2,20)),1000000000),1000000000))+ROW()/100000,"")</f>
        <v/>
      </c>
    </row>
    <row r="468">
      <c r="F468" s="11" t="n"/>
      <c r="P468" s="7">
        <f>IF($D468="","",O468*X468/100)</f>
        <v/>
      </c>
      <c r="Q468" s="7" t="n"/>
      <c r="W468" s="7" t="n"/>
      <c r="X468" s="7" t="n"/>
      <c r="AA468">
        <f>IF($D468="","",IF($AP468=1,0,IF($AO468=1,Settings!$C$6,Settings!$C$7))*100)</f>
        <v/>
      </c>
      <c r="AB468" s="7">
        <f>IF($D468="","",X468*AA468/100)</f>
        <v/>
      </c>
      <c r="AC468" s="7">
        <f>IF($D468="","",X468-AB468)</f>
        <v/>
      </c>
      <c r="AD468" s="7">
        <f>IF($D468="","",AC468-P468)</f>
        <v/>
      </c>
      <c r="AH468" s="7" t="n"/>
      <c r="AK468" s="11" t="n"/>
      <c r="AM468">
        <f>IF($D468="","",IF(COUNTIF($D$2:$D468,$D468)=1,1,0))</f>
        <v/>
      </c>
      <c r="AN468">
        <f>IF($AM468=1,SUMPRODUCT(--($AQ$2:$AQ$1001&lt;$AQ468))+1,"")</f>
        <v/>
      </c>
      <c r="AO468">
        <f>IF($D468="","",IF(OR($T468=TRUE(),$T468="TRUE"),1,0))</f>
        <v/>
      </c>
      <c r="AP468">
        <f>IF($D468="","",IF($Z468="Yes",1,0))</f>
        <v/>
      </c>
      <c r="AQ468">
        <f>IF($AM468=1,IFERROR(IF(VALUE($D468)&lt;100000000,VALUE($D468),1000000000),IFERROR(IF(VALUE(MID($D468,2,20))&lt;100000000,VALUE(MID($D468,2,20)),1000000000),1000000000))+ROW()/100000,"")</f>
        <v/>
      </c>
    </row>
    <row r="469">
      <c r="F469" s="11" t="n"/>
      <c r="P469" s="7">
        <f>IF($D469="","",O469*X469/100)</f>
        <v/>
      </c>
      <c r="Q469" s="7" t="n"/>
      <c r="W469" s="7" t="n"/>
      <c r="X469" s="7" t="n"/>
      <c r="AA469">
        <f>IF($D469="","",IF($AP469=1,0,IF($AO469=1,Settings!$C$6,Settings!$C$7))*100)</f>
        <v/>
      </c>
      <c r="AB469" s="7">
        <f>IF($D469="","",X469*AA469/100)</f>
        <v/>
      </c>
      <c r="AC469" s="7">
        <f>IF($D469="","",X469-AB469)</f>
        <v/>
      </c>
      <c r="AD469" s="7">
        <f>IF($D469="","",AC469-P469)</f>
        <v/>
      </c>
      <c r="AH469" s="7" t="n"/>
      <c r="AK469" s="11" t="n"/>
      <c r="AM469">
        <f>IF($D469="","",IF(COUNTIF($D$2:$D469,$D469)=1,1,0))</f>
        <v/>
      </c>
      <c r="AN469">
        <f>IF($AM469=1,SUMPRODUCT(--($AQ$2:$AQ$1001&lt;$AQ469))+1,"")</f>
        <v/>
      </c>
      <c r="AO469">
        <f>IF($D469="","",IF(OR($T469=TRUE(),$T469="TRUE"),1,0))</f>
        <v/>
      </c>
      <c r="AP469">
        <f>IF($D469="","",IF($Z469="Yes",1,0))</f>
        <v/>
      </c>
      <c r="AQ469">
        <f>IF($AM469=1,IFERROR(IF(VALUE($D469)&lt;100000000,VALUE($D469),1000000000),IFERROR(IF(VALUE(MID($D469,2,20))&lt;100000000,VALUE(MID($D469,2,20)),1000000000),1000000000))+ROW()/100000,"")</f>
        <v/>
      </c>
    </row>
    <row r="470">
      <c r="F470" s="11" t="n"/>
      <c r="P470" s="7">
        <f>IF($D470="","",O470*X470/100)</f>
        <v/>
      </c>
      <c r="Q470" s="7" t="n"/>
      <c r="W470" s="7" t="n"/>
      <c r="X470" s="7" t="n"/>
      <c r="AA470">
        <f>IF($D470="","",IF($AP470=1,0,IF($AO470=1,Settings!$C$6,Settings!$C$7))*100)</f>
        <v/>
      </c>
      <c r="AB470" s="7">
        <f>IF($D470="","",X470*AA470/100)</f>
        <v/>
      </c>
      <c r="AC470" s="7">
        <f>IF($D470="","",X470-AB470)</f>
        <v/>
      </c>
      <c r="AD470" s="7">
        <f>IF($D470="","",AC470-P470)</f>
        <v/>
      </c>
      <c r="AH470" s="7" t="n"/>
      <c r="AK470" s="11" t="n"/>
      <c r="AM470">
        <f>IF($D470="","",IF(COUNTIF($D$2:$D470,$D470)=1,1,0))</f>
        <v/>
      </c>
      <c r="AN470">
        <f>IF($AM470=1,SUMPRODUCT(--($AQ$2:$AQ$1001&lt;$AQ470))+1,"")</f>
        <v/>
      </c>
      <c r="AO470">
        <f>IF($D470="","",IF(OR($T470=TRUE(),$T470="TRUE"),1,0))</f>
        <v/>
      </c>
      <c r="AP470">
        <f>IF($D470="","",IF($Z470="Yes",1,0))</f>
        <v/>
      </c>
      <c r="AQ470">
        <f>IF($AM470=1,IFERROR(IF(VALUE($D470)&lt;100000000,VALUE($D470),1000000000),IFERROR(IF(VALUE(MID($D470,2,20))&lt;100000000,VALUE(MID($D470,2,20)),1000000000),1000000000))+ROW()/100000,"")</f>
        <v/>
      </c>
    </row>
    <row r="471">
      <c r="F471" s="11" t="n"/>
      <c r="P471" s="7">
        <f>IF($D471="","",O471*X471/100)</f>
        <v/>
      </c>
      <c r="Q471" s="7" t="n"/>
      <c r="W471" s="7" t="n"/>
      <c r="X471" s="7" t="n"/>
      <c r="AA471">
        <f>IF($D471="","",IF($AP471=1,0,IF($AO471=1,Settings!$C$6,Settings!$C$7))*100)</f>
        <v/>
      </c>
      <c r="AB471" s="7">
        <f>IF($D471="","",X471*AA471/100)</f>
        <v/>
      </c>
      <c r="AC471" s="7">
        <f>IF($D471="","",X471-AB471)</f>
        <v/>
      </c>
      <c r="AD471" s="7">
        <f>IF($D471="","",AC471-P471)</f>
        <v/>
      </c>
      <c r="AH471" s="7" t="n"/>
      <c r="AK471" s="11" t="n"/>
      <c r="AM471">
        <f>IF($D471="","",IF(COUNTIF($D$2:$D471,$D471)=1,1,0))</f>
        <v/>
      </c>
      <c r="AN471">
        <f>IF($AM471=1,SUMPRODUCT(--($AQ$2:$AQ$1001&lt;$AQ471))+1,"")</f>
        <v/>
      </c>
      <c r="AO471">
        <f>IF($D471="","",IF(OR($T471=TRUE(),$T471="TRUE"),1,0))</f>
        <v/>
      </c>
      <c r="AP471">
        <f>IF($D471="","",IF($Z471="Yes",1,0))</f>
        <v/>
      </c>
      <c r="AQ471">
        <f>IF($AM471=1,IFERROR(IF(VALUE($D471)&lt;100000000,VALUE($D471),1000000000),IFERROR(IF(VALUE(MID($D471,2,20))&lt;100000000,VALUE(MID($D471,2,20)),1000000000),1000000000))+ROW()/100000,"")</f>
        <v/>
      </c>
    </row>
    <row r="472">
      <c r="F472" s="11" t="n"/>
      <c r="P472" s="7">
        <f>IF($D472="","",O472*X472/100)</f>
        <v/>
      </c>
      <c r="Q472" s="7" t="n"/>
      <c r="W472" s="7" t="n"/>
      <c r="X472" s="7" t="n"/>
      <c r="AA472">
        <f>IF($D472="","",IF($AP472=1,0,IF($AO472=1,Settings!$C$6,Settings!$C$7))*100)</f>
        <v/>
      </c>
      <c r="AB472" s="7">
        <f>IF($D472="","",X472*AA472/100)</f>
        <v/>
      </c>
      <c r="AC472" s="7">
        <f>IF($D472="","",X472-AB472)</f>
        <v/>
      </c>
      <c r="AD472" s="7">
        <f>IF($D472="","",AC472-P472)</f>
        <v/>
      </c>
      <c r="AH472" s="7" t="n"/>
      <c r="AK472" s="11" t="n"/>
      <c r="AM472">
        <f>IF($D472="","",IF(COUNTIF($D$2:$D472,$D472)=1,1,0))</f>
        <v/>
      </c>
      <c r="AN472">
        <f>IF($AM472=1,SUMPRODUCT(--($AQ$2:$AQ$1001&lt;$AQ472))+1,"")</f>
        <v/>
      </c>
      <c r="AO472">
        <f>IF($D472="","",IF(OR($T472=TRUE(),$T472="TRUE"),1,0))</f>
        <v/>
      </c>
      <c r="AP472">
        <f>IF($D472="","",IF($Z472="Yes",1,0))</f>
        <v/>
      </c>
      <c r="AQ472">
        <f>IF($AM472=1,IFERROR(IF(VALUE($D472)&lt;100000000,VALUE($D472),1000000000),IFERROR(IF(VALUE(MID($D472,2,20))&lt;100000000,VALUE(MID($D472,2,20)),1000000000),1000000000))+ROW()/100000,"")</f>
        <v/>
      </c>
    </row>
    <row r="473">
      <c r="F473" s="11" t="n"/>
      <c r="P473" s="7">
        <f>IF($D473="","",O473*X473/100)</f>
        <v/>
      </c>
      <c r="Q473" s="7" t="n"/>
      <c r="W473" s="7" t="n"/>
      <c r="X473" s="7" t="n"/>
      <c r="AA473">
        <f>IF($D473="","",IF($AP473=1,0,IF($AO473=1,Settings!$C$6,Settings!$C$7))*100)</f>
        <v/>
      </c>
      <c r="AB473" s="7">
        <f>IF($D473="","",X473*AA473/100)</f>
        <v/>
      </c>
      <c r="AC473" s="7">
        <f>IF($D473="","",X473-AB473)</f>
        <v/>
      </c>
      <c r="AD473" s="7">
        <f>IF($D473="","",AC473-P473)</f>
        <v/>
      </c>
      <c r="AH473" s="7" t="n"/>
      <c r="AK473" s="11" t="n"/>
      <c r="AM473">
        <f>IF($D473="","",IF(COUNTIF($D$2:$D473,$D473)=1,1,0))</f>
        <v/>
      </c>
      <c r="AN473">
        <f>IF($AM473=1,SUMPRODUCT(--($AQ$2:$AQ$1001&lt;$AQ473))+1,"")</f>
        <v/>
      </c>
      <c r="AO473">
        <f>IF($D473="","",IF(OR($T473=TRUE(),$T473="TRUE"),1,0))</f>
        <v/>
      </c>
      <c r="AP473">
        <f>IF($D473="","",IF($Z473="Yes",1,0))</f>
        <v/>
      </c>
      <c r="AQ473">
        <f>IF($AM473=1,IFERROR(IF(VALUE($D473)&lt;100000000,VALUE($D473),1000000000),IFERROR(IF(VALUE(MID($D473,2,20))&lt;100000000,VALUE(MID($D473,2,20)),1000000000),1000000000))+ROW()/100000,"")</f>
        <v/>
      </c>
    </row>
    <row r="474">
      <c r="F474" s="11" t="n"/>
      <c r="P474" s="7">
        <f>IF($D474="","",O474*X474/100)</f>
        <v/>
      </c>
      <c r="Q474" s="7" t="n"/>
      <c r="W474" s="7" t="n"/>
      <c r="X474" s="7" t="n"/>
      <c r="AA474">
        <f>IF($D474="","",IF($AP474=1,0,IF($AO474=1,Settings!$C$6,Settings!$C$7))*100)</f>
        <v/>
      </c>
      <c r="AB474" s="7">
        <f>IF($D474="","",X474*AA474/100)</f>
        <v/>
      </c>
      <c r="AC474" s="7">
        <f>IF($D474="","",X474-AB474)</f>
        <v/>
      </c>
      <c r="AD474" s="7">
        <f>IF($D474="","",AC474-P474)</f>
        <v/>
      </c>
      <c r="AH474" s="7" t="n"/>
      <c r="AK474" s="11" t="n"/>
      <c r="AM474">
        <f>IF($D474="","",IF(COUNTIF($D$2:$D474,$D474)=1,1,0))</f>
        <v/>
      </c>
      <c r="AN474">
        <f>IF($AM474=1,SUMPRODUCT(--($AQ$2:$AQ$1001&lt;$AQ474))+1,"")</f>
        <v/>
      </c>
      <c r="AO474">
        <f>IF($D474="","",IF(OR($T474=TRUE(),$T474="TRUE"),1,0))</f>
        <v/>
      </c>
      <c r="AP474">
        <f>IF($D474="","",IF($Z474="Yes",1,0))</f>
        <v/>
      </c>
      <c r="AQ474">
        <f>IF($AM474=1,IFERROR(IF(VALUE($D474)&lt;100000000,VALUE($D474),1000000000),IFERROR(IF(VALUE(MID($D474,2,20))&lt;100000000,VALUE(MID($D474,2,20)),1000000000),1000000000))+ROW()/100000,"")</f>
        <v/>
      </c>
    </row>
    <row r="475">
      <c r="F475" s="11" t="n"/>
      <c r="P475" s="7">
        <f>IF($D475="","",O475*X475/100)</f>
        <v/>
      </c>
      <c r="Q475" s="7" t="n"/>
      <c r="W475" s="7" t="n"/>
      <c r="X475" s="7" t="n"/>
      <c r="AA475">
        <f>IF($D475="","",IF($AP475=1,0,IF($AO475=1,Settings!$C$6,Settings!$C$7))*100)</f>
        <v/>
      </c>
      <c r="AB475" s="7">
        <f>IF($D475="","",X475*AA475/100)</f>
        <v/>
      </c>
      <c r="AC475" s="7">
        <f>IF($D475="","",X475-AB475)</f>
        <v/>
      </c>
      <c r="AD475" s="7">
        <f>IF($D475="","",AC475-P475)</f>
        <v/>
      </c>
      <c r="AH475" s="7" t="n"/>
      <c r="AK475" s="11" t="n"/>
      <c r="AM475">
        <f>IF($D475="","",IF(COUNTIF($D$2:$D475,$D475)=1,1,0))</f>
        <v/>
      </c>
      <c r="AN475">
        <f>IF($AM475=1,SUMPRODUCT(--($AQ$2:$AQ$1001&lt;$AQ475))+1,"")</f>
        <v/>
      </c>
      <c r="AO475">
        <f>IF($D475="","",IF(OR($T475=TRUE(),$T475="TRUE"),1,0))</f>
        <v/>
      </c>
      <c r="AP475">
        <f>IF($D475="","",IF($Z475="Yes",1,0))</f>
        <v/>
      </c>
      <c r="AQ475">
        <f>IF($AM475=1,IFERROR(IF(VALUE($D475)&lt;100000000,VALUE($D475),1000000000),IFERROR(IF(VALUE(MID($D475,2,20))&lt;100000000,VALUE(MID($D475,2,20)),1000000000),1000000000))+ROW()/100000,"")</f>
        <v/>
      </c>
    </row>
    <row r="476">
      <c r="F476" s="11" t="n"/>
      <c r="P476" s="7">
        <f>IF($D476="","",O476*X476/100)</f>
        <v/>
      </c>
      <c r="Q476" s="7" t="n"/>
      <c r="W476" s="7" t="n"/>
      <c r="X476" s="7" t="n"/>
      <c r="AA476">
        <f>IF($D476="","",IF($AP476=1,0,IF($AO476=1,Settings!$C$6,Settings!$C$7))*100)</f>
        <v/>
      </c>
      <c r="AB476" s="7">
        <f>IF($D476="","",X476*AA476/100)</f>
        <v/>
      </c>
      <c r="AC476" s="7">
        <f>IF($D476="","",X476-AB476)</f>
        <v/>
      </c>
      <c r="AD476" s="7">
        <f>IF($D476="","",AC476-P476)</f>
        <v/>
      </c>
      <c r="AH476" s="7" t="n"/>
      <c r="AK476" s="11" t="n"/>
      <c r="AM476">
        <f>IF($D476="","",IF(COUNTIF($D$2:$D476,$D476)=1,1,0))</f>
        <v/>
      </c>
      <c r="AN476">
        <f>IF($AM476=1,SUMPRODUCT(--($AQ$2:$AQ$1001&lt;$AQ476))+1,"")</f>
        <v/>
      </c>
      <c r="AO476">
        <f>IF($D476="","",IF(OR($T476=TRUE(),$T476="TRUE"),1,0))</f>
        <v/>
      </c>
      <c r="AP476">
        <f>IF($D476="","",IF($Z476="Yes",1,0))</f>
        <v/>
      </c>
      <c r="AQ476">
        <f>IF($AM476=1,IFERROR(IF(VALUE($D476)&lt;100000000,VALUE($D476),1000000000),IFERROR(IF(VALUE(MID($D476,2,20))&lt;100000000,VALUE(MID($D476,2,20)),1000000000),1000000000))+ROW()/100000,"")</f>
        <v/>
      </c>
    </row>
    <row r="477">
      <c r="F477" s="11" t="n"/>
      <c r="P477" s="7">
        <f>IF($D477="","",O477*X477/100)</f>
        <v/>
      </c>
      <c r="Q477" s="7" t="n"/>
      <c r="W477" s="7" t="n"/>
      <c r="X477" s="7" t="n"/>
      <c r="AA477">
        <f>IF($D477="","",IF($AP477=1,0,IF($AO477=1,Settings!$C$6,Settings!$C$7))*100)</f>
        <v/>
      </c>
      <c r="AB477" s="7">
        <f>IF($D477="","",X477*AA477/100)</f>
        <v/>
      </c>
      <c r="AC477" s="7">
        <f>IF($D477="","",X477-AB477)</f>
        <v/>
      </c>
      <c r="AD477" s="7">
        <f>IF($D477="","",AC477-P477)</f>
        <v/>
      </c>
      <c r="AH477" s="7" t="n"/>
      <c r="AK477" s="11" t="n"/>
      <c r="AM477">
        <f>IF($D477="","",IF(COUNTIF($D$2:$D477,$D477)=1,1,0))</f>
        <v/>
      </c>
      <c r="AN477">
        <f>IF($AM477=1,SUMPRODUCT(--($AQ$2:$AQ$1001&lt;$AQ477))+1,"")</f>
        <v/>
      </c>
      <c r="AO477">
        <f>IF($D477="","",IF(OR($T477=TRUE(),$T477="TRUE"),1,0))</f>
        <v/>
      </c>
      <c r="AP477">
        <f>IF($D477="","",IF($Z477="Yes",1,0))</f>
        <v/>
      </c>
      <c r="AQ477">
        <f>IF($AM477=1,IFERROR(IF(VALUE($D477)&lt;100000000,VALUE($D477),1000000000),IFERROR(IF(VALUE(MID($D477,2,20))&lt;100000000,VALUE(MID($D477,2,20)),1000000000),1000000000))+ROW()/100000,"")</f>
        <v/>
      </c>
    </row>
    <row r="478">
      <c r="F478" s="11" t="n"/>
      <c r="P478" s="7">
        <f>IF($D478="","",O478*X478/100)</f>
        <v/>
      </c>
      <c r="Q478" s="7" t="n"/>
      <c r="W478" s="7" t="n"/>
      <c r="X478" s="7" t="n"/>
      <c r="AA478">
        <f>IF($D478="","",IF($AP478=1,0,IF($AO478=1,Settings!$C$6,Settings!$C$7))*100)</f>
        <v/>
      </c>
      <c r="AB478" s="7">
        <f>IF($D478="","",X478*AA478/100)</f>
        <v/>
      </c>
      <c r="AC478" s="7">
        <f>IF($D478="","",X478-AB478)</f>
        <v/>
      </c>
      <c r="AD478" s="7">
        <f>IF($D478="","",AC478-P478)</f>
        <v/>
      </c>
      <c r="AH478" s="7" t="n"/>
      <c r="AK478" s="11" t="n"/>
      <c r="AM478">
        <f>IF($D478="","",IF(COUNTIF($D$2:$D478,$D478)=1,1,0))</f>
        <v/>
      </c>
      <c r="AN478">
        <f>IF($AM478=1,SUMPRODUCT(--($AQ$2:$AQ$1001&lt;$AQ478))+1,"")</f>
        <v/>
      </c>
      <c r="AO478">
        <f>IF($D478="","",IF(OR($T478=TRUE(),$T478="TRUE"),1,0))</f>
        <v/>
      </c>
      <c r="AP478">
        <f>IF($D478="","",IF($Z478="Yes",1,0))</f>
        <v/>
      </c>
      <c r="AQ478">
        <f>IF($AM478=1,IFERROR(IF(VALUE($D478)&lt;100000000,VALUE($D478),1000000000),IFERROR(IF(VALUE(MID($D478,2,20))&lt;100000000,VALUE(MID($D478,2,20)),1000000000),1000000000))+ROW()/100000,"")</f>
        <v/>
      </c>
    </row>
    <row r="479">
      <c r="F479" s="11" t="n"/>
      <c r="P479" s="7">
        <f>IF($D479="","",O479*X479/100)</f>
        <v/>
      </c>
      <c r="Q479" s="7" t="n"/>
      <c r="W479" s="7" t="n"/>
      <c r="X479" s="7" t="n"/>
      <c r="AA479">
        <f>IF($D479="","",IF($AP479=1,0,IF($AO479=1,Settings!$C$6,Settings!$C$7))*100)</f>
        <v/>
      </c>
      <c r="AB479" s="7">
        <f>IF($D479="","",X479*AA479/100)</f>
        <v/>
      </c>
      <c r="AC479" s="7">
        <f>IF($D479="","",X479-AB479)</f>
        <v/>
      </c>
      <c r="AD479" s="7">
        <f>IF($D479="","",AC479-P479)</f>
        <v/>
      </c>
      <c r="AH479" s="7" t="n"/>
      <c r="AK479" s="11" t="n"/>
      <c r="AM479">
        <f>IF($D479="","",IF(COUNTIF($D$2:$D479,$D479)=1,1,0))</f>
        <v/>
      </c>
      <c r="AN479">
        <f>IF($AM479=1,SUMPRODUCT(--($AQ$2:$AQ$1001&lt;$AQ479))+1,"")</f>
        <v/>
      </c>
      <c r="AO479">
        <f>IF($D479="","",IF(OR($T479=TRUE(),$T479="TRUE"),1,0))</f>
        <v/>
      </c>
      <c r="AP479">
        <f>IF($D479="","",IF($Z479="Yes",1,0))</f>
        <v/>
      </c>
      <c r="AQ479">
        <f>IF($AM479=1,IFERROR(IF(VALUE($D479)&lt;100000000,VALUE($D479),1000000000),IFERROR(IF(VALUE(MID($D479,2,20))&lt;100000000,VALUE(MID($D479,2,20)),1000000000),1000000000))+ROW()/100000,"")</f>
        <v/>
      </c>
    </row>
    <row r="480">
      <c r="F480" s="11" t="n"/>
      <c r="P480" s="7">
        <f>IF($D480="","",O480*X480/100)</f>
        <v/>
      </c>
      <c r="Q480" s="7" t="n"/>
      <c r="W480" s="7" t="n"/>
      <c r="X480" s="7" t="n"/>
      <c r="AA480">
        <f>IF($D480="","",IF($AP480=1,0,IF($AO480=1,Settings!$C$6,Settings!$C$7))*100)</f>
        <v/>
      </c>
      <c r="AB480" s="7">
        <f>IF($D480="","",X480*AA480/100)</f>
        <v/>
      </c>
      <c r="AC480" s="7">
        <f>IF($D480="","",X480-AB480)</f>
        <v/>
      </c>
      <c r="AD480" s="7">
        <f>IF($D480="","",AC480-P480)</f>
        <v/>
      </c>
      <c r="AH480" s="7" t="n"/>
      <c r="AK480" s="11" t="n"/>
      <c r="AM480">
        <f>IF($D480="","",IF(COUNTIF($D$2:$D480,$D480)=1,1,0))</f>
        <v/>
      </c>
      <c r="AN480">
        <f>IF($AM480=1,SUMPRODUCT(--($AQ$2:$AQ$1001&lt;$AQ480))+1,"")</f>
        <v/>
      </c>
      <c r="AO480">
        <f>IF($D480="","",IF(OR($T480=TRUE(),$T480="TRUE"),1,0))</f>
        <v/>
      </c>
      <c r="AP480">
        <f>IF($D480="","",IF($Z480="Yes",1,0))</f>
        <v/>
      </c>
      <c r="AQ480">
        <f>IF($AM480=1,IFERROR(IF(VALUE($D480)&lt;100000000,VALUE($D480),1000000000),IFERROR(IF(VALUE(MID($D480,2,20))&lt;100000000,VALUE(MID($D480,2,20)),1000000000),1000000000))+ROW()/100000,"")</f>
        <v/>
      </c>
    </row>
    <row r="481">
      <c r="F481" s="11" t="n"/>
      <c r="P481" s="7">
        <f>IF($D481="","",O481*X481/100)</f>
        <v/>
      </c>
      <c r="Q481" s="7" t="n"/>
      <c r="W481" s="7" t="n"/>
      <c r="X481" s="7" t="n"/>
      <c r="AA481">
        <f>IF($D481="","",IF($AP481=1,0,IF($AO481=1,Settings!$C$6,Settings!$C$7))*100)</f>
        <v/>
      </c>
      <c r="AB481" s="7">
        <f>IF($D481="","",X481*AA481/100)</f>
        <v/>
      </c>
      <c r="AC481" s="7">
        <f>IF($D481="","",X481-AB481)</f>
        <v/>
      </c>
      <c r="AD481" s="7">
        <f>IF($D481="","",AC481-P481)</f>
        <v/>
      </c>
      <c r="AH481" s="7" t="n"/>
      <c r="AK481" s="11" t="n"/>
      <c r="AM481">
        <f>IF($D481="","",IF(COUNTIF($D$2:$D481,$D481)=1,1,0))</f>
        <v/>
      </c>
      <c r="AN481">
        <f>IF($AM481=1,SUMPRODUCT(--($AQ$2:$AQ$1001&lt;$AQ481))+1,"")</f>
        <v/>
      </c>
      <c r="AO481">
        <f>IF($D481="","",IF(OR($T481=TRUE(),$T481="TRUE"),1,0))</f>
        <v/>
      </c>
      <c r="AP481">
        <f>IF($D481="","",IF($Z481="Yes",1,0))</f>
        <v/>
      </c>
      <c r="AQ481">
        <f>IF($AM481=1,IFERROR(IF(VALUE($D481)&lt;100000000,VALUE($D481),1000000000),IFERROR(IF(VALUE(MID($D481,2,20))&lt;100000000,VALUE(MID($D481,2,20)),1000000000),1000000000))+ROW()/100000,"")</f>
        <v/>
      </c>
    </row>
    <row r="482">
      <c r="F482" s="11" t="n"/>
      <c r="P482" s="7">
        <f>IF($D482="","",O482*X482/100)</f>
        <v/>
      </c>
      <c r="Q482" s="7" t="n"/>
      <c r="W482" s="7" t="n"/>
      <c r="X482" s="7" t="n"/>
      <c r="AA482">
        <f>IF($D482="","",IF($AP482=1,0,IF($AO482=1,Settings!$C$6,Settings!$C$7))*100)</f>
        <v/>
      </c>
      <c r="AB482" s="7">
        <f>IF($D482="","",X482*AA482/100)</f>
        <v/>
      </c>
      <c r="AC482" s="7">
        <f>IF($D482="","",X482-AB482)</f>
        <v/>
      </c>
      <c r="AD482" s="7">
        <f>IF($D482="","",AC482-P482)</f>
        <v/>
      </c>
      <c r="AH482" s="7" t="n"/>
      <c r="AK482" s="11" t="n"/>
      <c r="AM482">
        <f>IF($D482="","",IF(COUNTIF($D$2:$D482,$D482)=1,1,0))</f>
        <v/>
      </c>
      <c r="AN482">
        <f>IF($AM482=1,SUMPRODUCT(--($AQ$2:$AQ$1001&lt;$AQ482))+1,"")</f>
        <v/>
      </c>
      <c r="AO482">
        <f>IF($D482="","",IF(OR($T482=TRUE(),$T482="TRUE"),1,0))</f>
        <v/>
      </c>
      <c r="AP482">
        <f>IF($D482="","",IF($Z482="Yes",1,0))</f>
        <v/>
      </c>
      <c r="AQ482">
        <f>IF($AM482=1,IFERROR(IF(VALUE($D482)&lt;100000000,VALUE($D482),1000000000),IFERROR(IF(VALUE(MID($D482,2,20))&lt;100000000,VALUE(MID($D482,2,20)),1000000000),1000000000))+ROW()/100000,"")</f>
        <v/>
      </c>
    </row>
    <row r="483">
      <c r="F483" s="11" t="n"/>
      <c r="P483" s="7">
        <f>IF($D483="","",O483*X483/100)</f>
        <v/>
      </c>
      <c r="Q483" s="7" t="n"/>
      <c r="W483" s="7" t="n"/>
      <c r="X483" s="7" t="n"/>
      <c r="AA483">
        <f>IF($D483="","",IF($AP483=1,0,IF($AO483=1,Settings!$C$6,Settings!$C$7))*100)</f>
        <v/>
      </c>
      <c r="AB483" s="7">
        <f>IF($D483="","",X483*AA483/100)</f>
        <v/>
      </c>
      <c r="AC483" s="7">
        <f>IF($D483="","",X483-AB483)</f>
        <v/>
      </c>
      <c r="AD483" s="7">
        <f>IF($D483="","",AC483-P483)</f>
        <v/>
      </c>
      <c r="AH483" s="7" t="n"/>
      <c r="AK483" s="11" t="n"/>
      <c r="AM483">
        <f>IF($D483="","",IF(COUNTIF($D$2:$D483,$D483)=1,1,0))</f>
        <v/>
      </c>
      <c r="AN483">
        <f>IF($AM483=1,SUMPRODUCT(--($AQ$2:$AQ$1001&lt;$AQ483))+1,"")</f>
        <v/>
      </c>
      <c r="AO483">
        <f>IF($D483="","",IF(OR($T483=TRUE(),$T483="TRUE"),1,0))</f>
        <v/>
      </c>
      <c r="AP483">
        <f>IF($D483="","",IF($Z483="Yes",1,0))</f>
        <v/>
      </c>
      <c r="AQ483">
        <f>IF($AM483=1,IFERROR(IF(VALUE($D483)&lt;100000000,VALUE($D483),1000000000),IFERROR(IF(VALUE(MID($D483,2,20))&lt;100000000,VALUE(MID($D483,2,20)),1000000000),1000000000))+ROW()/100000,"")</f>
        <v/>
      </c>
    </row>
    <row r="484">
      <c r="F484" s="11" t="n"/>
      <c r="P484" s="7">
        <f>IF($D484="","",O484*X484/100)</f>
        <v/>
      </c>
      <c r="Q484" s="7" t="n"/>
      <c r="W484" s="7" t="n"/>
      <c r="X484" s="7" t="n"/>
      <c r="AA484">
        <f>IF($D484="","",IF($AP484=1,0,IF($AO484=1,Settings!$C$6,Settings!$C$7))*100)</f>
        <v/>
      </c>
      <c r="AB484" s="7">
        <f>IF($D484="","",X484*AA484/100)</f>
        <v/>
      </c>
      <c r="AC484" s="7">
        <f>IF($D484="","",X484-AB484)</f>
        <v/>
      </c>
      <c r="AD484" s="7">
        <f>IF($D484="","",AC484-P484)</f>
        <v/>
      </c>
      <c r="AH484" s="7" t="n"/>
      <c r="AK484" s="11" t="n"/>
      <c r="AM484">
        <f>IF($D484="","",IF(COUNTIF($D$2:$D484,$D484)=1,1,0))</f>
        <v/>
      </c>
      <c r="AN484">
        <f>IF($AM484=1,SUMPRODUCT(--($AQ$2:$AQ$1001&lt;$AQ484))+1,"")</f>
        <v/>
      </c>
      <c r="AO484">
        <f>IF($D484="","",IF(OR($T484=TRUE(),$T484="TRUE"),1,0))</f>
        <v/>
      </c>
      <c r="AP484">
        <f>IF($D484="","",IF($Z484="Yes",1,0))</f>
        <v/>
      </c>
      <c r="AQ484">
        <f>IF($AM484=1,IFERROR(IF(VALUE($D484)&lt;100000000,VALUE($D484),1000000000),IFERROR(IF(VALUE(MID($D484,2,20))&lt;100000000,VALUE(MID($D484,2,20)),1000000000),1000000000))+ROW()/100000,"")</f>
        <v/>
      </c>
    </row>
    <row r="485">
      <c r="F485" s="11" t="n"/>
      <c r="P485" s="7">
        <f>IF($D485="","",O485*X485/100)</f>
        <v/>
      </c>
      <c r="Q485" s="7" t="n"/>
      <c r="W485" s="7" t="n"/>
      <c r="X485" s="7" t="n"/>
      <c r="AA485">
        <f>IF($D485="","",IF($AP485=1,0,IF($AO485=1,Settings!$C$6,Settings!$C$7))*100)</f>
        <v/>
      </c>
      <c r="AB485" s="7">
        <f>IF($D485="","",X485*AA485/100)</f>
        <v/>
      </c>
      <c r="AC485" s="7">
        <f>IF($D485="","",X485-AB485)</f>
        <v/>
      </c>
      <c r="AD485" s="7">
        <f>IF($D485="","",AC485-P485)</f>
        <v/>
      </c>
      <c r="AH485" s="7" t="n"/>
      <c r="AK485" s="11" t="n"/>
      <c r="AM485">
        <f>IF($D485="","",IF(COUNTIF($D$2:$D485,$D485)=1,1,0))</f>
        <v/>
      </c>
      <c r="AN485">
        <f>IF($AM485=1,SUMPRODUCT(--($AQ$2:$AQ$1001&lt;$AQ485))+1,"")</f>
        <v/>
      </c>
      <c r="AO485">
        <f>IF($D485="","",IF(OR($T485=TRUE(),$T485="TRUE"),1,0))</f>
        <v/>
      </c>
      <c r="AP485">
        <f>IF($D485="","",IF($Z485="Yes",1,0))</f>
        <v/>
      </c>
      <c r="AQ485">
        <f>IF($AM485=1,IFERROR(IF(VALUE($D485)&lt;100000000,VALUE($D485),1000000000),IFERROR(IF(VALUE(MID($D485,2,20))&lt;100000000,VALUE(MID($D485,2,20)),1000000000),1000000000))+ROW()/100000,"")</f>
        <v/>
      </c>
    </row>
    <row r="486">
      <c r="F486" s="11" t="n"/>
      <c r="P486" s="7">
        <f>IF($D486="","",O486*X486/100)</f>
        <v/>
      </c>
      <c r="Q486" s="7" t="n"/>
      <c r="W486" s="7" t="n"/>
      <c r="X486" s="7" t="n"/>
      <c r="AA486">
        <f>IF($D486="","",IF($AP486=1,0,IF($AO486=1,Settings!$C$6,Settings!$C$7))*100)</f>
        <v/>
      </c>
      <c r="AB486" s="7">
        <f>IF($D486="","",X486*AA486/100)</f>
        <v/>
      </c>
      <c r="AC486" s="7">
        <f>IF($D486="","",X486-AB486)</f>
        <v/>
      </c>
      <c r="AD486" s="7">
        <f>IF($D486="","",AC486-P486)</f>
        <v/>
      </c>
      <c r="AH486" s="7" t="n"/>
      <c r="AK486" s="11" t="n"/>
      <c r="AM486">
        <f>IF($D486="","",IF(COUNTIF($D$2:$D486,$D486)=1,1,0))</f>
        <v/>
      </c>
      <c r="AN486">
        <f>IF($AM486=1,SUMPRODUCT(--($AQ$2:$AQ$1001&lt;$AQ486))+1,"")</f>
        <v/>
      </c>
      <c r="AO486">
        <f>IF($D486="","",IF(OR($T486=TRUE(),$T486="TRUE"),1,0))</f>
        <v/>
      </c>
      <c r="AP486">
        <f>IF($D486="","",IF($Z486="Yes",1,0))</f>
        <v/>
      </c>
      <c r="AQ486">
        <f>IF($AM486=1,IFERROR(IF(VALUE($D486)&lt;100000000,VALUE($D486),1000000000),IFERROR(IF(VALUE(MID($D486,2,20))&lt;100000000,VALUE(MID($D486,2,20)),1000000000),1000000000))+ROW()/100000,"")</f>
        <v/>
      </c>
    </row>
    <row r="487">
      <c r="F487" s="11" t="n"/>
      <c r="P487" s="7">
        <f>IF($D487="","",O487*X487/100)</f>
        <v/>
      </c>
      <c r="Q487" s="7" t="n"/>
      <c r="W487" s="7" t="n"/>
      <c r="X487" s="7" t="n"/>
      <c r="AA487">
        <f>IF($D487="","",IF($AP487=1,0,IF($AO487=1,Settings!$C$6,Settings!$C$7))*100)</f>
        <v/>
      </c>
      <c r="AB487" s="7">
        <f>IF($D487="","",X487*AA487/100)</f>
        <v/>
      </c>
      <c r="AC487" s="7">
        <f>IF($D487="","",X487-AB487)</f>
        <v/>
      </c>
      <c r="AD487" s="7">
        <f>IF($D487="","",AC487-P487)</f>
        <v/>
      </c>
      <c r="AH487" s="7" t="n"/>
      <c r="AK487" s="11" t="n"/>
      <c r="AM487">
        <f>IF($D487="","",IF(COUNTIF($D$2:$D487,$D487)=1,1,0))</f>
        <v/>
      </c>
      <c r="AN487">
        <f>IF($AM487=1,SUMPRODUCT(--($AQ$2:$AQ$1001&lt;$AQ487))+1,"")</f>
        <v/>
      </c>
      <c r="AO487">
        <f>IF($D487="","",IF(OR($T487=TRUE(),$T487="TRUE"),1,0))</f>
        <v/>
      </c>
      <c r="AP487">
        <f>IF($D487="","",IF($Z487="Yes",1,0))</f>
        <v/>
      </c>
      <c r="AQ487">
        <f>IF($AM487=1,IFERROR(IF(VALUE($D487)&lt;100000000,VALUE($D487),1000000000),IFERROR(IF(VALUE(MID($D487,2,20))&lt;100000000,VALUE(MID($D487,2,20)),1000000000),1000000000))+ROW()/100000,"")</f>
        <v/>
      </c>
    </row>
    <row r="488">
      <c r="F488" s="11" t="n"/>
      <c r="P488" s="7">
        <f>IF($D488="","",O488*X488/100)</f>
        <v/>
      </c>
      <c r="Q488" s="7" t="n"/>
      <c r="W488" s="7" t="n"/>
      <c r="X488" s="7" t="n"/>
      <c r="AA488">
        <f>IF($D488="","",IF($AP488=1,0,IF($AO488=1,Settings!$C$6,Settings!$C$7))*100)</f>
        <v/>
      </c>
      <c r="AB488" s="7">
        <f>IF($D488="","",X488*AA488/100)</f>
        <v/>
      </c>
      <c r="AC488" s="7">
        <f>IF($D488="","",X488-AB488)</f>
        <v/>
      </c>
      <c r="AD488" s="7">
        <f>IF($D488="","",AC488-P488)</f>
        <v/>
      </c>
      <c r="AH488" s="7" t="n"/>
      <c r="AK488" s="11" t="n"/>
      <c r="AM488">
        <f>IF($D488="","",IF(COUNTIF($D$2:$D488,$D488)=1,1,0))</f>
        <v/>
      </c>
      <c r="AN488">
        <f>IF($AM488=1,SUMPRODUCT(--($AQ$2:$AQ$1001&lt;$AQ488))+1,"")</f>
        <v/>
      </c>
      <c r="AO488">
        <f>IF($D488="","",IF(OR($T488=TRUE(),$T488="TRUE"),1,0))</f>
        <v/>
      </c>
      <c r="AP488">
        <f>IF($D488="","",IF($Z488="Yes",1,0))</f>
        <v/>
      </c>
      <c r="AQ488">
        <f>IF($AM488=1,IFERROR(IF(VALUE($D488)&lt;100000000,VALUE($D488),1000000000),IFERROR(IF(VALUE(MID($D488,2,20))&lt;100000000,VALUE(MID($D488,2,20)),1000000000),1000000000))+ROW()/100000,"")</f>
        <v/>
      </c>
    </row>
    <row r="489">
      <c r="F489" s="11" t="n"/>
      <c r="P489" s="7">
        <f>IF($D489="","",O489*X489/100)</f>
        <v/>
      </c>
      <c r="Q489" s="7" t="n"/>
      <c r="W489" s="7" t="n"/>
      <c r="X489" s="7" t="n"/>
      <c r="AA489">
        <f>IF($D489="","",IF($AP489=1,0,IF($AO489=1,Settings!$C$6,Settings!$C$7))*100)</f>
        <v/>
      </c>
      <c r="AB489" s="7">
        <f>IF($D489="","",X489*AA489/100)</f>
        <v/>
      </c>
      <c r="AC489" s="7">
        <f>IF($D489="","",X489-AB489)</f>
        <v/>
      </c>
      <c r="AD489" s="7">
        <f>IF($D489="","",AC489-P489)</f>
        <v/>
      </c>
      <c r="AH489" s="7" t="n"/>
      <c r="AK489" s="11" t="n"/>
      <c r="AM489">
        <f>IF($D489="","",IF(COUNTIF($D$2:$D489,$D489)=1,1,0))</f>
        <v/>
      </c>
      <c r="AN489">
        <f>IF($AM489=1,SUMPRODUCT(--($AQ$2:$AQ$1001&lt;$AQ489))+1,"")</f>
        <v/>
      </c>
      <c r="AO489">
        <f>IF($D489="","",IF(OR($T489=TRUE(),$T489="TRUE"),1,0))</f>
        <v/>
      </c>
      <c r="AP489">
        <f>IF($D489="","",IF($Z489="Yes",1,0))</f>
        <v/>
      </c>
      <c r="AQ489">
        <f>IF($AM489=1,IFERROR(IF(VALUE($D489)&lt;100000000,VALUE($D489),1000000000),IFERROR(IF(VALUE(MID($D489,2,20))&lt;100000000,VALUE(MID($D489,2,20)),1000000000),1000000000))+ROW()/100000,"")</f>
        <v/>
      </c>
    </row>
    <row r="490">
      <c r="F490" s="11" t="n"/>
      <c r="P490" s="7">
        <f>IF($D490="","",O490*X490/100)</f>
        <v/>
      </c>
      <c r="Q490" s="7" t="n"/>
      <c r="W490" s="7" t="n"/>
      <c r="X490" s="7" t="n"/>
      <c r="AA490">
        <f>IF($D490="","",IF($AP490=1,0,IF($AO490=1,Settings!$C$6,Settings!$C$7))*100)</f>
        <v/>
      </c>
      <c r="AB490" s="7">
        <f>IF($D490="","",X490*AA490/100)</f>
        <v/>
      </c>
      <c r="AC490" s="7">
        <f>IF($D490="","",X490-AB490)</f>
        <v/>
      </c>
      <c r="AD490" s="7">
        <f>IF($D490="","",AC490-P490)</f>
        <v/>
      </c>
      <c r="AH490" s="7" t="n"/>
      <c r="AK490" s="11" t="n"/>
      <c r="AM490">
        <f>IF($D490="","",IF(COUNTIF($D$2:$D490,$D490)=1,1,0))</f>
        <v/>
      </c>
      <c r="AN490">
        <f>IF($AM490=1,SUMPRODUCT(--($AQ$2:$AQ$1001&lt;$AQ490))+1,"")</f>
        <v/>
      </c>
      <c r="AO490">
        <f>IF($D490="","",IF(OR($T490=TRUE(),$T490="TRUE"),1,0))</f>
        <v/>
      </c>
      <c r="AP490">
        <f>IF($D490="","",IF($Z490="Yes",1,0))</f>
        <v/>
      </c>
      <c r="AQ490">
        <f>IF($AM490=1,IFERROR(IF(VALUE($D490)&lt;100000000,VALUE($D490),1000000000),IFERROR(IF(VALUE(MID($D490,2,20))&lt;100000000,VALUE(MID($D490,2,20)),1000000000),1000000000))+ROW()/100000,"")</f>
        <v/>
      </c>
    </row>
    <row r="491">
      <c r="F491" s="11" t="n"/>
      <c r="P491" s="7">
        <f>IF($D491="","",O491*X491/100)</f>
        <v/>
      </c>
      <c r="Q491" s="7" t="n"/>
      <c r="W491" s="7" t="n"/>
      <c r="X491" s="7" t="n"/>
      <c r="AA491">
        <f>IF($D491="","",IF($AP491=1,0,IF($AO491=1,Settings!$C$6,Settings!$C$7))*100)</f>
        <v/>
      </c>
      <c r="AB491" s="7">
        <f>IF($D491="","",X491*AA491/100)</f>
        <v/>
      </c>
      <c r="AC491" s="7">
        <f>IF($D491="","",X491-AB491)</f>
        <v/>
      </c>
      <c r="AD491" s="7">
        <f>IF($D491="","",AC491-P491)</f>
        <v/>
      </c>
      <c r="AH491" s="7" t="n"/>
      <c r="AK491" s="11" t="n"/>
      <c r="AM491">
        <f>IF($D491="","",IF(COUNTIF($D$2:$D491,$D491)=1,1,0))</f>
        <v/>
      </c>
      <c r="AN491">
        <f>IF($AM491=1,SUMPRODUCT(--($AQ$2:$AQ$1001&lt;$AQ491))+1,"")</f>
        <v/>
      </c>
      <c r="AO491">
        <f>IF($D491="","",IF(OR($T491=TRUE(),$T491="TRUE"),1,0))</f>
        <v/>
      </c>
      <c r="AP491">
        <f>IF($D491="","",IF($Z491="Yes",1,0))</f>
        <v/>
      </c>
      <c r="AQ491">
        <f>IF($AM491=1,IFERROR(IF(VALUE($D491)&lt;100000000,VALUE($D491),1000000000),IFERROR(IF(VALUE(MID($D491,2,20))&lt;100000000,VALUE(MID($D491,2,20)),1000000000),1000000000))+ROW()/100000,"")</f>
        <v/>
      </c>
    </row>
    <row r="492">
      <c r="F492" s="11" t="n"/>
      <c r="P492" s="7">
        <f>IF($D492="","",O492*X492/100)</f>
        <v/>
      </c>
      <c r="Q492" s="7" t="n"/>
      <c r="W492" s="7" t="n"/>
      <c r="X492" s="7" t="n"/>
      <c r="AA492">
        <f>IF($D492="","",IF($AP492=1,0,IF($AO492=1,Settings!$C$6,Settings!$C$7))*100)</f>
        <v/>
      </c>
      <c r="AB492" s="7">
        <f>IF($D492="","",X492*AA492/100)</f>
        <v/>
      </c>
      <c r="AC492" s="7">
        <f>IF($D492="","",X492-AB492)</f>
        <v/>
      </c>
      <c r="AD492" s="7">
        <f>IF($D492="","",AC492-P492)</f>
        <v/>
      </c>
      <c r="AH492" s="7" t="n"/>
      <c r="AK492" s="11" t="n"/>
      <c r="AM492">
        <f>IF($D492="","",IF(COUNTIF($D$2:$D492,$D492)=1,1,0))</f>
        <v/>
      </c>
      <c r="AN492">
        <f>IF($AM492=1,SUMPRODUCT(--($AQ$2:$AQ$1001&lt;$AQ492))+1,"")</f>
        <v/>
      </c>
      <c r="AO492">
        <f>IF($D492="","",IF(OR($T492=TRUE(),$T492="TRUE"),1,0))</f>
        <v/>
      </c>
      <c r="AP492">
        <f>IF($D492="","",IF($Z492="Yes",1,0))</f>
        <v/>
      </c>
      <c r="AQ492">
        <f>IF($AM492=1,IFERROR(IF(VALUE($D492)&lt;100000000,VALUE($D492),1000000000),IFERROR(IF(VALUE(MID($D492,2,20))&lt;100000000,VALUE(MID($D492,2,20)),1000000000),1000000000))+ROW()/100000,"")</f>
        <v/>
      </c>
    </row>
    <row r="493">
      <c r="F493" s="11" t="n"/>
      <c r="P493" s="7">
        <f>IF($D493="","",O493*X493/100)</f>
        <v/>
      </c>
      <c r="Q493" s="7" t="n"/>
      <c r="W493" s="7" t="n"/>
      <c r="X493" s="7" t="n"/>
      <c r="AA493">
        <f>IF($D493="","",IF($AP493=1,0,IF($AO493=1,Settings!$C$6,Settings!$C$7))*100)</f>
        <v/>
      </c>
      <c r="AB493" s="7">
        <f>IF($D493="","",X493*AA493/100)</f>
        <v/>
      </c>
      <c r="AC493" s="7">
        <f>IF($D493="","",X493-AB493)</f>
        <v/>
      </c>
      <c r="AD493" s="7">
        <f>IF($D493="","",AC493-P493)</f>
        <v/>
      </c>
      <c r="AH493" s="7" t="n"/>
      <c r="AK493" s="11" t="n"/>
      <c r="AM493">
        <f>IF($D493="","",IF(COUNTIF($D$2:$D493,$D493)=1,1,0))</f>
        <v/>
      </c>
      <c r="AN493">
        <f>IF($AM493=1,SUMPRODUCT(--($AQ$2:$AQ$1001&lt;$AQ493))+1,"")</f>
        <v/>
      </c>
      <c r="AO493">
        <f>IF($D493="","",IF(OR($T493=TRUE(),$T493="TRUE"),1,0))</f>
        <v/>
      </c>
      <c r="AP493">
        <f>IF($D493="","",IF($Z493="Yes",1,0))</f>
        <v/>
      </c>
      <c r="AQ493">
        <f>IF($AM493=1,IFERROR(IF(VALUE($D493)&lt;100000000,VALUE($D493),1000000000),IFERROR(IF(VALUE(MID($D493,2,20))&lt;100000000,VALUE(MID($D493,2,20)),1000000000),1000000000))+ROW()/100000,"")</f>
        <v/>
      </c>
    </row>
    <row r="494">
      <c r="F494" s="11" t="n"/>
      <c r="P494" s="7">
        <f>IF($D494="","",O494*X494/100)</f>
        <v/>
      </c>
      <c r="Q494" s="7" t="n"/>
      <c r="W494" s="7" t="n"/>
      <c r="X494" s="7" t="n"/>
      <c r="AA494">
        <f>IF($D494="","",IF($AP494=1,0,IF($AO494=1,Settings!$C$6,Settings!$C$7))*100)</f>
        <v/>
      </c>
      <c r="AB494" s="7">
        <f>IF($D494="","",X494*AA494/100)</f>
        <v/>
      </c>
      <c r="AC494" s="7">
        <f>IF($D494="","",X494-AB494)</f>
        <v/>
      </c>
      <c r="AD494" s="7">
        <f>IF($D494="","",AC494-P494)</f>
        <v/>
      </c>
      <c r="AH494" s="7" t="n"/>
      <c r="AK494" s="11" t="n"/>
      <c r="AM494">
        <f>IF($D494="","",IF(COUNTIF($D$2:$D494,$D494)=1,1,0))</f>
        <v/>
      </c>
      <c r="AN494">
        <f>IF($AM494=1,SUMPRODUCT(--($AQ$2:$AQ$1001&lt;$AQ494))+1,"")</f>
        <v/>
      </c>
      <c r="AO494">
        <f>IF($D494="","",IF(OR($T494=TRUE(),$T494="TRUE"),1,0))</f>
        <v/>
      </c>
      <c r="AP494">
        <f>IF($D494="","",IF($Z494="Yes",1,0))</f>
        <v/>
      </c>
      <c r="AQ494">
        <f>IF($AM494=1,IFERROR(IF(VALUE($D494)&lt;100000000,VALUE($D494),1000000000),IFERROR(IF(VALUE(MID($D494,2,20))&lt;100000000,VALUE(MID($D494,2,20)),1000000000),1000000000))+ROW()/100000,"")</f>
        <v/>
      </c>
    </row>
    <row r="495">
      <c r="F495" s="11" t="n"/>
      <c r="P495" s="7">
        <f>IF($D495="","",O495*X495/100)</f>
        <v/>
      </c>
      <c r="Q495" s="7" t="n"/>
      <c r="W495" s="7" t="n"/>
      <c r="X495" s="7" t="n"/>
      <c r="AA495">
        <f>IF($D495="","",IF($AP495=1,0,IF($AO495=1,Settings!$C$6,Settings!$C$7))*100)</f>
        <v/>
      </c>
      <c r="AB495" s="7">
        <f>IF($D495="","",X495*AA495/100)</f>
        <v/>
      </c>
      <c r="AC495" s="7">
        <f>IF($D495="","",X495-AB495)</f>
        <v/>
      </c>
      <c r="AD495" s="7">
        <f>IF($D495="","",AC495-P495)</f>
        <v/>
      </c>
      <c r="AH495" s="7" t="n"/>
      <c r="AK495" s="11" t="n"/>
      <c r="AM495">
        <f>IF($D495="","",IF(COUNTIF($D$2:$D495,$D495)=1,1,0))</f>
        <v/>
      </c>
      <c r="AN495">
        <f>IF($AM495=1,SUMPRODUCT(--($AQ$2:$AQ$1001&lt;$AQ495))+1,"")</f>
        <v/>
      </c>
      <c r="AO495">
        <f>IF($D495="","",IF(OR($T495=TRUE(),$T495="TRUE"),1,0))</f>
        <v/>
      </c>
      <c r="AP495">
        <f>IF($D495="","",IF($Z495="Yes",1,0))</f>
        <v/>
      </c>
      <c r="AQ495">
        <f>IF($AM495=1,IFERROR(IF(VALUE($D495)&lt;100000000,VALUE($D495),1000000000),IFERROR(IF(VALUE(MID($D495,2,20))&lt;100000000,VALUE(MID($D495,2,20)),1000000000),1000000000))+ROW()/100000,"")</f>
        <v/>
      </c>
    </row>
    <row r="496">
      <c r="F496" s="11" t="n"/>
      <c r="P496" s="7">
        <f>IF($D496="","",O496*X496/100)</f>
        <v/>
      </c>
      <c r="Q496" s="7" t="n"/>
      <c r="W496" s="7" t="n"/>
      <c r="X496" s="7" t="n"/>
      <c r="AA496">
        <f>IF($D496="","",IF($AP496=1,0,IF($AO496=1,Settings!$C$6,Settings!$C$7))*100)</f>
        <v/>
      </c>
      <c r="AB496" s="7">
        <f>IF($D496="","",X496*AA496/100)</f>
        <v/>
      </c>
      <c r="AC496" s="7">
        <f>IF($D496="","",X496-AB496)</f>
        <v/>
      </c>
      <c r="AD496" s="7">
        <f>IF($D496="","",AC496-P496)</f>
        <v/>
      </c>
      <c r="AH496" s="7" t="n"/>
      <c r="AK496" s="11" t="n"/>
      <c r="AM496">
        <f>IF($D496="","",IF(COUNTIF($D$2:$D496,$D496)=1,1,0))</f>
        <v/>
      </c>
      <c r="AN496">
        <f>IF($AM496=1,SUMPRODUCT(--($AQ$2:$AQ$1001&lt;$AQ496))+1,"")</f>
        <v/>
      </c>
      <c r="AO496">
        <f>IF($D496="","",IF(OR($T496=TRUE(),$T496="TRUE"),1,0))</f>
        <v/>
      </c>
      <c r="AP496">
        <f>IF($D496="","",IF($Z496="Yes",1,0))</f>
        <v/>
      </c>
      <c r="AQ496">
        <f>IF($AM496=1,IFERROR(IF(VALUE($D496)&lt;100000000,VALUE($D496),1000000000),IFERROR(IF(VALUE(MID($D496,2,20))&lt;100000000,VALUE(MID($D496,2,20)),1000000000),1000000000))+ROW()/100000,"")</f>
        <v/>
      </c>
    </row>
    <row r="497">
      <c r="F497" s="11" t="n"/>
      <c r="P497" s="7">
        <f>IF($D497="","",O497*X497/100)</f>
        <v/>
      </c>
      <c r="Q497" s="7" t="n"/>
      <c r="W497" s="7" t="n"/>
      <c r="X497" s="7" t="n"/>
      <c r="AA497">
        <f>IF($D497="","",IF($AP497=1,0,IF($AO497=1,Settings!$C$6,Settings!$C$7))*100)</f>
        <v/>
      </c>
      <c r="AB497" s="7">
        <f>IF($D497="","",X497*AA497/100)</f>
        <v/>
      </c>
      <c r="AC497" s="7">
        <f>IF($D497="","",X497-AB497)</f>
        <v/>
      </c>
      <c r="AD497" s="7">
        <f>IF($D497="","",AC497-P497)</f>
        <v/>
      </c>
      <c r="AH497" s="7" t="n"/>
      <c r="AK497" s="11" t="n"/>
      <c r="AM497">
        <f>IF($D497="","",IF(COUNTIF($D$2:$D497,$D497)=1,1,0))</f>
        <v/>
      </c>
      <c r="AN497">
        <f>IF($AM497=1,SUMPRODUCT(--($AQ$2:$AQ$1001&lt;$AQ497))+1,"")</f>
        <v/>
      </c>
      <c r="AO497">
        <f>IF($D497="","",IF(OR($T497=TRUE(),$T497="TRUE"),1,0))</f>
        <v/>
      </c>
      <c r="AP497">
        <f>IF($D497="","",IF($Z497="Yes",1,0))</f>
        <v/>
      </c>
      <c r="AQ497">
        <f>IF($AM497=1,IFERROR(IF(VALUE($D497)&lt;100000000,VALUE($D497),1000000000),IFERROR(IF(VALUE(MID($D497,2,20))&lt;100000000,VALUE(MID($D497,2,20)),1000000000),1000000000))+ROW()/100000,"")</f>
        <v/>
      </c>
    </row>
    <row r="498">
      <c r="F498" s="11" t="n"/>
      <c r="P498" s="7">
        <f>IF($D498="","",O498*X498/100)</f>
        <v/>
      </c>
      <c r="Q498" s="7" t="n"/>
      <c r="W498" s="7" t="n"/>
      <c r="X498" s="7" t="n"/>
      <c r="AA498">
        <f>IF($D498="","",IF($AP498=1,0,IF($AO498=1,Settings!$C$6,Settings!$C$7))*100)</f>
        <v/>
      </c>
      <c r="AB498" s="7">
        <f>IF($D498="","",X498*AA498/100)</f>
        <v/>
      </c>
      <c r="AC498" s="7">
        <f>IF($D498="","",X498-AB498)</f>
        <v/>
      </c>
      <c r="AD498" s="7">
        <f>IF($D498="","",AC498-P498)</f>
        <v/>
      </c>
      <c r="AH498" s="7" t="n"/>
      <c r="AK498" s="11" t="n"/>
      <c r="AM498">
        <f>IF($D498="","",IF(COUNTIF($D$2:$D498,$D498)=1,1,0))</f>
        <v/>
      </c>
      <c r="AN498">
        <f>IF($AM498=1,SUMPRODUCT(--($AQ$2:$AQ$1001&lt;$AQ498))+1,"")</f>
        <v/>
      </c>
      <c r="AO498">
        <f>IF($D498="","",IF(OR($T498=TRUE(),$T498="TRUE"),1,0))</f>
        <v/>
      </c>
      <c r="AP498">
        <f>IF($D498="","",IF($Z498="Yes",1,0))</f>
        <v/>
      </c>
      <c r="AQ498">
        <f>IF($AM498=1,IFERROR(IF(VALUE($D498)&lt;100000000,VALUE($D498),1000000000),IFERROR(IF(VALUE(MID($D498,2,20))&lt;100000000,VALUE(MID($D498,2,20)),1000000000),1000000000))+ROW()/100000,"")</f>
        <v/>
      </c>
    </row>
    <row r="499">
      <c r="F499" s="11" t="n"/>
      <c r="P499" s="7">
        <f>IF($D499="","",O499*X499/100)</f>
        <v/>
      </c>
      <c r="Q499" s="7" t="n"/>
      <c r="W499" s="7" t="n"/>
      <c r="X499" s="7" t="n"/>
      <c r="AA499">
        <f>IF($D499="","",IF($AP499=1,0,IF($AO499=1,Settings!$C$6,Settings!$C$7))*100)</f>
        <v/>
      </c>
      <c r="AB499" s="7">
        <f>IF($D499="","",X499*AA499/100)</f>
        <v/>
      </c>
      <c r="AC499" s="7">
        <f>IF($D499="","",X499-AB499)</f>
        <v/>
      </c>
      <c r="AD499" s="7">
        <f>IF($D499="","",AC499-P499)</f>
        <v/>
      </c>
      <c r="AH499" s="7" t="n"/>
      <c r="AK499" s="11" t="n"/>
      <c r="AM499">
        <f>IF($D499="","",IF(COUNTIF($D$2:$D499,$D499)=1,1,0))</f>
        <v/>
      </c>
      <c r="AN499">
        <f>IF($AM499=1,SUMPRODUCT(--($AQ$2:$AQ$1001&lt;$AQ499))+1,"")</f>
        <v/>
      </c>
      <c r="AO499">
        <f>IF($D499="","",IF(OR($T499=TRUE(),$T499="TRUE"),1,0))</f>
        <v/>
      </c>
      <c r="AP499">
        <f>IF($D499="","",IF($Z499="Yes",1,0))</f>
        <v/>
      </c>
      <c r="AQ499">
        <f>IF($AM499=1,IFERROR(IF(VALUE($D499)&lt;100000000,VALUE($D499),1000000000),IFERROR(IF(VALUE(MID($D499,2,20))&lt;100000000,VALUE(MID($D499,2,20)),1000000000),1000000000))+ROW()/100000,"")</f>
        <v/>
      </c>
    </row>
    <row r="500">
      <c r="F500" s="11" t="n"/>
      <c r="P500" s="7">
        <f>IF($D500="","",O500*X500/100)</f>
        <v/>
      </c>
      <c r="Q500" s="7" t="n"/>
      <c r="W500" s="7" t="n"/>
      <c r="X500" s="7" t="n"/>
      <c r="AA500">
        <f>IF($D500="","",IF($AP500=1,0,IF($AO500=1,Settings!$C$6,Settings!$C$7))*100)</f>
        <v/>
      </c>
      <c r="AB500" s="7">
        <f>IF($D500="","",X500*AA500/100)</f>
        <v/>
      </c>
      <c r="AC500" s="7">
        <f>IF($D500="","",X500-AB500)</f>
        <v/>
      </c>
      <c r="AD500" s="7">
        <f>IF($D500="","",AC500-P500)</f>
        <v/>
      </c>
      <c r="AH500" s="7" t="n"/>
      <c r="AK500" s="11" t="n"/>
      <c r="AM500">
        <f>IF($D500="","",IF(COUNTIF($D$2:$D500,$D500)=1,1,0))</f>
        <v/>
      </c>
      <c r="AN500">
        <f>IF($AM500=1,SUMPRODUCT(--($AQ$2:$AQ$1001&lt;$AQ500))+1,"")</f>
        <v/>
      </c>
      <c r="AO500">
        <f>IF($D500="","",IF(OR($T500=TRUE(),$T500="TRUE"),1,0))</f>
        <v/>
      </c>
      <c r="AP500">
        <f>IF($D500="","",IF($Z500="Yes",1,0))</f>
        <v/>
      </c>
      <c r="AQ500">
        <f>IF($AM500=1,IFERROR(IF(VALUE($D500)&lt;100000000,VALUE($D500),1000000000),IFERROR(IF(VALUE(MID($D500,2,20))&lt;100000000,VALUE(MID($D500,2,20)),1000000000),1000000000))+ROW()/100000,"")</f>
        <v/>
      </c>
    </row>
    <row r="501">
      <c r="F501" s="11" t="n"/>
      <c r="P501" s="7">
        <f>IF($D501="","",O501*X501/100)</f>
        <v/>
      </c>
      <c r="Q501" s="7" t="n"/>
      <c r="W501" s="7" t="n"/>
      <c r="X501" s="7" t="n"/>
      <c r="AA501">
        <f>IF($D501="","",IF($AP501=1,0,IF($AO501=1,Settings!$C$6,Settings!$C$7))*100)</f>
        <v/>
      </c>
      <c r="AB501" s="7">
        <f>IF($D501="","",X501*AA501/100)</f>
        <v/>
      </c>
      <c r="AC501" s="7">
        <f>IF($D501="","",X501-AB501)</f>
        <v/>
      </c>
      <c r="AD501" s="7">
        <f>IF($D501="","",AC501-P501)</f>
        <v/>
      </c>
      <c r="AH501" s="7" t="n"/>
      <c r="AK501" s="11" t="n"/>
      <c r="AM501">
        <f>IF($D501="","",IF(COUNTIF($D$2:$D501,$D501)=1,1,0))</f>
        <v/>
      </c>
      <c r="AN501">
        <f>IF($AM501=1,SUMPRODUCT(--($AQ$2:$AQ$1001&lt;$AQ501))+1,"")</f>
        <v/>
      </c>
      <c r="AO501">
        <f>IF($D501="","",IF(OR($T501=TRUE(),$T501="TRUE"),1,0))</f>
        <v/>
      </c>
      <c r="AP501">
        <f>IF($D501="","",IF($Z501="Yes",1,0))</f>
        <v/>
      </c>
      <c r="AQ501">
        <f>IF($AM501=1,IFERROR(IF(VALUE($D501)&lt;100000000,VALUE($D501),1000000000),IFERROR(IF(VALUE(MID($D501,2,20))&lt;100000000,VALUE(MID($D501,2,20)),1000000000),1000000000))+ROW()/100000,"")</f>
        <v/>
      </c>
    </row>
    <row r="502">
      <c r="F502" s="11" t="n"/>
      <c r="P502" s="7">
        <f>IF($D502="","",O502*X502/100)</f>
        <v/>
      </c>
      <c r="Q502" s="7" t="n"/>
      <c r="W502" s="7" t="n"/>
      <c r="X502" s="7" t="n"/>
      <c r="AA502">
        <f>IF($D502="","",IF($AP502=1,0,IF($AO502=1,Settings!$C$6,Settings!$C$7))*100)</f>
        <v/>
      </c>
      <c r="AB502" s="7">
        <f>IF($D502="","",X502*AA502/100)</f>
        <v/>
      </c>
      <c r="AC502" s="7">
        <f>IF($D502="","",X502-AB502)</f>
        <v/>
      </c>
      <c r="AD502" s="7">
        <f>IF($D502="","",AC502-P502)</f>
        <v/>
      </c>
      <c r="AH502" s="7" t="n"/>
      <c r="AK502" s="11" t="n"/>
      <c r="AM502">
        <f>IF($D502="","",IF(COUNTIF($D$2:$D502,$D502)=1,1,0))</f>
        <v/>
      </c>
      <c r="AN502">
        <f>IF($AM502=1,SUMPRODUCT(--($AQ$2:$AQ$1001&lt;$AQ502))+1,"")</f>
        <v/>
      </c>
      <c r="AO502">
        <f>IF($D502="","",IF(OR($T502=TRUE(),$T502="TRUE"),1,0))</f>
        <v/>
      </c>
      <c r="AP502">
        <f>IF($D502="","",IF($Z502="Yes",1,0))</f>
        <v/>
      </c>
      <c r="AQ502">
        <f>IF($AM502=1,IFERROR(IF(VALUE($D502)&lt;100000000,VALUE($D502),1000000000),IFERROR(IF(VALUE(MID($D502,2,20))&lt;100000000,VALUE(MID($D502,2,20)),1000000000),1000000000))+ROW()/100000,"")</f>
        <v/>
      </c>
    </row>
    <row r="503">
      <c r="F503" s="11" t="n"/>
      <c r="P503" s="7">
        <f>IF($D503="","",O503*X503/100)</f>
        <v/>
      </c>
      <c r="Q503" s="7" t="n"/>
      <c r="W503" s="7" t="n"/>
      <c r="X503" s="7" t="n"/>
      <c r="AA503">
        <f>IF($D503="","",IF($AP503=1,0,IF($AO503=1,Settings!$C$6,Settings!$C$7))*100)</f>
        <v/>
      </c>
      <c r="AB503" s="7">
        <f>IF($D503="","",X503*AA503/100)</f>
        <v/>
      </c>
      <c r="AC503" s="7">
        <f>IF($D503="","",X503-AB503)</f>
        <v/>
      </c>
      <c r="AD503" s="7">
        <f>IF($D503="","",AC503-P503)</f>
        <v/>
      </c>
      <c r="AH503" s="7" t="n"/>
      <c r="AK503" s="11" t="n"/>
      <c r="AM503">
        <f>IF($D503="","",IF(COUNTIF($D$2:$D503,$D503)=1,1,0))</f>
        <v/>
      </c>
      <c r="AN503">
        <f>IF($AM503=1,SUMPRODUCT(--($AQ$2:$AQ$1001&lt;$AQ503))+1,"")</f>
        <v/>
      </c>
      <c r="AO503">
        <f>IF($D503="","",IF(OR($T503=TRUE(),$T503="TRUE"),1,0))</f>
        <v/>
      </c>
      <c r="AP503">
        <f>IF($D503="","",IF($Z503="Yes",1,0))</f>
        <v/>
      </c>
      <c r="AQ503">
        <f>IF($AM503=1,IFERROR(IF(VALUE($D503)&lt;100000000,VALUE($D503),1000000000),IFERROR(IF(VALUE(MID($D503,2,20))&lt;100000000,VALUE(MID($D503,2,20)),1000000000),1000000000))+ROW()/100000,"")</f>
        <v/>
      </c>
    </row>
    <row r="504">
      <c r="F504" s="11" t="n"/>
      <c r="P504" s="7">
        <f>IF($D504="","",O504*X504/100)</f>
        <v/>
      </c>
      <c r="Q504" s="7" t="n"/>
      <c r="W504" s="7" t="n"/>
      <c r="X504" s="7" t="n"/>
      <c r="AA504">
        <f>IF($D504="","",IF($AP504=1,0,IF($AO504=1,Settings!$C$6,Settings!$C$7))*100)</f>
        <v/>
      </c>
      <c r="AB504" s="7">
        <f>IF($D504="","",X504*AA504/100)</f>
        <v/>
      </c>
      <c r="AC504" s="7">
        <f>IF($D504="","",X504-AB504)</f>
        <v/>
      </c>
      <c r="AD504" s="7">
        <f>IF($D504="","",AC504-P504)</f>
        <v/>
      </c>
      <c r="AH504" s="7" t="n"/>
      <c r="AK504" s="11" t="n"/>
      <c r="AM504">
        <f>IF($D504="","",IF(COUNTIF($D$2:$D504,$D504)=1,1,0))</f>
        <v/>
      </c>
      <c r="AN504">
        <f>IF($AM504=1,SUMPRODUCT(--($AQ$2:$AQ$1001&lt;$AQ504))+1,"")</f>
        <v/>
      </c>
      <c r="AO504">
        <f>IF($D504="","",IF(OR($T504=TRUE(),$T504="TRUE"),1,0))</f>
        <v/>
      </c>
      <c r="AP504">
        <f>IF($D504="","",IF($Z504="Yes",1,0))</f>
        <v/>
      </c>
      <c r="AQ504">
        <f>IF($AM504=1,IFERROR(IF(VALUE($D504)&lt;100000000,VALUE($D504),1000000000),IFERROR(IF(VALUE(MID($D504,2,20))&lt;100000000,VALUE(MID($D504,2,20)),1000000000),1000000000))+ROW()/100000,"")</f>
        <v/>
      </c>
    </row>
    <row r="505">
      <c r="F505" s="11" t="n"/>
      <c r="P505" s="7">
        <f>IF($D505="","",O505*X505/100)</f>
        <v/>
      </c>
      <c r="Q505" s="7" t="n"/>
      <c r="W505" s="7" t="n"/>
      <c r="X505" s="7" t="n"/>
      <c r="AA505">
        <f>IF($D505="","",IF($AP505=1,0,IF($AO505=1,Settings!$C$6,Settings!$C$7))*100)</f>
        <v/>
      </c>
      <c r="AB505" s="7">
        <f>IF($D505="","",X505*AA505/100)</f>
        <v/>
      </c>
      <c r="AC505" s="7">
        <f>IF($D505="","",X505-AB505)</f>
        <v/>
      </c>
      <c r="AD505" s="7">
        <f>IF($D505="","",AC505-P505)</f>
        <v/>
      </c>
      <c r="AH505" s="7" t="n"/>
      <c r="AK505" s="11" t="n"/>
      <c r="AM505">
        <f>IF($D505="","",IF(COUNTIF($D$2:$D505,$D505)=1,1,0))</f>
        <v/>
      </c>
      <c r="AN505">
        <f>IF($AM505=1,SUMPRODUCT(--($AQ$2:$AQ$1001&lt;$AQ505))+1,"")</f>
        <v/>
      </c>
      <c r="AO505">
        <f>IF($D505="","",IF(OR($T505=TRUE(),$T505="TRUE"),1,0))</f>
        <v/>
      </c>
      <c r="AP505">
        <f>IF($D505="","",IF($Z505="Yes",1,0))</f>
        <v/>
      </c>
      <c r="AQ505">
        <f>IF($AM505=1,IFERROR(IF(VALUE($D505)&lt;100000000,VALUE($D505),1000000000),IFERROR(IF(VALUE(MID($D505,2,20))&lt;100000000,VALUE(MID($D505,2,20)),1000000000),1000000000))+ROW()/100000,"")</f>
        <v/>
      </c>
    </row>
    <row r="506">
      <c r="F506" s="11" t="n"/>
      <c r="P506" s="7">
        <f>IF($D506="","",O506*X506/100)</f>
        <v/>
      </c>
      <c r="Q506" s="7" t="n"/>
      <c r="W506" s="7" t="n"/>
      <c r="X506" s="7" t="n"/>
      <c r="AA506">
        <f>IF($D506="","",IF($AP506=1,0,IF($AO506=1,Settings!$C$6,Settings!$C$7))*100)</f>
        <v/>
      </c>
      <c r="AB506" s="7">
        <f>IF($D506="","",X506*AA506/100)</f>
        <v/>
      </c>
      <c r="AC506" s="7">
        <f>IF($D506="","",X506-AB506)</f>
        <v/>
      </c>
      <c r="AD506" s="7">
        <f>IF($D506="","",AC506-P506)</f>
        <v/>
      </c>
      <c r="AH506" s="7" t="n"/>
      <c r="AK506" s="11" t="n"/>
      <c r="AM506">
        <f>IF($D506="","",IF(COUNTIF($D$2:$D506,$D506)=1,1,0))</f>
        <v/>
      </c>
      <c r="AN506">
        <f>IF($AM506=1,SUMPRODUCT(--($AQ$2:$AQ$1001&lt;$AQ506))+1,"")</f>
        <v/>
      </c>
      <c r="AO506">
        <f>IF($D506="","",IF(OR($T506=TRUE(),$T506="TRUE"),1,0))</f>
        <v/>
      </c>
      <c r="AP506">
        <f>IF($D506="","",IF($Z506="Yes",1,0))</f>
        <v/>
      </c>
      <c r="AQ506">
        <f>IF($AM506=1,IFERROR(IF(VALUE($D506)&lt;100000000,VALUE($D506),1000000000),IFERROR(IF(VALUE(MID($D506,2,20))&lt;100000000,VALUE(MID($D506,2,20)),1000000000),1000000000))+ROW()/100000,"")</f>
        <v/>
      </c>
    </row>
    <row r="507">
      <c r="F507" s="11" t="n"/>
      <c r="P507" s="7">
        <f>IF($D507="","",O507*X507/100)</f>
        <v/>
      </c>
      <c r="Q507" s="7" t="n"/>
      <c r="W507" s="7" t="n"/>
      <c r="X507" s="7" t="n"/>
      <c r="AA507">
        <f>IF($D507="","",IF($AP507=1,0,IF($AO507=1,Settings!$C$6,Settings!$C$7))*100)</f>
        <v/>
      </c>
      <c r="AB507" s="7">
        <f>IF($D507="","",X507*AA507/100)</f>
        <v/>
      </c>
      <c r="AC507" s="7">
        <f>IF($D507="","",X507-AB507)</f>
        <v/>
      </c>
      <c r="AD507" s="7">
        <f>IF($D507="","",AC507-P507)</f>
        <v/>
      </c>
      <c r="AH507" s="7" t="n"/>
      <c r="AK507" s="11" t="n"/>
      <c r="AM507">
        <f>IF($D507="","",IF(COUNTIF($D$2:$D507,$D507)=1,1,0))</f>
        <v/>
      </c>
      <c r="AN507">
        <f>IF($AM507=1,SUMPRODUCT(--($AQ$2:$AQ$1001&lt;$AQ507))+1,"")</f>
        <v/>
      </c>
      <c r="AO507">
        <f>IF($D507="","",IF(OR($T507=TRUE(),$T507="TRUE"),1,0))</f>
        <v/>
      </c>
      <c r="AP507">
        <f>IF($D507="","",IF($Z507="Yes",1,0))</f>
        <v/>
      </c>
      <c r="AQ507">
        <f>IF($AM507=1,IFERROR(IF(VALUE($D507)&lt;100000000,VALUE($D507),1000000000),IFERROR(IF(VALUE(MID($D507,2,20))&lt;100000000,VALUE(MID($D507,2,20)),1000000000),1000000000))+ROW()/100000,"")</f>
        <v/>
      </c>
    </row>
    <row r="508">
      <c r="F508" s="11" t="n"/>
      <c r="P508" s="7">
        <f>IF($D508="","",O508*X508/100)</f>
        <v/>
      </c>
      <c r="Q508" s="7" t="n"/>
      <c r="W508" s="7" t="n"/>
      <c r="X508" s="7" t="n"/>
      <c r="AA508">
        <f>IF($D508="","",IF($AP508=1,0,IF($AO508=1,Settings!$C$6,Settings!$C$7))*100)</f>
        <v/>
      </c>
      <c r="AB508" s="7">
        <f>IF($D508="","",X508*AA508/100)</f>
        <v/>
      </c>
      <c r="AC508" s="7">
        <f>IF($D508="","",X508-AB508)</f>
        <v/>
      </c>
      <c r="AD508" s="7">
        <f>IF($D508="","",AC508-P508)</f>
        <v/>
      </c>
      <c r="AH508" s="7" t="n"/>
      <c r="AK508" s="11" t="n"/>
      <c r="AM508">
        <f>IF($D508="","",IF(COUNTIF($D$2:$D508,$D508)=1,1,0))</f>
        <v/>
      </c>
      <c r="AN508">
        <f>IF($AM508=1,SUMPRODUCT(--($AQ$2:$AQ$1001&lt;$AQ508))+1,"")</f>
        <v/>
      </c>
      <c r="AO508">
        <f>IF($D508="","",IF(OR($T508=TRUE(),$T508="TRUE"),1,0))</f>
        <v/>
      </c>
      <c r="AP508">
        <f>IF($D508="","",IF($Z508="Yes",1,0))</f>
        <v/>
      </c>
      <c r="AQ508">
        <f>IF($AM508=1,IFERROR(IF(VALUE($D508)&lt;100000000,VALUE($D508),1000000000),IFERROR(IF(VALUE(MID($D508,2,20))&lt;100000000,VALUE(MID($D508,2,20)),1000000000),1000000000))+ROW()/100000,"")</f>
        <v/>
      </c>
    </row>
    <row r="509">
      <c r="F509" s="11" t="n"/>
      <c r="P509" s="7">
        <f>IF($D509="","",O509*X509/100)</f>
        <v/>
      </c>
      <c r="Q509" s="7" t="n"/>
      <c r="W509" s="7" t="n"/>
      <c r="X509" s="7" t="n"/>
      <c r="AA509">
        <f>IF($D509="","",IF($AP509=1,0,IF($AO509=1,Settings!$C$6,Settings!$C$7))*100)</f>
        <v/>
      </c>
      <c r="AB509" s="7">
        <f>IF($D509="","",X509*AA509/100)</f>
        <v/>
      </c>
      <c r="AC509" s="7">
        <f>IF($D509="","",X509-AB509)</f>
        <v/>
      </c>
      <c r="AD509" s="7">
        <f>IF($D509="","",AC509-P509)</f>
        <v/>
      </c>
      <c r="AH509" s="7" t="n"/>
      <c r="AK509" s="11" t="n"/>
      <c r="AM509">
        <f>IF($D509="","",IF(COUNTIF($D$2:$D509,$D509)=1,1,0))</f>
        <v/>
      </c>
      <c r="AN509">
        <f>IF($AM509=1,SUMPRODUCT(--($AQ$2:$AQ$1001&lt;$AQ509))+1,"")</f>
        <v/>
      </c>
      <c r="AO509">
        <f>IF($D509="","",IF(OR($T509=TRUE(),$T509="TRUE"),1,0))</f>
        <v/>
      </c>
      <c r="AP509">
        <f>IF($D509="","",IF($Z509="Yes",1,0))</f>
        <v/>
      </c>
      <c r="AQ509">
        <f>IF($AM509=1,IFERROR(IF(VALUE($D509)&lt;100000000,VALUE($D509),1000000000),IFERROR(IF(VALUE(MID($D509,2,20))&lt;100000000,VALUE(MID($D509,2,20)),1000000000),1000000000))+ROW()/100000,"")</f>
        <v/>
      </c>
    </row>
    <row r="510">
      <c r="F510" s="11" t="n"/>
      <c r="P510" s="7">
        <f>IF($D510="","",O510*X510/100)</f>
        <v/>
      </c>
      <c r="Q510" s="7" t="n"/>
      <c r="W510" s="7" t="n"/>
      <c r="X510" s="7" t="n"/>
      <c r="AA510">
        <f>IF($D510="","",IF($AP510=1,0,IF($AO510=1,Settings!$C$6,Settings!$C$7))*100)</f>
        <v/>
      </c>
      <c r="AB510" s="7">
        <f>IF($D510="","",X510*AA510/100)</f>
        <v/>
      </c>
      <c r="AC510" s="7">
        <f>IF($D510="","",X510-AB510)</f>
        <v/>
      </c>
      <c r="AD510" s="7">
        <f>IF($D510="","",AC510-P510)</f>
        <v/>
      </c>
      <c r="AH510" s="7" t="n"/>
      <c r="AK510" s="11" t="n"/>
      <c r="AM510">
        <f>IF($D510="","",IF(COUNTIF($D$2:$D510,$D510)=1,1,0))</f>
        <v/>
      </c>
      <c r="AN510">
        <f>IF($AM510=1,SUMPRODUCT(--($AQ$2:$AQ$1001&lt;$AQ510))+1,"")</f>
        <v/>
      </c>
      <c r="AO510">
        <f>IF($D510="","",IF(OR($T510=TRUE(),$T510="TRUE"),1,0))</f>
        <v/>
      </c>
      <c r="AP510">
        <f>IF($D510="","",IF($Z510="Yes",1,0))</f>
        <v/>
      </c>
      <c r="AQ510">
        <f>IF($AM510=1,IFERROR(IF(VALUE($D510)&lt;100000000,VALUE($D510),1000000000),IFERROR(IF(VALUE(MID($D510,2,20))&lt;100000000,VALUE(MID($D510,2,20)),1000000000),1000000000))+ROW()/100000,"")</f>
        <v/>
      </c>
    </row>
    <row r="511">
      <c r="F511" s="11" t="n"/>
      <c r="P511" s="7">
        <f>IF($D511="","",O511*X511/100)</f>
        <v/>
      </c>
      <c r="Q511" s="7" t="n"/>
      <c r="W511" s="7" t="n"/>
      <c r="X511" s="7" t="n"/>
      <c r="AA511">
        <f>IF($D511="","",IF($AP511=1,0,IF($AO511=1,Settings!$C$6,Settings!$C$7))*100)</f>
        <v/>
      </c>
      <c r="AB511" s="7">
        <f>IF($D511="","",X511*AA511/100)</f>
        <v/>
      </c>
      <c r="AC511" s="7">
        <f>IF($D511="","",X511-AB511)</f>
        <v/>
      </c>
      <c r="AD511" s="7">
        <f>IF($D511="","",AC511-P511)</f>
        <v/>
      </c>
      <c r="AH511" s="7" t="n"/>
      <c r="AK511" s="11" t="n"/>
      <c r="AM511">
        <f>IF($D511="","",IF(COUNTIF($D$2:$D511,$D511)=1,1,0))</f>
        <v/>
      </c>
      <c r="AN511">
        <f>IF($AM511=1,SUMPRODUCT(--($AQ$2:$AQ$1001&lt;$AQ511))+1,"")</f>
        <v/>
      </c>
      <c r="AO511">
        <f>IF($D511="","",IF(OR($T511=TRUE(),$T511="TRUE"),1,0))</f>
        <v/>
      </c>
      <c r="AP511">
        <f>IF($D511="","",IF($Z511="Yes",1,0))</f>
        <v/>
      </c>
      <c r="AQ511">
        <f>IF($AM511=1,IFERROR(IF(VALUE($D511)&lt;100000000,VALUE($D511),1000000000),IFERROR(IF(VALUE(MID($D511,2,20))&lt;100000000,VALUE(MID($D511,2,20)),1000000000),1000000000))+ROW()/100000,"")</f>
        <v/>
      </c>
    </row>
    <row r="512">
      <c r="F512" s="11" t="n"/>
      <c r="P512" s="7">
        <f>IF($D512="","",O512*X512/100)</f>
        <v/>
      </c>
      <c r="Q512" s="7" t="n"/>
      <c r="W512" s="7" t="n"/>
      <c r="X512" s="7" t="n"/>
      <c r="AA512">
        <f>IF($D512="","",IF($AP512=1,0,IF($AO512=1,Settings!$C$6,Settings!$C$7))*100)</f>
        <v/>
      </c>
      <c r="AB512" s="7">
        <f>IF($D512="","",X512*AA512/100)</f>
        <v/>
      </c>
      <c r="AC512" s="7">
        <f>IF($D512="","",X512-AB512)</f>
        <v/>
      </c>
      <c r="AD512" s="7">
        <f>IF($D512="","",AC512-P512)</f>
        <v/>
      </c>
      <c r="AH512" s="7" t="n"/>
      <c r="AK512" s="11" t="n"/>
      <c r="AM512">
        <f>IF($D512="","",IF(COUNTIF($D$2:$D512,$D512)=1,1,0))</f>
        <v/>
      </c>
      <c r="AN512">
        <f>IF($AM512=1,SUMPRODUCT(--($AQ$2:$AQ$1001&lt;$AQ512))+1,"")</f>
        <v/>
      </c>
      <c r="AO512">
        <f>IF($D512="","",IF(OR($T512=TRUE(),$T512="TRUE"),1,0))</f>
        <v/>
      </c>
      <c r="AP512">
        <f>IF($D512="","",IF($Z512="Yes",1,0))</f>
        <v/>
      </c>
      <c r="AQ512">
        <f>IF($AM512=1,IFERROR(IF(VALUE($D512)&lt;100000000,VALUE($D512),1000000000),IFERROR(IF(VALUE(MID($D512,2,20))&lt;100000000,VALUE(MID($D512,2,20)),1000000000),1000000000))+ROW()/100000,"")</f>
        <v/>
      </c>
    </row>
    <row r="513">
      <c r="F513" s="11" t="n"/>
      <c r="P513" s="7">
        <f>IF($D513="","",O513*X513/100)</f>
        <v/>
      </c>
      <c r="Q513" s="7" t="n"/>
      <c r="W513" s="7" t="n"/>
      <c r="X513" s="7" t="n"/>
      <c r="AA513">
        <f>IF($D513="","",IF($AP513=1,0,IF($AO513=1,Settings!$C$6,Settings!$C$7))*100)</f>
        <v/>
      </c>
      <c r="AB513" s="7">
        <f>IF($D513="","",X513*AA513/100)</f>
        <v/>
      </c>
      <c r="AC513" s="7">
        <f>IF($D513="","",X513-AB513)</f>
        <v/>
      </c>
      <c r="AD513" s="7">
        <f>IF($D513="","",AC513-P513)</f>
        <v/>
      </c>
      <c r="AH513" s="7" t="n"/>
      <c r="AK513" s="11" t="n"/>
      <c r="AM513">
        <f>IF($D513="","",IF(COUNTIF($D$2:$D513,$D513)=1,1,0))</f>
        <v/>
      </c>
      <c r="AN513">
        <f>IF($AM513=1,SUMPRODUCT(--($AQ$2:$AQ$1001&lt;$AQ513))+1,"")</f>
        <v/>
      </c>
      <c r="AO513">
        <f>IF($D513="","",IF(OR($T513=TRUE(),$T513="TRUE"),1,0))</f>
        <v/>
      </c>
      <c r="AP513">
        <f>IF($D513="","",IF($Z513="Yes",1,0))</f>
        <v/>
      </c>
      <c r="AQ513">
        <f>IF($AM513=1,IFERROR(IF(VALUE($D513)&lt;100000000,VALUE($D513),1000000000),IFERROR(IF(VALUE(MID($D513,2,20))&lt;100000000,VALUE(MID($D513,2,20)),1000000000),1000000000))+ROW()/100000,"")</f>
        <v/>
      </c>
    </row>
    <row r="514">
      <c r="F514" s="11" t="n"/>
      <c r="P514" s="7">
        <f>IF($D514="","",O514*X514/100)</f>
        <v/>
      </c>
      <c r="Q514" s="7" t="n"/>
      <c r="W514" s="7" t="n"/>
      <c r="X514" s="7" t="n"/>
      <c r="AA514">
        <f>IF($D514="","",IF($AP514=1,0,IF($AO514=1,Settings!$C$6,Settings!$C$7))*100)</f>
        <v/>
      </c>
      <c r="AB514" s="7">
        <f>IF($D514="","",X514*AA514/100)</f>
        <v/>
      </c>
      <c r="AC514" s="7">
        <f>IF($D514="","",X514-AB514)</f>
        <v/>
      </c>
      <c r="AD514" s="7">
        <f>IF($D514="","",AC514-P514)</f>
        <v/>
      </c>
      <c r="AH514" s="7" t="n"/>
      <c r="AK514" s="11" t="n"/>
      <c r="AM514">
        <f>IF($D514="","",IF(COUNTIF($D$2:$D514,$D514)=1,1,0))</f>
        <v/>
      </c>
      <c r="AN514">
        <f>IF($AM514=1,SUMPRODUCT(--($AQ$2:$AQ$1001&lt;$AQ514))+1,"")</f>
        <v/>
      </c>
      <c r="AO514">
        <f>IF($D514="","",IF(OR($T514=TRUE(),$T514="TRUE"),1,0))</f>
        <v/>
      </c>
      <c r="AP514">
        <f>IF($D514="","",IF($Z514="Yes",1,0))</f>
        <v/>
      </c>
      <c r="AQ514">
        <f>IF($AM514=1,IFERROR(IF(VALUE($D514)&lt;100000000,VALUE($D514),1000000000),IFERROR(IF(VALUE(MID($D514,2,20))&lt;100000000,VALUE(MID($D514,2,20)),1000000000),1000000000))+ROW()/100000,"")</f>
        <v/>
      </c>
    </row>
    <row r="515">
      <c r="F515" s="11" t="n"/>
      <c r="P515" s="7">
        <f>IF($D515="","",O515*X515/100)</f>
        <v/>
      </c>
      <c r="Q515" s="7" t="n"/>
      <c r="W515" s="7" t="n"/>
      <c r="X515" s="7" t="n"/>
      <c r="AA515">
        <f>IF($D515="","",IF($AP515=1,0,IF($AO515=1,Settings!$C$6,Settings!$C$7))*100)</f>
        <v/>
      </c>
      <c r="AB515" s="7">
        <f>IF($D515="","",X515*AA515/100)</f>
        <v/>
      </c>
      <c r="AC515" s="7">
        <f>IF($D515="","",X515-AB515)</f>
        <v/>
      </c>
      <c r="AD515" s="7">
        <f>IF($D515="","",AC515-P515)</f>
        <v/>
      </c>
      <c r="AH515" s="7" t="n"/>
      <c r="AK515" s="11" t="n"/>
      <c r="AM515">
        <f>IF($D515="","",IF(COUNTIF($D$2:$D515,$D515)=1,1,0))</f>
        <v/>
      </c>
      <c r="AN515">
        <f>IF($AM515=1,SUMPRODUCT(--($AQ$2:$AQ$1001&lt;$AQ515))+1,"")</f>
        <v/>
      </c>
      <c r="AO515">
        <f>IF($D515="","",IF(OR($T515=TRUE(),$T515="TRUE"),1,0))</f>
        <v/>
      </c>
      <c r="AP515">
        <f>IF($D515="","",IF($Z515="Yes",1,0))</f>
        <v/>
      </c>
      <c r="AQ515">
        <f>IF($AM515=1,IFERROR(IF(VALUE($D515)&lt;100000000,VALUE($D515),1000000000),IFERROR(IF(VALUE(MID($D515,2,20))&lt;100000000,VALUE(MID($D515,2,20)),1000000000),1000000000))+ROW()/100000,"")</f>
        <v/>
      </c>
    </row>
    <row r="516">
      <c r="F516" s="11" t="n"/>
      <c r="P516" s="7">
        <f>IF($D516="","",O516*X516/100)</f>
        <v/>
      </c>
      <c r="Q516" s="7" t="n"/>
      <c r="W516" s="7" t="n"/>
      <c r="X516" s="7" t="n"/>
      <c r="AA516">
        <f>IF($D516="","",IF($AP516=1,0,IF($AO516=1,Settings!$C$6,Settings!$C$7))*100)</f>
        <v/>
      </c>
      <c r="AB516" s="7">
        <f>IF($D516="","",X516*AA516/100)</f>
        <v/>
      </c>
      <c r="AC516" s="7">
        <f>IF($D516="","",X516-AB516)</f>
        <v/>
      </c>
      <c r="AD516" s="7">
        <f>IF($D516="","",AC516-P516)</f>
        <v/>
      </c>
      <c r="AH516" s="7" t="n"/>
      <c r="AK516" s="11" t="n"/>
      <c r="AM516">
        <f>IF($D516="","",IF(COUNTIF($D$2:$D516,$D516)=1,1,0))</f>
        <v/>
      </c>
      <c r="AN516">
        <f>IF($AM516=1,SUMPRODUCT(--($AQ$2:$AQ$1001&lt;$AQ516))+1,"")</f>
        <v/>
      </c>
      <c r="AO516">
        <f>IF($D516="","",IF(OR($T516=TRUE(),$T516="TRUE"),1,0))</f>
        <v/>
      </c>
      <c r="AP516">
        <f>IF($D516="","",IF($Z516="Yes",1,0))</f>
        <v/>
      </c>
      <c r="AQ516">
        <f>IF($AM516=1,IFERROR(IF(VALUE($D516)&lt;100000000,VALUE($D516),1000000000),IFERROR(IF(VALUE(MID($D516,2,20))&lt;100000000,VALUE(MID($D516,2,20)),1000000000),1000000000))+ROW()/100000,"")</f>
        <v/>
      </c>
    </row>
    <row r="517">
      <c r="F517" s="11" t="n"/>
      <c r="P517" s="7">
        <f>IF($D517="","",O517*X517/100)</f>
        <v/>
      </c>
      <c r="Q517" s="7" t="n"/>
      <c r="W517" s="7" t="n"/>
      <c r="X517" s="7" t="n"/>
      <c r="AA517">
        <f>IF($D517="","",IF($AP517=1,0,IF($AO517=1,Settings!$C$6,Settings!$C$7))*100)</f>
        <v/>
      </c>
      <c r="AB517" s="7">
        <f>IF($D517="","",X517*AA517/100)</f>
        <v/>
      </c>
      <c r="AC517" s="7">
        <f>IF($D517="","",X517-AB517)</f>
        <v/>
      </c>
      <c r="AD517" s="7">
        <f>IF($D517="","",AC517-P517)</f>
        <v/>
      </c>
      <c r="AH517" s="7" t="n"/>
      <c r="AK517" s="11" t="n"/>
      <c r="AM517">
        <f>IF($D517="","",IF(COUNTIF($D$2:$D517,$D517)=1,1,0))</f>
        <v/>
      </c>
      <c r="AN517">
        <f>IF($AM517=1,SUMPRODUCT(--($AQ$2:$AQ$1001&lt;$AQ517))+1,"")</f>
        <v/>
      </c>
      <c r="AO517">
        <f>IF($D517="","",IF(OR($T517=TRUE(),$T517="TRUE"),1,0))</f>
        <v/>
      </c>
      <c r="AP517">
        <f>IF($D517="","",IF($Z517="Yes",1,0))</f>
        <v/>
      </c>
      <c r="AQ517">
        <f>IF($AM517=1,IFERROR(IF(VALUE($D517)&lt;100000000,VALUE($D517),1000000000),IFERROR(IF(VALUE(MID($D517,2,20))&lt;100000000,VALUE(MID($D517,2,20)),1000000000),1000000000))+ROW()/100000,"")</f>
        <v/>
      </c>
    </row>
    <row r="518">
      <c r="F518" s="11" t="n"/>
      <c r="P518" s="7">
        <f>IF($D518="","",O518*X518/100)</f>
        <v/>
      </c>
      <c r="Q518" s="7" t="n"/>
      <c r="W518" s="7" t="n"/>
      <c r="X518" s="7" t="n"/>
      <c r="AA518">
        <f>IF($D518="","",IF($AP518=1,0,IF($AO518=1,Settings!$C$6,Settings!$C$7))*100)</f>
        <v/>
      </c>
      <c r="AB518" s="7">
        <f>IF($D518="","",X518*AA518/100)</f>
        <v/>
      </c>
      <c r="AC518" s="7">
        <f>IF($D518="","",X518-AB518)</f>
        <v/>
      </c>
      <c r="AD518" s="7">
        <f>IF($D518="","",AC518-P518)</f>
        <v/>
      </c>
      <c r="AH518" s="7" t="n"/>
      <c r="AK518" s="11" t="n"/>
      <c r="AM518">
        <f>IF($D518="","",IF(COUNTIF($D$2:$D518,$D518)=1,1,0))</f>
        <v/>
      </c>
      <c r="AN518">
        <f>IF($AM518=1,SUMPRODUCT(--($AQ$2:$AQ$1001&lt;$AQ518))+1,"")</f>
        <v/>
      </c>
      <c r="AO518">
        <f>IF($D518="","",IF(OR($T518=TRUE(),$T518="TRUE"),1,0))</f>
        <v/>
      </c>
      <c r="AP518">
        <f>IF($D518="","",IF($Z518="Yes",1,0))</f>
        <v/>
      </c>
      <c r="AQ518">
        <f>IF($AM518=1,IFERROR(IF(VALUE($D518)&lt;100000000,VALUE($D518),1000000000),IFERROR(IF(VALUE(MID($D518,2,20))&lt;100000000,VALUE(MID($D518,2,20)),1000000000),1000000000))+ROW()/100000,"")</f>
        <v/>
      </c>
    </row>
    <row r="519">
      <c r="F519" s="11" t="n"/>
      <c r="P519" s="7">
        <f>IF($D519="","",O519*X519/100)</f>
        <v/>
      </c>
      <c r="Q519" s="7" t="n"/>
      <c r="W519" s="7" t="n"/>
      <c r="X519" s="7" t="n"/>
      <c r="AA519">
        <f>IF($D519="","",IF($AP519=1,0,IF($AO519=1,Settings!$C$6,Settings!$C$7))*100)</f>
        <v/>
      </c>
      <c r="AB519" s="7">
        <f>IF($D519="","",X519*AA519/100)</f>
        <v/>
      </c>
      <c r="AC519" s="7">
        <f>IF($D519="","",X519-AB519)</f>
        <v/>
      </c>
      <c r="AD519" s="7">
        <f>IF($D519="","",AC519-P519)</f>
        <v/>
      </c>
      <c r="AH519" s="7" t="n"/>
      <c r="AK519" s="11" t="n"/>
      <c r="AM519">
        <f>IF($D519="","",IF(COUNTIF($D$2:$D519,$D519)=1,1,0))</f>
        <v/>
      </c>
      <c r="AN519">
        <f>IF($AM519=1,SUMPRODUCT(--($AQ$2:$AQ$1001&lt;$AQ519))+1,"")</f>
        <v/>
      </c>
      <c r="AO519">
        <f>IF($D519="","",IF(OR($T519=TRUE(),$T519="TRUE"),1,0))</f>
        <v/>
      </c>
      <c r="AP519">
        <f>IF($D519="","",IF($Z519="Yes",1,0))</f>
        <v/>
      </c>
      <c r="AQ519">
        <f>IF($AM519=1,IFERROR(IF(VALUE($D519)&lt;100000000,VALUE($D519),1000000000),IFERROR(IF(VALUE(MID($D519,2,20))&lt;100000000,VALUE(MID($D519,2,20)),1000000000),1000000000))+ROW()/100000,"")</f>
        <v/>
      </c>
    </row>
    <row r="520">
      <c r="F520" s="11" t="n"/>
      <c r="P520" s="7">
        <f>IF($D520="","",O520*X520/100)</f>
        <v/>
      </c>
      <c r="Q520" s="7" t="n"/>
      <c r="W520" s="7" t="n"/>
      <c r="X520" s="7" t="n"/>
      <c r="AA520">
        <f>IF($D520="","",IF($AP520=1,0,IF($AO520=1,Settings!$C$6,Settings!$C$7))*100)</f>
        <v/>
      </c>
      <c r="AB520" s="7">
        <f>IF($D520="","",X520*AA520/100)</f>
        <v/>
      </c>
      <c r="AC520" s="7">
        <f>IF($D520="","",X520-AB520)</f>
        <v/>
      </c>
      <c r="AD520" s="7">
        <f>IF($D520="","",AC520-P520)</f>
        <v/>
      </c>
      <c r="AH520" s="7" t="n"/>
      <c r="AK520" s="11" t="n"/>
      <c r="AM520">
        <f>IF($D520="","",IF(COUNTIF($D$2:$D520,$D520)=1,1,0))</f>
        <v/>
      </c>
      <c r="AN520">
        <f>IF($AM520=1,SUMPRODUCT(--($AQ$2:$AQ$1001&lt;$AQ520))+1,"")</f>
        <v/>
      </c>
      <c r="AO520">
        <f>IF($D520="","",IF(OR($T520=TRUE(),$T520="TRUE"),1,0))</f>
        <v/>
      </c>
      <c r="AP520">
        <f>IF($D520="","",IF($Z520="Yes",1,0))</f>
        <v/>
      </c>
      <c r="AQ520">
        <f>IF($AM520=1,IFERROR(IF(VALUE($D520)&lt;100000000,VALUE($D520),1000000000),IFERROR(IF(VALUE(MID($D520,2,20))&lt;100000000,VALUE(MID($D520,2,20)),1000000000),1000000000))+ROW()/100000,"")</f>
        <v/>
      </c>
    </row>
    <row r="521">
      <c r="F521" s="11" t="n"/>
      <c r="P521" s="7">
        <f>IF($D521="","",O521*X521/100)</f>
        <v/>
      </c>
      <c r="Q521" s="7" t="n"/>
      <c r="W521" s="7" t="n"/>
      <c r="X521" s="7" t="n"/>
      <c r="AA521">
        <f>IF($D521="","",IF($AP521=1,0,IF($AO521=1,Settings!$C$6,Settings!$C$7))*100)</f>
        <v/>
      </c>
      <c r="AB521" s="7">
        <f>IF($D521="","",X521*AA521/100)</f>
        <v/>
      </c>
      <c r="AC521" s="7">
        <f>IF($D521="","",X521-AB521)</f>
        <v/>
      </c>
      <c r="AD521" s="7">
        <f>IF($D521="","",AC521-P521)</f>
        <v/>
      </c>
      <c r="AH521" s="7" t="n"/>
      <c r="AK521" s="11" t="n"/>
      <c r="AM521">
        <f>IF($D521="","",IF(COUNTIF($D$2:$D521,$D521)=1,1,0))</f>
        <v/>
      </c>
      <c r="AN521">
        <f>IF($AM521=1,SUMPRODUCT(--($AQ$2:$AQ$1001&lt;$AQ521))+1,"")</f>
        <v/>
      </c>
      <c r="AO521">
        <f>IF($D521="","",IF(OR($T521=TRUE(),$T521="TRUE"),1,0))</f>
        <v/>
      </c>
      <c r="AP521">
        <f>IF($D521="","",IF($Z521="Yes",1,0))</f>
        <v/>
      </c>
      <c r="AQ521">
        <f>IF($AM521=1,IFERROR(IF(VALUE($D521)&lt;100000000,VALUE($D521),1000000000),IFERROR(IF(VALUE(MID($D521,2,20))&lt;100000000,VALUE(MID($D521,2,20)),1000000000),1000000000))+ROW()/100000,"")</f>
        <v/>
      </c>
    </row>
    <row r="522">
      <c r="F522" s="11" t="n"/>
      <c r="P522" s="7">
        <f>IF($D522="","",O522*X522/100)</f>
        <v/>
      </c>
      <c r="Q522" s="7" t="n"/>
      <c r="W522" s="7" t="n"/>
      <c r="X522" s="7" t="n"/>
      <c r="AA522">
        <f>IF($D522="","",IF($AP522=1,0,IF($AO522=1,Settings!$C$6,Settings!$C$7))*100)</f>
        <v/>
      </c>
      <c r="AB522" s="7">
        <f>IF($D522="","",X522*AA522/100)</f>
        <v/>
      </c>
      <c r="AC522" s="7">
        <f>IF($D522="","",X522-AB522)</f>
        <v/>
      </c>
      <c r="AD522" s="7">
        <f>IF($D522="","",AC522-P522)</f>
        <v/>
      </c>
      <c r="AH522" s="7" t="n"/>
      <c r="AK522" s="11" t="n"/>
      <c r="AM522">
        <f>IF($D522="","",IF(COUNTIF($D$2:$D522,$D522)=1,1,0))</f>
        <v/>
      </c>
      <c r="AN522">
        <f>IF($AM522=1,SUMPRODUCT(--($AQ$2:$AQ$1001&lt;$AQ522))+1,"")</f>
        <v/>
      </c>
      <c r="AO522">
        <f>IF($D522="","",IF(OR($T522=TRUE(),$T522="TRUE"),1,0))</f>
        <v/>
      </c>
      <c r="AP522">
        <f>IF($D522="","",IF($Z522="Yes",1,0))</f>
        <v/>
      </c>
      <c r="AQ522">
        <f>IF($AM522=1,IFERROR(IF(VALUE($D522)&lt;100000000,VALUE($D522),1000000000),IFERROR(IF(VALUE(MID($D522,2,20))&lt;100000000,VALUE(MID($D522,2,20)),1000000000),1000000000))+ROW()/100000,"")</f>
        <v/>
      </c>
    </row>
    <row r="523">
      <c r="F523" s="11" t="n"/>
      <c r="P523" s="7">
        <f>IF($D523="","",O523*X523/100)</f>
        <v/>
      </c>
      <c r="Q523" s="7" t="n"/>
      <c r="W523" s="7" t="n"/>
      <c r="X523" s="7" t="n"/>
      <c r="AA523">
        <f>IF($D523="","",IF($AP523=1,0,IF($AO523=1,Settings!$C$6,Settings!$C$7))*100)</f>
        <v/>
      </c>
      <c r="AB523" s="7">
        <f>IF($D523="","",X523*AA523/100)</f>
        <v/>
      </c>
      <c r="AC523" s="7">
        <f>IF($D523="","",X523-AB523)</f>
        <v/>
      </c>
      <c r="AD523" s="7">
        <f>IF($D523="","",AC523-P523)</f>
        <v/>
      </c>
      <c r="AH523" s="7" t="n"/>
      <c r="AK523" s="11" t="n"/>
      <c r="AM523">
        <f>IF($D523="","",IF(COUNTIF($D$2:$D523,$D523)=1,1,0))</f>
        <v/>
      </c>
      <c r="AN523">
        <f>IF($AM523=1,SUMPRODUCT(--($AQ$2:$AQ$1001&lt;$AQ523))+1,"")</f>
        <v/>
      </c>
      <c r="AO523">
        <f>IF($D523="","",IF(OR($T523=TRUE(),$T523="TRUE"),1,0))</f>
        <v/>
      </c>
      <c r="AP523">
        <f>IF($D523="","",IF($Z523="Yes",1,0))</f>
        <v/>
      </c>
      <c r="AQ523">
        <f>IF($AM523=1,IFERROR(IF(VALUE($D523)&lt;100000000,VALUE($D523),1000000000),IFERROR(IF(VALUE(MID($D523,2,20))&lt;100000000,VALUE(MID($D523,2,20)),1000000000),1000000000))+ROW()/100000,"")</f>
        <v/>
      </c>
    </row>
    <row r="524">
      <c r="F524" s="11" t="n"/>
      <c r="P524" s="7">
        <f>IF($D524="","",O524*X524/100)</f>
        <v/>
      </c>
      <c r="Q524" s="7" t="n"/>
      <c r="W524" s="7" t="n"/>
      <c r="X524" s="7" t="n"/>
      <c r="AA524">
        <f>IF($D524="","",IF($AP524=1,0,IF($AO524=1,Settings!$C$6,Settings!$C$7))*100)</f>
        <v/>
      </c>
      <c r="AB524" s="7">
        <f>IF($D524="","",X524*AA524/100)</f>
        <v/>
      </c>
      <c r="AC524" s="7">
        <f>IF($D524="","",X524-AB524)</f>
        <v/>
      </c>
      <c r="AD524" s="7">
        <f>IF($D524="","",AC524-P524)</f>
        <v/>
      </c>
      <c r="AH524" s="7" t="n"/>
      <c r="AK524" s="11" t="n"/>
      <c r="AM524">
        <f>IF($D524="","",IF(COUNTIF($D$2:$D524,$D524)=1,1,0))</f>
        <v/>
      </c>
      <c r="AN524">
        <f>IF($AM524=1,SUMPRODUCT(--($AQ$2:$AQ$1001&lt;$AQ524))+1,"")</f>
        <v/>
      </c>
      <c r="AO524">
        <f>IF($D524="","",IF(OR($T524=TRUE(),$T524="TRUE"),1,0))</f>
        <v/>
      </c>
      <c r="AP524">
        <f>IF($D524="","",IF($Z524="Yes",1,0))</f>
        <v/>
      </c>
      <c r="AQ524">
        <f>IF($AM524=1,IFERROR(IF(VALUE($D524)&lt;100000000,VALUE($D524),1000000000),IFERROR(IF(VALUE(MID($D524,2,20))&lt;100000000,VALUE(MID($D524,2,20)),1000000000),1000000000))+ROW()/100000,"")</f>
        <v/>
      </c>
    </row>
    <row r="525">
      <c r="F525" s="11" t="n"/>
      <c r="P525" s="7">
        <f>IF($D525="","",O525*X525/100)</f>
        <v/>
      </c>
      <c r="Q525" s="7" t="n"/>
      <c r="W525" s="7" t="n"/>
      <c r="X525" s="7" t="n"/>
      <c r="AA525">
        <f>IF($D525="","",IF($AP525=1,0,IF($AO525=1,Settings!$C$6,Settings!$C$7))*100)</f>
        <v/>
      </c>
      <c r="AB525" s="7">
        <f>IF($D525="","",X525*AA525/100)</f>
        <v/>
      </c>
      <c r="AC525" s="7">
        <f>IF($D525="","",X525-AB525)</f>
        <v/>
      </c>
      <c r="AD525" s="7">
        <f>IF($D525="","",AC525-P525)</f>
        <v/>
      </c>
      <c r="AH525" s="7" t="n"/>
      <c r="AK525" s="11" t="n"/>
      <c r="AM525">
        <f>IF($D525="","",IF(COUNTIF($D$2:$D525,$D525)=1,1,0))</f>
        <v/>
      </c>
      <c r="AN525">
        <f>IF($AM525=1,SUMPRODUCT(--($AQ$2:$AQ$1001&lt;$AQ525))+1,"")</f>
        <v/>
      </c>
      <c r="AO525">
        <f>IF($D525="","",IF(OR($T525=TRUE(),$T525="TRUE"),1,0))</f>
        <v/>
      </c>
      <c r="AP525">
        <f>IF($D525="","",IF($Z525="Yes",1,0))</f>
        <v/>
      </c>
      <c r="AQ525">
        <f>IF($AM525=1,IFERROR(IF(VALUE($D525)&lt;100000000,VALUE($D525),1000000000),IFERROR(IF(VALUE(MID($D525,2,20))&lt;100000000,VALUE(MID($D525,2,20)),1000000000),1000000000))+ROW()/100000,"")</f>
        <v/>
      </c>
    </row>
    <row r="526">
      <c r="F526" s="11" t="n"/>
      <c r="P526" s="7">
        <f>IF($D526="","",O526*X526/100)</f>
        <v/>
      </c>
      <c r="Q526" s="7" t="n"/>
      <c r="W526" s="7" t="n"/>
      <c r="X526" s="7" t="n"/>
      <c r="AA526">
        <f>IF($D526="","",IF($AP526=1,0,IF($AO526=1,Settings!$C$6,Settings!$C$7))*100)</f>
        <v/>
      </c>
      <c r="AB526" s="7">
        <f>IF($D526="","",X526*AA526/100)</f>
        <v/>
      </c>
      <c r="AC526" s="7">
        <f>IF($D526="","",X526-AB526)</f>
        <v/>
      </c>
      <c r="AD526" s="7">
        <f>IF($D526="","",AC526-P526)</f>
        <v/>
      </c>
      <c r="AH526" s="7" t="n"/>
      <c r="AK526" s="11" t="n"/>
      <c r="AM526">
        <f>IF($D526="","",IF(COUNTIF($D$2:$D526,$D526)=1,1,0))</f>
        <v/>
      </c>
      <c r="AN526">
        <f>IF($AM526=1,SUMPRODUCT(--($AQ$2:$AQ$1001&lt;$AQ526))+1,"")</f>
        <v/>
      </c>
      <c r="AO526">
        <f>IF($D526="","",IF(OR($T526=TRUE(),$T526="TRUE"),1,0))</f>
        <v/>
      </c>
      <c r="AP526">
        <f>IF($D526="","",IF($Z526="Yes",1,0))</f>
        <v/>
      </c>
      <c r="AQ526">
        <f>IF($AM526=1,IFERROR(IF(VALUE($D526)&lt;100000000,VALUE($D526),1000000000),IFERROR(IF(VALUE(MID($D526,2,20))&lt;100000000,VALUE(MID($D526,2,20)),1000000000),1000000000))+ROW()/100000,"")</f>
        <v/>
      </c>
    </row>
    <row r="527">
      <c r="F527" s="11" t="n"/>
      <c r="P527" s="7">
        <f>IF($D527="","",O527*X527/100)</f>
        <v/>
      </c>
      <c r="Q527" s="7" t="n"/>
      <c r="W527" s="7" t="n"/>
      <c r="X527" s="7" t="n"/>
      <c r="AA527">
        <f>IF($D527="","",IF($AP527=1,0,IF($AO527=1,Settings!$C$6,Settings!$C$7))*100)</f>
        <v/>
      </c>
      <c r="AB527" s="7">
        <f>IF($D527="","",X527*AA527/100)</f>
        <v/>
      </c>
      <c r="AC527" s="7">
        <f>IF($D527="","",X527-AB527)</f>
        <v/>
      </c>
      <c r="AD527" s="7">
        <f>IF($D527="","",AC527-P527)</f>
        <v/>
      </c>
      <c r="AH527" s="7" t="n"/>
      <c r="AK527" s="11" t="n"/>
      <c r="AM527">
        <f>IF($D527="","",IF(COUNTIF($D$2:$D527,$D527)=1,1,0))</f>
        <v/>
      </c>
      <c r="AN527">
        <f>IF($AM527=1,SUMPRODUCT(--($AQ$2:$AQ$1001&lt;$AQ527))+1,"")</f>
        <v/>
      </c>
      <c r="AO527">
        <f>IF($D527="","",IF(OR($T527=TRUE(),$T527="TRUE"),1,0))</f>
        <v/>
      </c>
      <c r="AP527">
        <f>IF($D527="","",IF($Z527="Yes",1,0))</f>
        <v/>
      </c>
      <c r="AQ527">
        <f>IF($AM527=1,IFERROR(IF(VALUE($D527)&lt;100000000,VALUE($D527),1000000000),IFERROR(IF(VALUE(MID($D527,2,20))&lt;100000000,VALUE(MID($D527,2,20)),1000000000),1000000000))+ROW()/100000,"")</f>
        <v/>
      </c>
    </row>
    <row r="528">
      <c r="F528" s="11" t="n"/>
      <c r="P528" s="7">
        <f>IF($D528="","",O528*X528/100)</f>
        <v/>
      </c>
      <c r="Q528" s="7" t="n"/>
      <c r="W528" s="7" t="n"/>
      <c r="X528" s="7" t="n"/>
      <c r="AA528">
        <f>IF($D528="","",IF($AP528=1,0,IF($AO528=1,Settings!$C$6,Settings!$C$7))*100)</f>
        <v/>
      </c>
      <c r="AB528" s="7">
        <f>IF($D528="","",X528*AA528/100)</f>
        <v/>
      </c>
      <c r="AC528" s="7">
        <f>IF($D528="","",X528-AB528)</f>
        <v/>
      </c>
      <c r="AD528" s="7">
        <f>IF($D528="","",AC528-P528)</f>
        <v/>
      </c>
      <c r="AH528" s="7" t="n"/>
      <c r="AK528" s="11" t="n"/>
      <c r="AM528">
        <f>IF($D528="","",IF(COUNTIF($D$2:$D528,$D528)=1,1,0))</f>
        <v/>
      </c>
      <c r="AN528">
        <f>IF($AM528=1,SUMPRODUCT(--($AQ$2:$AQ$1001&lt;$AQ528))+1,"")</f>
        <v/>
      </c>
      <c r="AO528">
        <f>IF($D528="","",IF(OR($T528=TRUE(),$T528="TRUE"),1,0))</f>
        <v/>
      </c>
      <c r="AP528">
        <f>IF($D528="","",IF($Z528="Yes",1,0))</f>
        <v/>
      </c>
      <c r="AQ528">
        <f>IF($AM528=1,IFERROR(IF(VALUE($D528)&lt;100000000,VALUE($D528),1000000000),IFERROR(IF(VALUE(MID($D528,2,20))&lt;100000000,VALUE(MID($D528,2,20)),1000000000),1000000000))+ROW()/100000,"")</f>
        <v/>
      </c>
    </row>
    <row r="529">
      <c r="F529" s="11" t="n"/>
      <c r="P529" s="7">
        <f>IF($D529="","",O529*X529/100)</f>
        <v/>
      </c>
      <c r="Q529" s="7" t="n"/>
      <c r="W529" s="7" t="n"/>
      <c r="X529" s="7" t="n"/>
      <c r="AA529">
        <f>IF($D529="","",IF($AP529=1,0,IF($AO529=1,Settings!$C$6,Settings!$C$7))*100)</f>
        <v/>
      </c>
      <c r="AB529" s="7">
        <f>IF($D529="","",X529*AA529/100)</f>
        <v/>
      </c>
      <c r="AC529" s="7">
        <f>IF($D529="","",X529-AB529)</f>
        <v/>
      </c>
      <c r="AD529" s="7">
        <f>IF($D529="","",AC529-P529)</f>
        <v/>
      </c>
      <c r="AH529" s="7" t="n"/>
      <c r="AK529" s="11" t="n"/>
      <c r="AM529">
        <f>IF($D529="","",IF(COUNTIF($D$2:$D529,$D529)=1,1,0))</f>
        <v/>
      </c>
      <c r="AN529">
        <f>IF($AM529=1,SUMPRODUCT(--($AQ$2:$AQ$1001&lt;$AQ529))+1,"")</f>
        <v/>
      </c>
      <c r="AO529">
        <f>IF($D529="","",IF(OR($T529=TRUE(),$T529="TRUE"),1,0))</f>
        <v/>
      </c>
      <c r="AP529">
        <f>IF($D529="","",IF($Z529="Yes",1,0))</f>
        <v/>
      </c>
      <c r="AQ529">
        <f>IF($AM529=1,IFERROR(IF(VALUE($D529)&lt;100000000,VALUE($D529),1000000000),IFERROR(IF(VALUE(MID($D529,2,20))&lt;100000000,VALUE(MID($D529,2,20)),1000000000),1000000000))+ROW()/100000,"")</f>
        <v/>
      </c>
    </row>
    <row r="530">
      <c r="F530" s="11" t="n"/>
      <c r="P530" s="7">
        <f>IF($D530="","",O530*X530/100)</f>
        <v/>
      </c>
      <c r="Q530" s="7" t="n"/>
      <c r="W530" s="7" t="n"/>
      <c r="X530" s="7" t="n"/>
      <c r="AA530">
        <f>IF($D530="","",IF($AP530=1,0,IF($AO530=1,Settings!$C$6,Settings!$C$7))*100)</f>
        <v/>
      </c>
      <c r="AB530" s="7">
        <f>IF($D530="","",X530*AA530/100)</f>
        <v/>
      </c>
      <c r="AC530" s="7">
        <f>IF($D530="","",X530-AB530)</f>
        <v/>
      </c>
      <c r="AD530" s="7">
        <f>IF($D530="","",AC530-P530)</f>
        <v/>
      </c>
      <c r="AH530" s="7" t="n"/>
      <c r="AK530" s="11" t="n"/>
      <c r="AM530">
        <f>IF($D530="","",IF(COUNTIF($D$2:$D530,$D530)=1,1,0))</f>
        <v/>
      </c>
      <c r="AN530">
        <f>IF($AM530=1,SUMPRODUCT(--($AQ$2:$AQ$1001&lt;$AQ530))+1,"")</f>
        <v/>
      </c>
      <c r="AO530">
        <f>IF($D530="","",IF(OR($T530=TRUE(),$T530="TRUE"),1,0))</f>
        <v/>
      </c>
      <c r="AP530">
        <f>IF($D530="","",IF($Z530="Yes",1,0))</f>
        <v/>
      </c>
      <c r="AQ530">
        <f>IF($AM530=1,IFERROR(IF(VALUE($D530)&lt;100000000,VALUE($D530),1000000000),IFERROR(IF(VALUE(MID($D530,2,20))&lt;100000000,VALUE(MID($D530,2,20)),1000000000),1000000000))+ROW()/100000,"")</f>
        <v/>
      </c>
    </row>
    <row r="531">
      <c r="F531" s="11" t="n"/>
      <c r="P531" s="7">
        <f>IF($D531="","",O531*X531/100)</f>
        <v/>
      </c>
      <c r="Q531" s="7" t="n"/>
      <c r="W531" s="7" t="n"/>
      <c r="X531" s="7" t="n"/>
      <c r="AA531">
        <f>IF($D531="","",IF($AP531=1,0,IF($AO531=1,Settings!$C$6,Settings!$C$7))*100)</f>
        <v/>
      </c>
      <c r="AB531" s="7">
        <f>IF($D531="","",X531*AA531/100)</f>
        <v/>
      </c>
      <c r="AC531" s="7">
        <f>IF($D531="","",X531-AB531)</f>
        <v/>
      </c>
      <c r="AD531" s="7">
        <f>IF($D531="","",AC531-P531)</f>
        <v/>
      </c>
      <c r="AH531" s="7" t="n"/>
      <c r="AK531" s="11" t="n"/>
      <c r="AM531">
        <f>IF($D531="","",IF(COUNTIF($D$2:$D531,$D531)=1,1,0))</f>
        <v/>
      </c>
      <c r="AN531">
        <f>IF($AM531=1,SUMPRODUCT(--($AQ$2:$AQ$1001&lt;$AQ531))+1,"")</f>
        <v/>
      </c>
      <c r="AO531">
        <f>IF($D531="","",IF(OR($T531=TRUE(),$T531="TRUE"),1,0))</f>
        <v/>
      </c>
      <c r="AP531">
        <f>IF($D531="","",IF($Z531="Yes",1,0))</f>
        <v/>
      </c>
      <c r="AQ531">
        <f>IF($AM531=1,IFERROR(IF(VALUE($D531)&lt;100000000,VALUE($D531),1000000000),IFERROR(IF(VALUE(MID($D531,2,20))&lt;100000000,VALUE(MID($D531,2,20)),1000000000),1000000000))+ROW()/100000,"")</f>
        <v/>
      </c>
    </row>
    <row r="532">
      <c r="F532" s="11" t="n"/>
      <c r="P532" s="7">
        <f>IF($D532="","",O532*X532/100)</f>
        <v/>
      </c>
      <c r="Q532" s="7" t="n"/>
      <c r="W532" s="7" t="n"/>
      <c r="X532" s="7" t="n"/>
      <c r="AA532">
        <f>IF($D532="","",IF($AP532=1,0,IF($AO532=1,Settings!$C$6,Settings!$C$7))*100)</f>
        <v/>
      </c>
      <c r="AB532" s="7">
        <f>IF($D532="","",X532*AA532/100)</f>
        <v/>
      </c>
      <c r="AC532" s="7">
        <f>IF($D532="","",X532-AB532)</f>
        <v/>
      </c>
      <c r="AD532" s="7">
        <f>IF($D532="","",AC532-P532)</f>
        <v/>
      </c>
      <c r="AH532" s="7" t="n"/>
      <c r="AK532" s="11" t="n"/>
      <c r="AM532">
        <f>IF($D532="","",IF(COUNTIF($D$2:$D532,$D532)=1,1,0))</f>
        <v/>
      </c>
      <c r="AN532">
        <f>IF($AM532=1,SUMPRODUCT(--($AQ$2:$AQ$1001&lt;$AQ532))+1,"")</f>
        <v/>
      </c>
      <c r="AO532">
        <f>IF($D532="","",IF(OR($T532=TRUE(),$T532="TRUE"),1,0))</f>
        <v/>
      </c>
      <c r="AP532">
        <f>IF($D532="","",IF($Z532="Yes",1,0))</f>
        <v/>
      </c>
      <c r="AQ532">
        <f>IF($AM532=1,IFERROR(IF(VALUE($D532)&lt;100000000,VALUE($D532),1000000000),IFERROR(IF(VALUE(MID($D532,2,20))&lt;100000000,VALUE(MID($D532,2,20)),1000000000),1000000000))+ROW()/100000,"")</f>
        <v/>
      </c>
    </row>
    <row r="533">
      <c r="F533" s="11" t="n"/>
      <c r="P533" s="7">
        <f>IF($D533="","",O533*X533/100)</f>
        <v/>
      </c>
      <c r="Q533" s="7" t="n"/>
      <c r="W533" s="7" t="n"/>
      <c r="X533" s="7" t="n"/>
      <c r="AA533">
        <f>IF($D533="","",IF($AP533=1,0,IF($AO533=1,Settings!$C$6,Settings!$C$7))*100)</f>
        <v/>
      </c>
      <c r="AB533" s="7">
        <f>IF($D533="","",X533*AA533/100)</f>
        <v/>
      </c>
      <c r="AC533" s="7">
        <f>IF($D533="","",X533-AB533)</f>
        <v/>
      </c>
      <c r="AD533" s="7">
        <f>IF($D533="","",AC533-P533)</f>
        <v/>
      </c>
      <c r="AH533" s="7" t="n"/>
      <c r="AK533" s="11" t="n"/>
      <c r="AM533">
        <f>IF($D533="","",IF(COUNTIF($D$2:$D533,$D533)=1,1,0))</f>
        <v/>
      </c>
      <c r="AN533">
        <f>IF($AM533=1,SUMPRODUCT(--($AQ$2:$AQ$1001&lt;$AQ533))+1,"")</f>
        <v/>
      </c>
      <c r="AO533">
        <f>IF($D533="","",IF(OR($T533=TRUE(),$T533="TRUE"),1,0))</f>
        <v/>
      </c>
      <c r="AP533">
        <f>IF($D533="","",IF($Z533="Yes",1,0))</f>
        <v/>
      </c>
      <c r="AQ533">
        <f>IF($AM533=1,IFERROR(IF(VALUE($D533)&lt;100000000,VALUE($D533),1000000000),IFERROR(IF(VALUE(MID($D533,2,20))&lt;100000000,VALUE(MID($D533,2,20)),1000000000),1000000000))+ROW()/100000,"")</f>
        <v/>
      </c>
    </row>
    <row r="534">
      <c r="F534" s="11" t="n"/>
      <c r="P534" s="7">
        <f>IF($D534="","",O534*X534/100)</f>
        <v/>
      </c>
      <c r="Q534" s="7" t="n"/>
      <c r="W534" s="7" t="n"/>
      <c r="X534" s="7" t="n"/>
      <c r="AA534">
        <f>IF($D534="","",IF($AP534=1,0,IF($AO534=1,Settings!$C$6,Settings!$C$7))*100)</f>
        <v/>
      </c>
      <c r="AB534" s="7">
        <f>IF($D534="","",X534*AA534/100)</f>
        <v/>
      </c>
      <c r="AC534" s="7">
        <f>IF($D534="","",X534-AB534)</f>
        <v/>
      </c>
      <c r="AD534" s="7">
        <f>IF($D534="","",AC534-P534)</f>
        <v/>
      </c>
      <c r="AH534" s="7" t="n"/>
      <c r="AK534" s="11" t="n"/>
      <c r="AM534">
        <f>IF($D534="","",IF(COUNTIF($D$2:$D534,$D534)=1,1,0))</f>
        <v/>
      </c>
      <c r="AN534">
        <f>IF($AM534=1,SUMPRODUCT(--($AQ$2:$AQ$1001&lt;$AQ534))+1,"")</f>
        <v/>
      </c>
      <c r="AO534">
        <f>IF($D534="","",IF(OR($T534=TRUE(),$T534="TRUE"),1,0))</f>
        <v/>
      </c>
      <c r="AP534">
        <f>IF($D534="","",IF($Z534="Yes",1,0))</f>
        <v/>
      </c>
      <c r="AQ534">
        <f>IF($AM534=1,IFERROR(IF(VALUE($D534)&lt;100000000,VALUE($D534),1000000000),IFERROR(IF(VALUE(MID($D534,2,20))&lt;100000000,VALUE(MID($D534,2,20)),1000000000),1000000000))+ROW()/100000,"")</f>
        <v/>
      </c>
    </row>
    <row r="535">
      <c r="F535" s="11" t="n"/>
      <c r="P535" s="7">
        <f>IF($D535="","",O535*X535/100)</f>
        <v/>
      </c>
      <c r="Q535" s="7" t="n"/>
      <c r="W535" s="7" t="n"/>
      <c r="X535" s="7" t="n"/>
      <c r="AA535">
        <f>IF($D535="","",IF($AP535=1,0,IF($AO535=1,Settings!$C$6,Settings!$C$7))*100)</f>
        <v/>
      </c>
      <c r="AB535" s="7">
        <f>IF($D535="","",X535*AA535/100)</f>
        <v/>
      </c>
      <c r="AC535" s="7">
        <f>IF($D535="","",X535-AB535)</f>
        <v/>
      </c>
      <c r="AD535" s="7">
        <f>IF($D535="","",AC535-P535)</f>
        <v/>
      </c>
      <c r="AH535" s="7" t="n"/>
      <c r="AK535" s="11" t="n"/>
      <c r="AM535">
        <f>IF($D535="","",IF(COUNTIF($D$2:$D535,$D535)=1,1,0))</f>
        <v/>
      </c>
      <c r="AN535">
        <f>IF($AM535=1,SUMPRODUCT(--($AQ$2:$AQ$1001&lt;$AQ535))+1,"")</f>
        <v/>
      </c>
      <c r="AO535">
        <f>IF($D535="","",IF(OR($T535=TRUE(),$T535="TRUE"),1,0))</f>
        <v/>
      </c>
      <c r="AP535">
        <f>IF($D535="","",IF($Z535="Yes",1,0))</f>
        <v/>
      </c>
      <c r="AQ535">
        <f>IF($AM535=1,IFERROR(IF(VALUE($D535)&lt;100000000,VALUE($D535),1000000000),IFERROR(IF(VALUE(MID($D535,2,20))&lt;100000000,VALUE(MID($D535,2,20)),1000000000),1000000000))+ROW()/100000,"")</f>
        <v/>
      </c>
    </row>
    <row r="536">
      <c r="F536" s="11" t="n"/>
      <c r="P536" s="7">
        <f>IF($D536="","",O536*X536/100)</f>
        <v/>
      </c>
      <c r="Q536" s="7" t="n"/>
      <c r="W536" s="7" t="n"/>
      <c r="X536" s="7" t="n"/>
      <c r="AA536">
        <f>IF($D536="","",IF($AP536=1,0,IF($AO536=1,Settings!$C$6,Settings!$C$7))*100)</f>
        <v/>
      </c>
      <c r="AB536" s="7">
        <f>IF($D536="","",X536*AA536/100)</f>
        <v/>
      </c>
      <c r="AC536" s="7">
        <f>IF($D536="","",X536-AB536)</f>
        <v/>
      </c>
      <c r="AD536" s="7">
        <f>IF($D536="","",AC536-P536)</f>
        <v/>
      </c>
      <c r="AH536" s="7" t="n"/>
      <c r="AK536" s="11" t="n"/>
      <c r="AM536">
        <f>IF($D536="","",IF(COUNTIF($D$2:$D536,$D536)=1,1,0))</f>
        <v/>
      </c>
      <c r="AN536">
        <f>IF($AM536=1,SUMPRODUCT(--($AQ$2:$AQ$1001&lt;$AQ536))+1,"")</f>
        <v/>
      </c>
      <c r="AO536">
        <f>IF($D536="","",IF(OR($T536=TRUE(),$T536="TRUE"),1,0))</f>
        <v/>
      </c>
      <c r="AP536">
        <f>IF($D536="","",IF($Z536="Yes",1,0))</f>
        <v/>
      </c>
      <c r="AQ536">
        <f>IF($AM536=1,IFERROR(IF(VALUE($D536)&lt;100000000,VALUE($D536),1000000000),IFERROR(IF(VALUE(MID($D536,2,20))&lt;100000000,VALUE(MID($D536,2,20)),1000000000),1000000000))+ROW()/100000,"")</f>
        <v/>
      </c>
    </row>
    <row r="537">
      <c r="F537" s="11" t="n"/>
      <c r="P537" s="7">
        <f>IF($D537="","",O537*X537/100)</f>
        <v/>
      </c>
      <c r="Q537" s="7" t="n"/>
      <c r="W537" s="7" t="n"/>
      <c r="X537" s="7" t="n"/>
      <c r="AA537">
        <f>IF($D537="","",IF($AP537=1,0,IF($AO537=1,Settings!$C$6,Settings!$C$7))*100)</f>
        <v/>
      </c>
      <c r="AB537" s="7">
        <f>IF($D537="","",X537*AA537/100)</f>
        <v/>
      </c>
      <c r="AC537" s="7">
        <f>IF($D537="","",X537-AB537)</f>
        <v/>
      </c>
      <c r="AD537" s="7">
        <f>IF($D537="","",AC537-P537)</f>
        <v/>
      </c>
      <c r="AH537" s="7" t="n"/>
      <c r="AK537" s="11" t="n"/>
      <c r="AM537">
        <f>IF($D537="","",IF(COUNTIF($D$2:$D537,$D537)=1,1,0))</f>
        <v/>
      </c>
      <c r="AN537">
        <f>IF($AM537=1,SUMPRODUCT(--($AQ$2:$AQ$1001&lt;$AQ537))+1,"")</f>
        <v/>
      </c>
      <c r="AO537">
        <f>IF($D537="","",IF(OR($T537=TRUE(),$T537="TRUE"),1,0))</f>
        <v/>
      </c>
      <c r="AP537">
        <f>IF($D537="","",IF($Z537="Yes",1,0))</f>
        <v/>
      </c>
      <c r="AQ537">
        <f>IF($AM537=1,IFERROR(IF(VALUE($D537)&lt;100000000,VALUE($D537),1000000000),IFERROR(IF(VALUE(MID($D537,2,20))&lt;100000000,VALUE(MID($D537,2,20)),1000000000),1000000000))+ROW()/100000,"")</f>
        <v/>
      </c>
    </row>
    <row r="538">
      <c r="F538" s="11" t="n"/>
      <c r="P538" s="7">
        <f>IF($D538="","",O538*X538/100)</f>
        <v/>
      </c>
      <c r="Q538" s="7" t="n"/>
      <c r="W538" s="7" t="n"/>
      <c r="X538" s="7" t="n"/>
      <c r="AA538">
        <f>IF($D538="","",IF($AP538=1,0,IF($AO538=1,Settings!$C$6,Settings!$C$7))*100)</f>
        <v/>
      </c>
      <c r="AB538" s="7">
        <f>IF($D538="","",X538*AA538/100)</f>
        <v/>
      </c>
      <c r="AC538" s="7">
        <f>IF($D538="","",X538-AB538)</f>
        <v/>
      </c>
      <c r="AD538" s="7">
        <f>IF($D538="","",AC538-P538)</f>
        <v/>
      </c>
      <c r="AH538" s="7" t="n"/>
      <c r="AK538" s="11" t="n"/>
      <c r="AM538">
        <f>IF($D538="","",IF(COUNTIF($D$2:$D538,$D538)=1,1,0))</f>
        <v/>
      </c>
      <c r="AN538">
        <f>IF($AM538=1,SUMPRODUCT(--($AQ$2:$AQ$1001&lt;$AQ538))+1,"")</f>
        <v/>
      </c>
      <c r="AO538">
        <f>IF($D538="","",IF(OR($T538=TRUE(),$T538="TRUE"),1,0))</f>
        <v/>
      </c>
      <c r="AP538">
        <f>IF($D538="","",IF($Z538="Yes",1,0))</f>
        <v/>
      </c>
      <c r="AQ538">
        <f>IF($AM538=1,IFERROR(IF(VALUE($D538)&lt;100000000,VALUE($D538),1000000000),IFERROR(IF(VALUE(MID($D538,2,20))&lt;100000000,VALUE(MID($D538,2,20)),1000000000),1000000000))+ROW()/100000,"")</f>
        <v/>
      </c>
    </row>
    <row r="539">
      <c r="F539" s="11" t="n"/>
      <c r="P539" s="7">
        <f>IF($D539="","",O539*X539/100)</f>
        <v/>
      </c>
      <c r="Q539" s="7" t="n"/>
      <c r="W539" s="7" t="n"/>
      <c r="X539" s="7" t="n"/>
      <c r="AA539">
        <f>IF($D539="","",IF($AP539=1,0,IF($AO539=1,Settings!$C$6,Settings!$C$7))*100)</f>
        <v/>
      </c>
      <c r="AB539" s="7">
        <f>IF($D539="","",X539*AA539/100)</f>
        <v/>
      </c>
      <c r="AC539" s="7">
        <f>IF($D539="","",X539-AB539)</f>
        <v/>
      </c>
      <c r="AD539" s="7">
        <f>IF($D539="","",AC539-P539)</f>
        <v/>
      </c>
      <c r="AH539" s="7" t="n"/>
      <c r="AK539" s="11" t="n"/>
      <c r="AM539">
        <f>IF($D539="","",IF(COUNTIF($D$2:$D539,$D539)=1,1,0))</f>
        <v/>
      </c>
      <c r="AN539">
        <f>IF($AM539=1,SUMPRODUCT(--($AQ$2:$AQ$1001&lt;$AQ539))+1,"")</f>
        <v/>
      </c>
      <c r="AO539">
        <f>IF($D539="","",IF(OR($T539=TRUE(),$T539="TRUE"),1,0))</f>
        <v/>
      </c>
      <c r="AP539">
        <f>IF($D539="","",IF($Z539="Yes",1,0))</f>
        <v/>
      </c>
      <c r="AQ539">
        <f>IF($AM539=1,IFERROR(IF(VALUE($D539)&lt;100000000,VALUE($D539),1000000000),IFERROR(IF(VALUE(MID($D539,2,20))&lt;100000000,VALUE(MID($D539,2,20)),1000000000),1000000000))+ROW()/100000,"")</f>
        <v/>
      </c>
    </row>
    <row r="540">
      <c r="F540" s="11" t="n"/>
      <c r="P540" s="7">
        <f>IF($D540="","",O540*X540/100)</f>
        <v/>
      </c>
      <c r="Q540" s="7" t="n"/>
      <c r="W540" s="7" t="n"/>
      <c r="X540" s="7" t="n"/>
      <c r="AA540">
        <f>IF($D540="","",IF($AP540=1,0,IF($AO540=1,Settings!$C$6,Settings!$C$7))*100)</f>
        <v/>
      </c>
      <c r="AB540" s="7">
        <f>IF($D540="","",X540*AA540/100)</f>
        <v/>
      </c>
      <c r="AC540" s="7">
        <f>IF($D540="","",X540-AB540)</f>
        <v/>
      </c>
      <c r="AD540" s="7">
        <f>IF($D540="","",AC540-P540)</f>
        <v/>
      </c>
      <c r="AH540" s="7" t="n"/>
      <c r="AK540" s="11" t="n"/>
      <c r="AM540">
        <f>IF($D540="","",IF(COUNTIF($D$2:$D540,$D540)=1,1,0))</f>
        <v/>
      </c>
      <c r="AN540">
        <f>IF($AM540=1,SUMPRODUCT(--($AQ$2:$AQ$1001&lt;$AQ540))+1,"")</f>
        <v/>
      </c>
      <c r="AO540">
        <f>IF($D540="","",IF(OR($T540=TRUE(),$T540="TRUE"),1,0))</f>
        <v/>
      </c>
      <c r="AP540">
        <f>IF($D540="","",IF($Z540="Yes",1,0))</f>
        <v/>
      </c>
      <c r="AQ540">
        <f>IF($AM540=1,IFERROR(IF(VALUE($D540)&lt;100000000,VALUE($D540),1000000000),IFERROR(IF(VALUE(MID($D540,2,20))&lt;100000000,VALUE(MID($D540,2,20)),1000000000),1000000000))+ROW()/100000,"")</f>
        <v/>
      </c>
    </row>
    <row r="541">
      <c r="F541" s="11" t="n"/>
      <c r="P541" s="7">
        <f>IF($D541="","",O541*X541/100)</f>
        <v/>
      </c>
      <c r="Q541" s="7" t="n"/>
      <c r="W541" s="7" t="n"/>
      <c r="X541" s="7" t="n"/>
      <c r="AA541">
        <f>IF($D541="","",IF($AP541=1,0,IF($AO541=1,Settings!$C$6,Settings!$C$7))*100)</f>
        <v/>
      </c>
      <c r="AB541" s="7">
        <f>IF($D541="","",X541*AA541/100)</f>
        <v/>
      </c>
      <c r="AC541" s="7">
        <f>IF($D541="","",X541-AB541)</f>
        <v/>
      </c>
      <c r="AD541" s="7">
        <f>IF($D541="","",AC541-P541)</f>
        <v/>
      </c>
      <c r="AH541" s="7" t="n"/>
      <c r="AK541" s="11" t="n"/>
      <c r="AM541">
        <f>IF($D541="","",IF(COUNTIF($D$2:$D541,$D541)=1,1,0))</f>
        <v/>
      </c>
      <c r="AN541">
        <f>IF($AM541=1,SUMPRODUCT(--($AQ$2:$AQ$1001&lt;$AQ541))+1,"")</f>
        <v/>
      </c>
      <c r="AO541">
        <f>IF($D541="","",IF(OR($T541=TRUE(),$T541="TRUE"),1,0))</f>
        <v/>
      </c>
      <c r="AP541">
        <f>IF($D541="","",IF($Z541="Yes",1,0))</f>
        <v/>
      </c>
      <c r="AQ541">
        <f>IF($AM541=1,IFERROR(IF(VALUE($D541)&lt;100000000,VALUE($D541),1000000000),IFERROR(IF(VALUE(MID($D541,2,20))&lt;100000000,VALUE(MID($D541,2,20)),1000000000),1000000000))+ROW()/100000,"")</f>
        <v/>
      </c>
    </row>
    <row r="542">
      <c r="F542" s="11" t="n"/>
      <c r="P542" s="7">
        <f>IF($D542="","",O542*X542/100)</f>
        <v/>
      </c>
      <c r="Q542" s="7" t="n"/>
      <c r="W542" s="7" t="n"/>
      <c r="X542" s="7" t="n"/>
      <c r="AA542">
        <f>IF($D542="","",IF($AP542=1,0,IF($AO542=1,Settings!$C$6,Settings!$C$7))*100)</f>
        <v/>
      </c>
      <c r="AB542" s="7">
        <f>IF($D542="","",X542*AA542/100)</f>
        <v/>
      </c>
      <c r="AC542" s="7">
        <f>IF($D542="","",X542-AB542)</f>
        <v/>
      </c>
      <c r="AD542" s="7">
        <f>IF($D542="","",AC542-P542)</f>
        <v/>
      </c>
      <c r="AH542" s="7" t="n"/>
      <c r="AK542" s="11" t="n"/>
      <c r="AM542">
        <f>IF($D542="","",IF(COUNTIF($D$2:$D542,$D542)=1,1,0))</f>
        <v/>
      </c>
      <c r="AN542">
        <f>IF($AM542=1,SUMPRODUCT(--($AQ$2:$AQ$1001&lt;$AQ542))+1,"")</f>
        <v/>
      </c>
      <c r="AO542">
        <f>IF($D542="","",IF(OR($T542=TRUE(),$T542="TRUE"),1,0))</f>
        <v/>
      </c>
      <c r="AP542">
        <f>IF($D542="","",IF($Z542="Yes",1,0))</f>
        <v/>
      </c>
      <c r="AQ542">
        <f>IF($AM542=1,IFERROR(IF(VALUE($D542)&lt;100000000,VALUE($D542),1000000000),IFERROR(IF(VALUE(MID($D542,2,20))&lt;100000000,VALUE(MID($D542,2,20)),1000000000),1000000000))+ROW()/100000,"")</f>
        <v/>
      </c>
    </row>
    <row r="543">
      <c r="F543" s="11" t="n"/>
      <c r="P543" s="7">
        <f>IF($D543="","",O543*X543/100)</f>
        <v/>
      </c>
      <c r="Q543" s="7" t="n"/>
      <c r="W543" s="7" t="n"/>
      <c r="X543" s="7" t="n"/>
      <c r="AA543">
        <f>IF($D543="","",IF($AP543=1,0,IF($AO543=1,Settings!$C$6,Settings!$C$7))*100)</f>
        <v/>
      </c>
      <c r="AB543" s="7">
        <f>IF($D543="","",X543*AA543/100)</f>
        <v/>
      </c>
      <c r="AC543" s="7">
        <f>IF($D543="","",X543-AB543)</f>
        <v/>
      </c>
      <c r="AD543" s="7">
        <f>IF($D543="","",AC543-P543)</f>
        <v/>
      </c>
      <c r="AH543" s="7" t="n"/>
      <c r="AK543" s="11" t="n"/>
      <c r="AM543">
        <f>IF($D543="","",IF(COUNTIF($D$2:$D543,$D543)=1,1,0))</f>
        <v/>
      </c>
      <c r="AN543">
        <f>IF($AM543=1,SUMPRODUCT(--($AQ$2:$AQ$1001&lt;$AQ543))+1,"")</f>
        <v/>
      </c>
      <c r="AO543">
        <f>IF($D543="","",IF(OR($T543=TRUE(),$T543="TRUE"),1,0))</f>
        <v/>
      </c>
      <c r="AP543">
        <f>IF($D543="","",IF($Z543="Yes",1,0))</f>
        <v/>
      </c>
      <c r="AQ543">
        <f>IF($AM543=1,IFERROR(IF(VALUE($D543)&lt;100000000,VALUE($D543),1000000000),IFERROR(IF(VALUE(MID($D543,2,20))&lt;100000000,VALUE(MID($D543,2,20)),1000000000),1000000000))+ROW()/100000,"")</f>
        <v/>
      </c>
    </row>
    <row r="544">
      <c r="F544" s="11" t="n"/>
      <c r="P544" s="7">
        <f>IF($D544="","",O544*X544/100)</f>
        <v/>
      </c>
      <c r="Q544" s="7" t="n"/>
      <c r="W544" s="7" t="n"/>
      <c r="X544" s="7" t="n"/>
      <c r="AA544">
        <f>IF($D544="","",IF($AP544=1,0,IF($AO544=1,Settings!$C$6,Settings!$C$7))*100)</f>
        <v/>
      </c>
      <c r="AB544" s="7">
        <f>IF($D544="","",X544*AA544/100)</f>
        <v/>
      </c>
      <c r="AC544" s="7">
        <f>IF($D544="","",X544-AB544)</f>
        <v/>
      </c>
      <c r="AD544" s="7">
        <f>IF($D544="","",AC544-P544)</f>
        <v/>
      </c>
      <c r="AH544" s="7" t="n"/>
      <c r="AK544" s="11" t="n"/>
      <c r="AM544">
        <f>IF($D544="","",IF(COUNTIF($D$2:$D544,$D544)=1,1,0))</f>
        <v/>
      </c>
      <c r="AN544">
        <f>IF($AM544=1,SUMPRODUCT(--($AQ$2:$AQ$1001&lt;$AQ544))+1,"")</f>
        <v/>
      </c>
      <c r="AO544">
        <f>IF($D544="","",IF(OR($T544=TRUE(),$T544="TRUE"),1,0))</f>
        <v/>
      </c>
      <c r="AP544">
        <f>IF($D544="","",IF($Z544="Yes",1,0))</f>
        <v/>
      </c>
      <c r="AQ544">
        <f>IF($AM544=1,IFERROR(IF(VALUE($D544)&lt;100000000,VALUE($D544),1000000000),IFERROR(IF(VALUE(MID($D544,2,20))&lt;100000000,VALUE(MID($D544,2,20)),1000000000),1000000000))+ROW()/100000,"")</f>
        <v/>
      </c>
    </row>
    <row r="545">
      <c r="F545" s="11" t="n"/>
      <c r="P545" s="7">
        <f>IF($D545="","",O545*X545/100)</f>
        <v/>
      </c>
      <c r="Q545" s="7" t="n"/>
      <c r="W545" s="7" t="n"/>
      <c r="X545" s="7" t="n"/>
      <c r="AA545">
        <f>IF($D545="","",IF($AP545=1,0,IF($AO545=1,Settings!$C$6,Settings!$C$7))*100)</f>
        <v/>
      </c>
      <c r="AB545" s="7">
        <f>IF($D545="","",X545*AA545/100)</f>
        <v/>
      </c>
      <c r="AC545" s="7">
        <f>IF($D545="","",X545-AB545)</f>
        <v/>
      </c>
      <c r="AD545" s="7">
        <f>IF($D545="","",AC545-P545)</f>
        <v/>
      </c>
      <c r="AH545" s="7" t="n"/>
      <c r="AK545" s="11" t="n"/>
      <c r="AM545">
        <f>IF($D545="","",IF(COUNTIF($D$2:$D545,$D545)=1,1,0))</f>
        <v/>
      </c>
      <c r="AN545">
        <f>IF($AM545=1,SUMPRODUCT(--($AQ$2:$AQ$1001&lt;$AQ545))+1,"")</f>
        <v/>
      </c>
      <c r="AO545">
        <f>IF($D545="","",IF(OR($T545=TRUE(),$T545="TRUE"),1,0))</f>
        <v/>
      </c>
      <c r="AP545">
        <f>IF($D545="","",IF($Z545="Yes",1,0))</f>
        <v/>
      </c>
      <c r="AQ545">
        <f>IF($AM545=1,IFERROR(IF(VALUE($D545)&lt;100000000,VALUE($D545),1000000000),IFERROR(IF(VALUE(MID($D545,2,20))&lt;100000000,VALUE(MID($D545,2,20)),1000000000),1000000000))+ROW()/100000,"")</f>
        <v/>
      </c>
    </row>
    <row r="546">
      <c r="F546" s="11" t="n"/>
      <c r="P546" s="7">
        <f>IF($D546="","",O546*X546/100)</f>
        <v/>
      </c>
      <c r="Q546" s="7" t="n"/>
      <c r="W546" s="7" t="n"/>
      <c r="X546" s="7" t="n"/>
      <c r="AA546">
        <f>IF($D546="","",IF($AP546=1,0,IF($AO546=1,Settings!$C$6,Settings!$C$7))*100)</f>
        <v/>
      </c>
      <c r="AB546" s="7">
        <f>IF($D546="","",X546*AA546/100)</f>
        <v/>
      </c>
      <c r="AC546" s="7">
        <f>IF($D546="","",X546-AB546)</f>
        <v/>
      </c>
      <c r="AD546" s="7">
        <f>IF($D546="","",AC546-P546)</f>
        <v/>
      </c>
      <c r="AH546" s="7" t="n"/>
      <c r="AK546" s="11" t="n"/>
      <c r="AM546">
        <f>IF($D546="","",IF(COUNTIF($D$2:$D546,$D546)=1,1,0))</f>
        <v/>
      </c>
      <c r="AN546">
        <f>IF($AM546=1,SUMPRODUCT(--($AQ$2:$AQ$1001&lt;$AQ546))+1,"")</f>
        <v/>
      </c>
      <c r="AO546">
        <f>IF($D546="","",IF(OR($T546=TRUE(),$T546="TRUE"),1,0))</f>
        <v/>
      </c>
      <c r="AP546">
        <f>IF($D546="","",IF($Z546="Yes",1,0))</f>
        <v/>
      </c>
      <c r="AQ546">
        <f>IF($AM546=1,IFERROR(IF(VALUE($D546)&lt;100000000,VALUE($D546),1000000000),IFERROR(IF(VALUE(MID($D546,2,20))&lt;100000000,VALUE(MID($D546,2,20)),1000000000),1000000000))+ROW()/100000,"")</f>
        <v/>
      </c>
    </row>
    <row r="547">
      <c r="F547" s="11" t="n"/>
      <c r="P547" s="7">
        <f>IF($D547="","",O547*X547/100)</f>
        <v/>
      </c>
      <c r="Q547" s="7" t="n"/>
      <c r="W547" s="7" t="n"/>
      <c r="X547" s="7" t="n"/>
      <c r="AA547">
        <f>IF($D547="","",IF($AP547=1,0,IF($AO547=1,Settings!$C$6,Settings!$C$7))*100)</f>
        <v/>
      </c>
      <c r="AB547" s="7">
        <f>IF($D547="","",X547*AA547/100)</f>
        <v/>
      </c>
      <c r="AC547" s="7">
        <f>IF($D547="","",X547-AB547)</f>
        <v/>
      </c>
      <c r="AD547" s="7">
        <f>IF($D547="","",AC547-P547)</f>
        <v/>
      </c>
      <c r="AH547" s="7" t="n"/>
      <c r="AK547" s="11" t="n"/>
      <c r="AM547">
        <f>IF($D547="","",IF(COUNTIF($D$2:$D547,$D547)=1,1,0))</f>
        <v/>
      </c>
      <c r="AN547">
        <f>IF($AM547=1,SUMPRODUCT(--($AQ$2:$AQ$1001&lt;$AQ547))+1,"")</f>
        <v/>
      </c>
      <c r="AO547">
        <f>IF($D547="","",IF(OR($T547=TRUE(),$T547="TRUE"),1,0))</f>
        <v/>
      </c>
      <c r="AP547">
        <f>IF($D547="","",IF($Z547="Yes",1,0))</f>
        <v/>
      </c>
      <c r="AQ547">
        <f>IF($AM547=1,IFERROR(IF(VALUE($D547)&lt;100000000,VALUE($D547),1000000000),IFERROR(IF(VALUE(MID($D547,2,20))&lt;100000000,VALUE(MID($D547,2,20)),1000000000),1000000000))+ROW()/100000,"")</f>
        <v/>
      </c>
    </row>
    <row r="548">
      <c r="F548" s="11" t="n"/>
      <c r="P548" s="7">
        <f>IF($D548="","",O548*X548/100)</f>
        <v/>
      </c>
      <c r="Q548" s="7" t="n"/>
      <c r="W548" s="7" t="n"/>
      <c r="X548" s="7" t="n"/>
      <c r="AA548">
        <f>IF($D548="","",IF($AP548=1,0,IF($AO548=1,Settings!$C$6,Settings!$C$7))*100)</f>
        <v/>
      </c>
      <c r="AB548" s="7">
        <f>IF($D548="","",X548*AA548/100)</f>
        <v/>
      </c>
      <c r="AC548" s="7">
        <f>IF($D548="","",X548-AB548)</f>
        <v/>
      </c>
      <c r="AD548" s="7">
        <f>IF($D548="","",AC548-P548)</f>
        <v/>
      </c>
      <c r="AH548" s="7" t="n"/>
      <c r="AK548" s="11" t="n"/>
      <c r="AM548">
        <f>IF($D548="","",IF(COUNTIF($D$2:$D548,$D548)=1,1,0))</f>
        <v/>
      </c>
      <c r="AN548">
        <f>IF($AM548=1,SUMPRODUCT(--($AQ$2:$AQ$1001&lt;$AQ548))+1,"")</f>
        <v/>
      </c>
      <c r="AO548">
        <f>IF($D548="","",IF(OR($T548=TRUE(),$T548="TRUE"),1,0))</f>
        <v/>
      </c>
      <c r="AP548">
        <f>IF($D548="","",IF($Z548="Yes",1,0))</f>
        <v/>
      </c>
      <c r="AQ548">
        <f>IF($AM548=1,IFERROR(IF(VALUE($D548)&lt;100000000,VALUE($D548),1000000000),IFERROR(IF(VALUE(MID($D548,2,20))&lt;100000000,VALUE(MID($D548,2,20)),1000000000),1000000000))+ROW()/100000,"")</f>
        <v/>
      </c>
    </row>
    <row r="549">
      <c r="F549" s="11" t="n"/>
      <c r="P549" s="7">
        <f>IF($D549="","",O549*X549/100)</f>
        <v/>
      </c>
      <c r="Q549" s="7" t="n"/>
      <c r="W549" s="7" t="n"/>
      <c r="X549" s="7" t="n"/>
      <c r="AA549">
        <f>IF($D549="","",IF($AP549=1,0,IF($AO549=1,Settings!$C$6,Settings!$C$7))*100)</f>
        <v/>
      </c>
      <c r="AB549" s="7">
        <f>IF($D549="","",X549*AA549/100)</f>
        <v/>
      </c>
      <c r="AC549" s="7">
        <f>IF($D549="","",X549-AB549)</f>
        <v/>
      </c>
      <c r="AD549" s="7">
        <f>IF($D549="","",AC549-P549)</f>
        <v/>
      </c>
      <c r="AH549" s="7" t="n"/>
      <c r="AK549" s="11" t="n"/>
      <c r="AM549">
        <f>IF($D549="","",IF(COUNTIF($D$2:$D549,$D549)=1,1,0))</f>
        <v/>
      </c>
      <c r="AN549">
        <f>IF($AM549=1,SUMPRODUCT(--($AQ$2:$AQ$1001&lt;$AQ549))+1,"")</f>
        <v/>
      </c>
      <c r="AO549">
        <f>IF($D549="","",IF(OR($T549=TRUE(),$T549="TRUE"),1,0))</f>
        <v/>
      </c>
      <c r="AP549">
        <f>IF($D549="","",IF($Z549="Yes",1,0))</f>
        <v/>
      </c>
      <c r="AQ549">
        <f>IF($AM549=1,IFERROR(IF(VALUE($D549)&lt;100000000,VALUE($D549),1000000000),IFERROR(IF(VALUE(MID($D549,2,20))&lt;100000000,VALUE(MID($D549,2,20)),1000000000),1000000000))+ROW()/100000,"")</f>
        <v/>
      </c>
    </row>
    <row r="550">
      <c r="F550" s="11" t="n"/>
      <c r="P550" s="7">
        <f>IF($D550="","",O550*X550/100)</f>
        <v/>
      </c>
      <c r="Q550" s="7" t="n"/>
      <c r="W550" s="7" t="n"/>
      <c r="X550" s="7" t="n"/>
      <c r="AA550">
        <f>IF($D550="","",IF($AP550=1,0,IF($AO550=1,Settings!$C$6,Settings!$C$7))*100)</f>
        <v/>
      </c>
      <c r="AB550" s="7">
        <f>IF($D550="","",X550*AA550/100)</f>
        <v/>
      </c>
      <c r="AC550" s="7">
        <f>IF($D550="","",X550-AB550)</f>
        <v/>
      </c>
      <c r="AD550" s="7">
        <f>IF($D550="","",AC550-P550)</f>
        <v/>
      </c>
      <c r="AH550" s="7" t="n"/>
      <c r="AK550" s="11" t="n"/>
      <c r="AM550">
        <f>IF($D550="","",IF(COUNTIF($D$2:$D550,$D550)=1,1,0))</f>
        <v/>
      </c>
      <c r="AN550">
        <f>IF($AM550=1,SUMPRODUCT(--($AQ$2:$AQ$1001&lt;$AQ550))+1,"")</f>
        <v/>
      </c>
      <c r="AO550">
        <f>IF($D550="","",IF(OR($T550=TRUE(),$T550="TRUE"),1,0))</f>
        <v/>
      </c>
      <c r="AP550">
        <f>IF($D550="","",IF($Z550="Yes",1,0))</f>
        <v/>
      </c>
      <c r="AQ550">
        <f>IF($AM550=1,IFERROR(IF(VALUE($D550)&lt;100000000,VALUE($D550),1000000000),IFERROR(IF(VALUE(MID($D550,2,20))&lt;100000000,VALUE(MID($D550,2,20)),1000000000),1000000000))+ROW()/100000,"")</f>
        <v/>
      </c>
    </row>
    <row r="551">
      <c r="F551" s="11" t="n"/>
      <c r="P551" s="7">
        <f>IF($D551="","",O551*X551/100)</f>
        <v/>
      </c>
      <c r="Q551" s="7" t="n"/>
      <c r="W551" s="7" t="n"/>
      <c r="X551" s="7" t="n"/>
      <c r="AA551">
        <f>IF($D551="","",IF($AP551=1,0,IF($AO551=1,Settings!$C$6,Settings!$C$7))*100)</f>
        <v/>
      </c>
      <c r="AB551" s="7">
        <f>IF($D551="","",X551*AA551/100)</f>
        <v/>
      </c>
      <c r="AC551" s="7">
        <f>IF($D551="","",X551-AB551)</f>
        <v/>
      </c>
      <c r="AD551" s="7">
        <f>IF($D551="","",AC551-P551)</f>
        <v/>
      </c>
      <c r="AH551" s="7" t="n"/>
      <c r="AK551" s="11" t="n"/>
      <c r="AM551">
        <f>IF($D551="","",IF(COUNTIF($D$2:$D551,$D551)=1,1,0))</f>
        <v/>
      </c>
      <c r="AN551">
        <f>IF($AM551=1,SUMPRODUCT(--($AQ$2:$AQ$1001&lt;$AQ551))+1,"")</f>
        <v/>
      </c>
      <c r="AO551">
        <f>IF($D551="","",IF(OR($T551=TRUE(),$T551="TRUE"),1,0))</f>
        <v/>
      </c>
      <c r="AP551">
        <f>IF($D551="","",IF($Z551="Yes",1,0))</f>
        <v/>
      </c>
      <c r="AQ551">
        <f>IF($AM551=1,IFERROR(IF(VALUE($D551)&lt;100000000,VALUE($D551),1000000000),IFERROR(IF(VALUE(MID($D551,2,20))&lt;100000000,VALUE(MID($D551,2,20)),1000000000),1000000000))+ROW()/100000,"")</f>
        <v/>
      </c>
    </row>
    <row r="552">
      <c r="F552" s="11" t="n"/>
      <c r="P552" s="7">
        <f>IF($D552="","",O552*X552/100)</f>
        <v/>
      </c>
      <c r="Q552" s="7" t="n"/>
      <c r="W552" s="7" t="n"/>
      <c r="X552" s="7" t="n"/>
      <c r="AA552">
        <f>IF($D552="","",IF($AP552=1,0,IF($AO552=1,Settings!$C$6,Settings!$C$7))*100)</f>
        <v/>
      </c>
      <c r="AB552" s="7">
        <f>IF($D552="","",X552*AA552/100)</f>
        <v/>
      </c>
      <c r="AC552" s="7">
        <f>IF($D552="","",X552-AB552)</f>
        <v/>
      </c>
      <c r="AD552" s="7">
        <f>IF($D552="","",AC552-P552)</f>
        <v/>
      </c>
      <c r="AH552" s="7" t="n"/>
      <c r="AK552" s="11" t="n"/>
      <c r="AM552">
        <f>IF($D552="","",IF(COUNTIF($D$2:$D552,$D552)=1,1,0))</f>
        <v/>
      </c>
      <c r="AN552">
        <f>IF($AM552=1,SUMPRODUCT(--($AQ$2:$AQ$1001&lt;$AQ552))+1,"")</f>
        <v/>
      </c>
      <c r="AO552">
        <f>IF($D552="","",IF(OR($T552=TRUE(),$T552="TRUE"),1,0))</f>
        <v/>
      </c>
      <c r="AP552">
        <f>IF($D552="","",IF($Z552="Yes",1,0))</f>
        <v/>
      </c>
      <c r="AQ552">
        <f>IF($AM552=1,IFERROR(IF(VALUE($D552)&lt;100000000,VALUE($D552),1000000000),IFERROR(IF(VALUE(MID($D552,2,20))&lt;100000000,VALUE(MID($D552,2,20)),1000000000),1000000000))+ROW()/100000,"")</f>
        <v/>
      </c>
    </row>
    <row r="553">
      <c r="F553" s="11" t="n"/>
      <c r="P553" s="7">
        <f>IF($D553="","",O553*X553/100)</f>
        <v/>
      </c>
      <c r="Q553" s="7" t="n"/>
      <c r="W553" s="7" t="n"/>
      <c r="X553" s="7" t="n"/>
      <c r="AA553">
        <f>IF($D553="","",IF($AP553=1,0,IF($AO553=1,Settings!$C$6,Settings!$C$7))*100)</f>
        <v/>
      </c>
      <c r="AB553" s="7">
        <f>IF($D553="","",X553*AA553/100)</f>
        <v/>
      </c>
      <c r="AC553" s="7">
        <f>IF($D553="","",X553-AB553)</f>
        <v/>
      </c>
      <c r="AD553" s="7">
        <f>IF($D553="","",AC553-P553)</f>
        <v/>
      </c>
      <c r="AH553" s="7" t="n"/>
      <c r="AK553" s="11" t="n"/>
      <c r="AM553">
        <f>IF($D553="","",IF(COUNTIF($D$2:$D553,$D553)=1,1,0))</f>
        <v/>
      </c>
      <c r="AN553">
        <f>IF($AM553=1,SUMPRODUCT(--($AQ$2:$AQ$1001&lt;$AQ553))+1,"")</f>
        <v/>
      </c>
      <c r="AO553">
        <f>IF($D553="","",IF(OR($T553=TRUE(),$T553="TRUE"),1,0))</f>
        <v/>
      </c>
      <c r="AP553">
        <f>IF($D553="","",IF($Z553="Yes",1,0))</f>
        <v/>
      </c>
      <c r="AQ553">
        <f>IF($AM553=1,IFERROR(IF(VALUE($D553)&lt;100000000,VALUE($D553),1000000000),IFERROR(IF(VALUE(MID($D553,2,20))&lt;100000000,VALUE(MID($D553,2,20)),1000000000),1000000000))+ROW()/100000,"")</f>
        <v/>
      </c>
    </row>
    <row r="554">
      <c r="F554" s="11" t="n"/>
      <c r="P554" s="7">
        <f>IF($D554="","",O554*X554/100)</f>
        <v/>
      </c>
      <c r="Q554" s="7" t="n"/>
      <c r="W554" s="7" t="n"/>
      <c r="X554" s="7" t="n"/>
      <c r="AA554">
        <f>IF($D554="","",IF($AP554=1,0,IF($AO554=1,Settings!$C$6,Settings!$C$7))*100)</f>
        <v/>
      </c>
      <c r="AB554" s="7">
        <f>IF($D554="","",X554*AA554/100)</f>
        <v/>
      </c>
      <c r="AC554" s="7">
        <f>IF($D554="","",X554-AB554)</f>
        <v/>
      </c>
      <c r="AD554" s="7">
        <f>IF($D554="","",AC554-P554)</f>
        <v/>
      </c>
      <c r="AH554" s="7" t="n"/>
      <c r="AK554" s="11" t="n"/>
      <c r="AM554">
        <f>IF($D554="","",IF(COUNTIF($D$2:$D554,$D554)=1,1,0))</f>
        <v/>
      </c>
      <c r="AN554">
        <f>IF($AM554=1,SUMPRODUCT(--($AQ$2:$AQ$1001&lt;$AQ554))+1,"")</f>
        <v/>
      </c>
      <c r="AO554">
        <f>IF($D554="","",IF(OR($T554=TRUE(),$T554="TRUE"),1,0))</f>
        <v/>
      </c>
      <c r="AP554">
        <f>IF($D554="","",IF($Z554="Yes",1,0))</f>
        <v/>
      </c>
      <c r="AQ554">
        <f>IF($AM554=1,IFERROR(IF(VALUE($D554)&lt;100000000,VALUE($D554),1000000000),IFERROR(IF(VALUE(MID($D554,2,20))&lt;100000000,VALUE(MID($D554,2,20)),1000000000),1000000000))+ROW()/100000,"")</f>
        <v/>
      </c>
    </row>
    <row r="555">
      <c r="F555" s="11" t="n"/>
      <c r="P555" s="7">
        <f>IF($D555="","",O555*X555/100)</f>
        <v/>
      </c>
      <c r="Q555" s="7" t="n"/>
      <c r="W555" s="7" t="n"/>
      <c r="X555" s="7" t="n"/>
      <c r="AA555">
        <f>IF($D555="","",IF($AP555=1,0,IF($AO555=1,Settings!$C$6,Settings!$C$7))*100)</f>
        <v/>
      </c>
      <c r="AB555" s="7">
        <f>IF($D555="","",X555*AA555/100)</f>
        <v/>
      </c>
      <c r="AC555" s="7">
        <f>IF($D555="","",X555-AB555)</f>
        <v/>
      </c>
      <c r="AD555" s="7">
        <f>IF($D555="","",AC555-P555)</f>
        <v/>
      </c>
      <c r="AH555" s="7" t="n"/>
      <c r="AK555" s="11" t="n"/>
      <c r="AM555">
        <f>IF($D555="","",IF(COUNTIF($D$2:$D555,$D555)=1,1,0))</f>
        <v/>
      </c>
      <c r="AN555">
        <f>IF($AM555=1,SUMPRODUCT(--($AQ$2:$AQ$1001&lt;$AQ555))+1,"")</f>
        <v/>
      </c>
      <c r="AO555">
        <f>IF($D555="","",IF(OR($T555=TRUE(),$T555="TRUE"),1,0))</f>
        <v/>
      </c>
      <c r="AP555">
        <f>IF($D555="","",IF($Z555="Yes",1,0))</f>
        <v/>
      </c>
      <c r="AQ555">
        <f>IF($AM555=1,IFERROR(IF(VALUE($D555)&lt;100000000,VALUE($D555),1000000000),IFERROR(IF(VALUE(MID($D555,2,20))&lt;100000000,VALUE(MID($D555,2,20)),1000000000),1000000000))+ROW()/100000,"")</f>
        <v/>
      </c>
    </row>
    <row r="556">
      <c r="F556" s="11" t="n"/>
      <c r="P556" s="7">
        <f>IF($D556="","",O556*X556/100)</f>
        <v/>
      </c>
      <c r="Q556" s="7" t="n"/>
      <c r="W556" s="7" t="n"/>
      <c r="X556" s="7" t="n"/>
      <c r="AA556">
        <f>IF($D556="","",IF($AP556=1,0,IF($AO556=1,Settings!$C$6,Settings!$C$7))*100)</f>
        <v/>
      </c>
      <c r="AB556" s="7">
        <f>IF($D556="","",X556*AA556/100)</f>
        <v/>
      </c>
      <c r="AC556" s="7">
        <f>IF($D556="","",X556-AB556)</f>
        <v/>
      </c>
      <c r="AD556" s="7">
        <f>IF($D556="","",AC556-P556)</f>
        <v/>
      </c>
      <c r="AH556" s="7" t="n"/>
      <c r="AK556" s="11" t="n"/>
      <c r="AM556">
        <f>IF($D556="","",IF(COUNTIF($D$2:$D556,$D556)=1,1,0))</f>
        <v/>
      </c>
      <c r="AN556">
        <f>IF($AM556=1,SUMPRODUCT(--($AQ$2:$AQ$1001&lt;$AQ556))+1,"")</f>
        <v/>
      </c>
      <c r="AO556">
        <f>IF($D556="","",IF(OR($T556=TRUE(),$T556="TRUE"),1,0))</f>
        <v/>
      </c>
      <c r="AP556">
        <f>IF($D556="","",IF($Z556="Yes",1,0))</f>
        <v/>
      </c>
      <c r="AQ556">
        <f>IF($AM556=1,IFERROR(IF(VALUE($D556)&lt;100000000,VALUE($D556),1000000000),IFERROR(IF(VALUE(MID($D556,2,20))&lt;100000000,VALUE(MID($D556,2,20)),1000000000),1000000000))+ROW()/100000,"")</f>
        <v/>
      </c>
    </row>
    <row r="557">
      <c r="F557" s="11" t="n"/>
      <c r="P557" s="7">
        <f>IF($D557="","",O557*X557/100)</f>
        <v/>
      </c>
      <c r="Q557" s="7" t="n"/>
      <c r="W557" s="7" t="n"/>
      <c r="X557" s="7" t="n"/>
      <c r="AA557">
        <f>IF($D557="","",IF($AP557=1,0,IF($AO557=1,Settings!$C$6,Settings!$C$7))*100)</f>
        <v/>
      </c>
      <c r="AB557" s="7">
        <f>IF($D557="","",X557*AA557/100)</f>
        <v/>
      </c>
      <c r="AC557" s="7">
        <f>IF($D557="","",X557-AB557)</f>
        <v/>
      </c>
      <c r="AD557" s="7">
        <f>IF($D557="","",AC557-P557)</f>
        <v/>
      </c>
      <c r="AH557" s="7" t="n"/>
      <c r="AK557" s="11" t="n"/>
      <c r="AM557">
        <f>IF($D557="","",IF(COUNTIF($D$2:$D557,$D557)=1,1,0))</f>
        <v/>
      </c>
      <c r="AN557">
        <f>IF($AM557=1,SUMPRODUCT(--($AQ$2:$AQ$1001&lt;$AQ557))+1,"")</f>
        <v/>
      </c>
      <c r="AO557">
        <f>IF($D557="","",IF(OR($T557=TRUE(),$T557="TRUE"),1,0))</f>
        <v/>
      </c>
      <c r="AP557">
        <f>IF($D557="","",IF($Z557="Yes",1,0))</f>
        <v/>
      </c>
      <c r="AQ557">
        <f>IF($AM557=1,IFERROR(IF(VALUE($D557)&lt;100000000,VALUE($D557),1000000000),IFERROR(IF(VALUE(MID($D557,2,20))&lt;100000000,VALUE(MID($D557,2,20)),1000000000),1000000000))+ROW()/100000,"")</f>
        <v/>
      </c>
    </row>
    <row r="558">
      <c r="F558" s="11" t="n"/>
      <c r="P558" s="7">
        <f>IF($D558="","",O558*X558/100)</f>
        <v/>
      </c>
      <c r="Q558" s="7" t="n"/>
      <c r="W558" s="7" t="n"/>
      <c r="X558" s="7" t="n"/>
      <c r="AA558">
        <f>IF($D558="","",IF($AP558=1,0,IF($AO558=1,Settings!$C$6,Settings!$C$7))*100)</f>
        <v/>
      </c>
      <c r="AB558" s="7">
        <f>IF($D558="","",X558*AA558/100)</f>
        <v/>
      </c>
      <c r="AC558" s="7">
        <f>IF($D558="","",X558-AB558)</f>
        <v/>
      </c>
      <c r="AD558" s="7">
        <f>IF($D558="","",AC558-P558)</f>
        <v/>
      </c>
      <c r="AH558" s="7" t="n"/>
      <c r="AK558" s="11" t="n"/>
      <c r="AM558">
        <f>IF($D558="","",IF(COUNTIF($D$2:$D558,$D558)=1,1,0))</f>
        <v/>
      </c>
      <c r="AN558">
        <f>IF($AM558=1,SUMPRODUCT(--($AQ$2:$AQ$1001&lt;$AQ558))+1,"")</f>
        <v/>
      </c>
      <c r="AO558">
        <f>IF($D558="","",IF(OR($T558=TRUE(),$T558="TRUE"),1,0))</f>
        <v/>
      </c>
      <c r="AP558">
        <f>IF($D558="","",IF($Z558="Yes",1,0))</f>
        <v/>
      </c>
      <c r="AQ558">
        <f>IF($AM558=1,IFERROR(IF(VALUE($D558)&lt;100000000,VALUE($D558),1000000000),IFERROR(IF(VALUE(MID($D558,2,20))&lt;100000000,VALUE(MID($D558,2,20)),1000000000),1000000000))+ROW()/100000,"")</f>
        <v/>
      </c>
    </row>
    <row r="559">
      <c r="F559" s="11" t="n"/>
      <c r="P559" s="7">
        <f>IF($D559="","",O559*X559/100)</f>
        <v/>
      </c>
      <c r="Q559" s="7" t="n"/>
      <c r="W559" s="7" t="n"/>
      <c r="X559" s="7" t="n"/>
      <c r="AA559">
        <f>IF($D559="","",IF($AP559=1,0,IF($AO559=1,Settings!$C$6,Settings!$C$7))*100)</f>
        <v/>
      </c>
      <c r="AB559" s="7">
        <f>IF($D559="","",X559*AA559/100)</f>
        <v/>
      </c>
      <c r="AC559" s="7">
        <f>IF($D559="","",X559-AB559)</f>
        <v/>
      </c>
      <c r="AD559" s="7">
        <f>IF($D559="","",AC559-P559)</f>
        <v/>
      </c>
      <c r="AH559" s="7" t="n"/>
      <c r="AK559" s="11" t="n"/>
      <c r="AM559">
        <f>IF($D559="","",IF(COUNTIF($D$2:$D559,$D559)=1,1,0))</f>
        <v/>
      </c>
      <c r="AN559">
        <f>IF($AM559=1,SUMPRODUCT(--($AQ$2:$AQ$1001&lt;$AQ559))+1,"")</f>
        <v/>
      </c>
      <c r="AO559">
        <f>IF($D559="","",IF(OR($T559=TRUE(),$T559="TRUE"),1,0))</f>
        <v/>
      </c>
      <c r="AP559">
        <f>IF($D559="","",IF($Z559="Yes",1,0))</f>
        <v/>
      </c>
      <c r="AQ559">
        <f>IF($AM559=1,IFERROR(IF(VALUE($D559)&lt;100000000,VALUE($D559),1000000000),IFERROR(IF(VALUE(MID($D559,2,20))&lt;100000000,VALUE(MID($D559,2,20)),1000000000),1000000000))+ROW()/100000,"")</f>
        <v/>
      </c>
    </row>
    <row r="560">
      <c r="F560" s="11" t="n"/>
      <c r="P560" s="7">
        <f>IF($D560="","",O560*X560/100)</f>
        <v/>
      </c>
      <c r="Q560" s="7" t="n"/>
      <c r="W560" s="7" t="n"/>
      <c r="X560" s="7" t="n"/>
      <c r="AA560">
        <f>IF($D560="","",IF($AP560=1,0,IF($AO560=1,Settings!$C$6,Settings!$C$7))*100)</f>
        <v/>
      </c>
      <c r="AB560" s="7">
        <f>IF($D560="","",X560*AA560/100)</f>
        <v/>
      </c>
      <c r="AC560" s="7">
        <f>IF($D560="","",X560-AB560)</f>
        <v/>
      </c>
      <c r="AD560" s="7">
        <f>IF($D560="","",AC560-P560)</f>
        <v/>
      </c>
      <c r="AH560" s="7" t="n"/>
      <c r="AK560" s="11" t="n"/>
      <c r="AM560">
        <f>IF($D560="","",IF(COUNTIF($D$2:$D560,$D560)=1,1,0))</f>
        <v/>
      </c>
      <c r="AN560">
        <f>IF($AM560=1,SUMPRODUCT(--($AQ$2:$AQ$1001&lt;$AQ560))+1,"")</f>
        <v/>
      </c>
      <c r="AO560">
        <f>IF($D560="","",IF(OR($T560=TRUE(),$T560="TRUE"),1,0))</f>
        <v/>
      </c>
      <c r="AP560">
        <f>IF($D560="","",IF($Z560="Yes",1,0))</f>
        <v/>
      </c>
      <c r="AQ560">
        <f>IF($AM560=1,IFERROR(IF(VALUE($D560)&lt;100000000,VALUE($D560),1000000000),IFERROR(IF(VALUE(MID($D560,2,20))&lt;100000000,VALUE(MID($D560,2,20)),1000000000),1000000000))+ROW()/100000,"")</f>
        <v/>
      </c>
    </row>
    <row r="561">
      <c r="F561" s="11" t="n"/>
      <c r="P561" s="7">
        <f>IF($D561="","",O561*X561/100)</f>
        <v/>
      </c>
      <c r="Q561" s="7" t="n"/>
      <c r="W561" s="7" t="n"/>
      <c r="X561" s="7" t="n"/>
      <c r="AA561">
        <f>IF($D561="","",IF($AP561=1,0,IF($AO561=1,Settings!$C$6,Settings!$C$7))*100)</f>
        <v/>
      </c>
      <c r="AB561" s="7">
        <f>IF($D561="","",X561*AA561/100)</f>
        <v/>
      </c>
      <c r="AC561" s="7">
        <f>IF($D561="","",X561-AB561)</f>
        <v/>
      </c>
      <c r="AD561" s="7">
        <f>IF($D561="","",AC561-P561)</f>
        <v/>
      </c>
      <c r="AH561" s="7" t="n"/>
      <c r="AK561" s="11" t="n"/>
      <c r="AM561">
        <f>IF($D561="","",IF(COUNTIF($D$2:$D561,$D561)=1,1,0))</f>
        <v/>
      </c>
      <c r="AN561">
        <f>IF($AM561=1,SUMPRODUCT(--($AQ$2:$AQ$1001&lt;$AQ561))+1,"")</f>
        <v/>
      </c>
      <c r="AO561">
        <f>IF($D561="","",IF(OR($T561=TRUE(),$T561="TRUE"),1,0))</f>
        <v/>
      </c>
      <c r="AP561">
        <f>IF($D561="","",IF($Z561="Yes",1,0))</f>
        <v/>
      </c>
      <c r="AQ561">
        <f>IF($AM561=1,IFERROR(IF(VALUE($D561)&lt;100000000,VALUE($D561),1000000000),IFERROR(IF(VALUE(MID($D561,2,20))&lt;100000000,VALUE(MID($D561,2,20)),1000000000),1000000000))+ROW()/100000,"")</f>
        <v/>
      </c>
    </row>
    <row r="562">
      <c r="F562" s="11" t="n"/>
      <c r="P562" s="7">
        <f>IF($D562="","",O562*X562/100)</f>
        <v/>
      </c>
      <c r="Q562" s="7" t="n"/>
      <c r="W562" s="7" t="n"/>
      <c r="X562" s="7" t="n"/>
      <c r="AA562">
        <f>IF($D562="","",IF($AP562=1,0,IF($AO562=1,Settings!$C$6,Settings!$C$7))*100)</f>
        <v/>
      </c>
      <c r="AB562" s="7">
        <f>IF($D562="","",X562*AA562/100)</f>
        <v/>
      </c>
      <c r="AC562" s="7">
        <f>IF($D562="","",X562-AB562)</f>
        <v/>
      </c>
      <c r="AD562" s="7">
        <f>IF($D562="","",AC562-P562)</f>
        <v/>
      </c>
      <c r="AH562" s="7" t="n"/>
      <c r="AK562" s="11" t="n"/>
      <c r="AM562">
        <f>IF($D562="","",IF(COUNTIF($D$2:$D562,$D562)=1,1,0))</f>
        <v/>
      </c>
      <c r="AN562">
        <f>IF($AM562=1,SUMPRODUCT(--($AQ$2:$AQ$1001&lt;$AQ562))+1,"")</f>
        <v/>
      </c>
      <c r="AO562">
        <f>IF($D562="","",IF(OR($T562=TRUE(),$T562="TRUE"),1,0))</f>
        <v/>
      </c>
      <c r="AP562">
        <f>IF($D562="","",IF($Z562="Yes",1,0))</f>
        <v/>
      </c>
      <c r="AQ562">
        <f>IF($AM562=1,IFERROR(IF(VALUE($D562)&lt;100000000,VALUE($D562),1000000000),IFERROR(IF(VALUE(MID($D562,2,20))&lt;100000000,VALUE(MID($D562,2,20)),1000000000),1000000000))+ROW()/100000,"")</f>
        <v/>
      </c>
    </row>
    <row r="563">
      <c r="F563" s="11" t="n"/>
      <c r="P563" s="7">
        <f>IF($D563="","",O563*X563/100)</f>
        <v/>
      </c>
      <c r="Q563" s="7" t="n"/>
      <c r="W563" s="7" t="n"/>
      <c r="X563" s="7" t="n"/>
      <c r="AA563">
        <f>IF($D563="","",IF($AP563=1,0,IF($AO563=1,Settings!$C$6,Settings!$C$7))*100)</f>
        <v/>
      </c>
      <c r="AB563" s="7">
        <f>IF($D563="","",X563*AA563/100)</f>
        <v/>
      </c>
      <c r="AC563" s="7">
        <f>IF($D563="","",X563-AB563)</f>
        <v/>
      </c>
      <c r="AD563" s="7">
        <f>IF($D563="","",AC563-P563)</f>
        <v/>
      </c>
      <c r="AH563" s="7" t="n"/>
      <c r="AK563" s="11" t="n"/>
      <c r="AM563">
        <f>IF($D563="","",IF(COUNTIF($D$2:$D563,$D563)=1,1,0))</f>
        <v/>
      </c>
      <c r="AN563">
        <f>IF($AM563=1,SUMPRODUCT(--($AQ$2:$AQ$1001&lt;$AQ563))+1,"")</f>
        <v/>
      </c>
      <c r="AO563">
        <f>IF($D563="","",IF(OR($T563=TRUE(),$T563="TRUE"),1,0))</f>
        <v/>
      </c>
      <c r="AP563">
        <f>IF($D563="","",IF($Z563="Yes",1,0))</f>
        <v/>
      </c>
      <c r="AQ563">
        <f>IF($AM563=1,IFERROR(IF(VALUE($D563)&lt;100000000,VALUE($D563),1000000000),IFERROR(IF(VALUE(MID($D563,2,20))&lt;100000000,VALUE(MID($D563,2,20)),1000000000),1000000000))+ROW()/100000,"")</f>
        <v/>
      </c>
    </row>
    <row r="564">
      <c r="F564" s="11" t="n"/>
      <c r="P564" s="7">
        <f>IF($D564="","",O564*X564/100)</f>
        <v/>
      </c>
      <c r="Q564" s="7" t="n"/>
      <c r="W564" s="7" t="n"/>
      <c r="X564" s="7" t="n"/>
      <c r="AA564">
        <f>IF($D564="","",IF($AP564=1,0,IF($AO564=1,Settings!$C$6,Settings!$C$7))*100)</f>
        <v/>
      </c>
      <c r="AB564" s="7">
        <f>IF($D564="","",X564*AA564/100)</f>
        <v/>
      </c>
      <c r="AC564" s="7">
        <f>IF($D564="","",X564-AB564)</f>
        <v/>
      </c>
      <c r="AD564" s="7">
        <f>IF($D564="","",AC564-P564)</f>
        <v/>
      </c>
      <c r="AH564" s="7" t="n"/>
      <c r="AK564" s="11" t="n"/>
      <c r="AM564">
        <f>IF($D564="","",IF(COUNTIF($D$2:$D564,$D564)=1,1,0))</f>
        <v/>
      </c>
      <c r="AN564">
        <f>IF($AM564=1,SUMPRODUCT(--($AQ$2:$AQ$1001&lt;$AQ564))+1,"")</f>
        <v/>
      </c>
      <c r="AO564">
        <f>IF($D564="","",IF(OR($T564=TRUE(),$T564="TRUE"),1,0))</f>
        <v/>
      </c>
      <c r="AP564">
        <f>IF($D564="","",IF($Z564="Yes",1,0))</f>
        <v/>
      </c>
      <c r="AQ564">
        <f>IF($AM564=1,IFERROR(IF(VALUE($D564)&lt;100000000,VALUE($D564),1000000000),IFERROR(IF(VALUE(MID($D564,2,20))&lt;100000000,VALUE(MID($D564,2,20)),1000000000),1000000000))+ROW()/100000,"")</f>
        <v/>
      </c>
    </row>
    <row r="565">
      <c r="F565" s="11" t="n"/>
      <c r="P565" s="7">
        <f>IF($D565="","",O565*X565/100)</f>
        <v/>
      </c>
      <c r="Q565" s="7" t="n"/>
      <c r="W565" s="7" t="n"/>
      <c r="X565" s="7" t="n"/>
      <c r="AA565">
        <f>IF($D565="","",IF($AP565=1,0,IF($AO565=1,Settings!$C$6,Settings!$C$7))*100)</f>
        <v/>
      </c>
      <c r="AB565" s="7">
        <f>IF($D565="","",X565*AA565/100)</f>
        <v/>
      </c>
      <c r="AC565" s="7">
        <f>IF($D565="","",X565-AB565)</f>
        <v/>
      </c>
      <c r="AD565" s="7">
        <f>IF($D565="","",AC565-P565)</f>
        <v/>
      </c>
      <c r="AH565" s="7" t="n"/>
      <c r="AK565" s="11" t="n"/>
      <c r="AM565">
        <f>IF($D565="","",IF(COUNTIF($D$2:$D565,$D565)=1,1,0))</f>
        <v/>
      </c>
      <c r="AN565">
        <f>IF($AM565=1,SUMPRODUCT(--($AQ$2:$AQ$1001&lt;$AQ565))+1,"")</f>
        <v/>
      </c>
      <c r="AO565">
        <f>IF($D565="","",IF(OR($T565=TRUE(),$T565="TRUE"),1,0))</f>
        <v/>
      </c>
      <c r="AP565">
        <f>IF($D565="","",IF($Z565="Yes",1,0))</f>
        <v/>
      </c>
      <c r="AQ565">
        <f>IF($AM565=1,IFERROR(IF(VALUE($D565)&lt;100000000,VALUE($D565),1000000000),IFERROR(IF(VALUE(MID($D565,2,20))&lt;100000000,VALUE(MID($D565,2,20)),1000000000),1000000000))+ROW()/100000,"")</f>
        <v/>
      </c>
    </row>
    <row r="566">
      <c r="F566" s="11" t="n"/>
      <c r="P566" s="7">
        <f>IF($D566="","",O566*X566/100)</f>
        <v/>
      </c>
      <c r="Q566" s="7" t="n"/>
      <c r="W566" s="7" t="n"/>
      <c r="X566" s="7" t="n"/>
      <c r="AA566">
        <f>IF($D566="","",IF($AP566=1,0,IF($AO566=1,Settings!$C$6,Settings!$C$7))*100)</f>
        <v/>
      </c>
      <c r="AB566" s="7">
        <f>IF($D566="","",X566*AA566/100)</f>
        <v/>
      </c>
      <c r="AC566" s="7">
        <f>IF($D566="","",X566-AB566)</f>
        <v/>
      </c>
      <c r="AD566" s="7">
        <f>IF($D566="","",AC566-P566)</f>
        <v/>
      </c>
      <c r="AH566" s="7" t="n"/>
      <c r="AK566" s="11" t="n"/>
      <c r="AM566">
        <f>IF($D566="","",IF(COUNTIF($D$2:$D566,$D566)=1,1,0))</f>
        <v/>
      </c>
      <c r="AN566">
        <f>IF($AM566=1,SUMPRODUCT(--($AQ$2:$AQ$1001&lt;$AQ566))+1,"")</f>
        <v/>
      </c>
      <c r="AO566">
        <f>IF($D566="","",IF(OR($T566=TRUE(),$T566="TRUE"),1,0))</f>
        <v/>
      </c>
      <c r="AP566">
        <f>IF($D566="","",IF($Z566="Yes",1,0))</f>
        <v/>
      </c>
      <c r="AQ566">
        <f>IF($AM566=1,IFERROR(IF(VALUE($D566)&lt;100000000,VALUE($D566),1000000000),IFERROR(IF(VALUE(MID($D566,2,20))&lt;100000000,VALUE(MID($D566,2,20)),1000000000),1000000000))+ROW()/100000,"")</f>
        <v/>
      </c>
    </row>
    <row r="567">
      <c r="F567" s="11" t="n"/>
      <c r="P567" s="7">
        <f>IF($D567="","",O567*X567/100)</f>
        <v/>
      </c>
      <c r="Q567" s="7" t="n"/>
      <c r="W567" s="7" t="n"/>
      <c r="X567" s="7" t="n"/>
      <c r="AA567">
        <f>IF($D567="","",IF($AP567=1,0,IF($AO567=1,Settings!$C$6,Settings!$C$7))*100)</f>
        <v/>
      </c>
      <c r="AB567" s="7">
        <f>IF($D567="","",X567*AA567/100)</f>
        <v/>
      </c>
      <c r="AC567" s="7">
        <f>IF($D567="","",X567-AB567)</f>
        <v/>
      </c>
      <c r="AD567" s="7">
        <f>IF($D567="","",AC567-P567)</f>
        <v/>
      </c>
      <c r="AH567" s="7" t="n"/>
      <c r="AK567" s="11" t="n"/>
      <c r="AM567">
        <f>IF($D567="","",IF(COUNTIF($D$2:$D567,$D567)=1,1,0))</f>
        <v/>
      </c>
      <c r="AN567">
        <f>IF($AM567=1,SUMPRODUCT(--($AQ$2:$AQ$1001&lt;$AQ567))+1,"")</f>
        <v/>
      </c>
      <c r="AO567">
        <f>IF($D567="","",IF(OR($T567=TRUE(),$T567="TRUE"),1,0))</f>
        <v/>
      </c>
      <c r="AP567">
        <f>IF($D567="","",IF($Z567="Yes",1,0))</f>
        <v/>
      </c>
      <c r="AQ567">
        <f>IF($AM567=1,IFERROR(IF(VALUE($D567)&lt;100000000,VALUE($D567),1000000000),IFERROR(IF(VALUE(MID($D567,2,20))&lt;100000000,VALUE(MID($D567,2,20)),1000000000),1000000000))+ROW()/100000,"")</f>
        <v/>
      </c>
    </row>
    <row r="568">
      <c r="F568" s="11" t="n"/>
      <c r="P568" s="7">
        <f>IF($D568="","",O568*X568/100)</f>
        <v/>
      </c>
      <c r="Q568" s="7" t="n"/>
      <c r="W568" s="7" t="n"/>
      <c r="X568" s="7" t="n"/>
      <c r="AA568">
        <f>IF($D568="","",IF($AP568=1,0,IF($AO568=1,Settings!$C$6,Settings!$C$7))*100)</f>
        <v/>
      </c>
      <c r="AB568" s="7">
        <f>IF($D568="","",X568*AA568/100)</f>
        <v/>
      </c>
      <c r="AC568" s="7">
        <f>IF($D568="","",X568-AB568)</f>
        <v/>
      </c>
      <c r="AD568" s="7">
        <f>IF($D568="","",AC568-P568)</f>
        <v/>
      </c>
      <c r="AH568" s="7" t="n"/>
      <c r="AK568" s="11" t="n"/>
      <c r="AM568">
        <f>IF($D568="","",IF(COUNTIF($D$2:$D568,$D568)=1,1,0))</f>
        <v/>
      </c>
      <c r="AN568">
        <f>IF($AM568=1,SUMPRODUCT(--($AQ$2:$AQ$1001&lt;$AQ568))+1,"")</f>
        <v/>
      </c>
      <c r="AO568">
        <f>IF($D568="","",IF(OR($T568=TRUE(),$T568="TRUE"),1,0))</f>
        <v/>
      </c>
      <c r="AP568">
        <f>IF($D568="","",IF($Z568="Yes",1,0))</f>
        <v/>
      </c>
      <c r="AQ568">
        <f>IF($AM568=1,IFERROR(IF(VALUE($D568)&lt;100000000,VALUE($D568),1000000000),IFERROR(IF(VALUE(MID($D568,2,20))&lt;100000000,VALUE(MID($D568,2,20)),1000000000),1000000000))+ROW()/100000,"")</f>
        <v/>
      </c>
    </row>
    <row r="569">
      <c r="F569" s="11" t="n"/>
      <c r="P569" s="7">
        <f>IF($D569="","",O569*X569/100)</f>
        <v/>
      </c>
      <c r="Q569" s="7" t="n"/>
      <c r="W569" s="7" t="n"/>
      <c r="X569" s="7" t="n"/>
      <c r="AA569">
        <f>IF($D569="","",IF($AP569=1,0,IF($AO569=1,Settings!$C$6,Settings!$C$7))*100)</f>
        <v/>
      </c>
      <c r="AB569" s="7">
        <f>IF($D569="","",X569*AA569/100)</f>
        <v/>
      </c>
      <c r="AC569" s="7">
        <f>IF($D569="","",X569-AB569)</f>
        <v/>
      </c>
      <c r="AD569" s="7">
        <f>IF($D569="","",AC569-P569)</f>
        <v/>
      </c>
      <c r="AH569" s="7" t="n"/>
      <c r="AK569" s="11" t="n"/>
      <c r="AM569">
        <f>IF($D569="","",IF(COUNTIF($D$2:$D569,$D569)=1,1,0))</f>
        <v/>
      </c>
      <c r="AN569">
        <f>IF($AM569=1,SUMPRODUCT(--($AQ$2:$AQ$1001&lt;$AQ569))+1,"")</f>
        <v/>
      </c>
      <c r="AO569">
        <f>IF($D569="","",IF(OR($T569=TRUE(),$T569="TRUE"),1,0))</f>
        <v/>
      </c>
      <c r="AP569">
        <f>IF($D569="","",IF($Z569="Yes",1,0))</f>
        <v/>
      </c>
      <c r="AQ569">
        <f>IF($AM569=1,IFERROR(IF(VALUE($D569)&lt;100000000,VALUE($D569),1000000000),IFERROR(IF(VALUE(MID($D569,2,20))&lt;100000000,VALUE(MID($D569,2,20)),1000000000),1000000000))+ROW()/100000,"")</f>
        <v/>
      </c>
    </row>
    <row r="570">
      <c r="F570" s="11" t="n"/>
      <c r="P570" s="7">
        <f>IF($D570="","",O570*X570/100)</f>
        <v/>
      </c>
      <c r="Q570" s="7" t="n"/>
      <c r="W570" s="7" t="n"/>
      <c r="X570" s="7" t="n"/>
      <c r="AA570">
        <f>IF($D570="","",IF($AP570=1,0,IF($AO570=1,Settings!$C$6,Settings!$C$7))*100)</f>
        <v/>
      </c>
      <c r="AB570" s="7">
        <f>IF($D570="","",X570*AA570/100)</f>
        <v/>
      </c>
      <c r="AC570" s="7">
        <f>IF($D570="","",X570-AB570)</f>
        <v/>
      </c>
      <c r="AD570" s="7">
        <f>IF($D570="","",AC570-P570)</f>
        <v/>
      </c>
      <c r="AH570" s="7" t="n"/>
      <c r="AK570" s="11" t="n"/>
      <c r="AM570">
        <f>IF($D570="","",IF(COUNTIF($D$2:$D570,$D570)=1,1,0))</f>
        <v/>
      </c>
      <c r="AN570">
        <f>IF($AM570=1,SUMPRODUCT(--($AQ$2:$AQ$1001&lt;$AQ570))+1,"")</f>
        <v/>
      </c>
      <c r="AO570">
        <f>IF($D570="","",IF(OR($T570=TRUE(),$T570="TRUE"),1,0))</f>
        <v/>
      </c>
      <c r="AP570">
        <f>IF($D570="","",IF($Z570="Yes",1,0))</f>
        <v/>
      </c>
      <c r="AQ570">
        <f>IF($AM570=1,IFERROR(IF(VALUE($D570)&lt;100000000,VALUE($D570),1000000000),IFERROR(IF(VALUE(MID($D570,2,20))&lt;100000000,VALUE(MID($D570,2,20)),1000000000),1000000000))+ROW()/100000,"")</f>
        <v/>
      </c>
    </row>
    <row r="571">
      <c r="F571" s="11" t="n"/>
      <c r="P571" s="7">
        <f>IF($D571="","",O571*X571/100)</f>
        <v/>
      </c>
      <c r="Q571" s="7" t="n"/>
      <c r="W571" s="7" t="n"/>
      <c r="X571" s="7" t="n"/>
      <c r="AA571">
        <f>IF($D571="","",IF($AP571=1,0,IF($AO571=1,Settings!$C$6,Settings!$C$7))*100)</f>
        <v/>
      </c>
      <c r="AB571" s="7">
        <f>IF($D571="","",X571*AA571/100)</f>
        <v/>
      </c>
      <c r="AC571" s="7">
        <f>IF($D571="","",X571-AB571)</f>
        <v/>
      </c>
      <c r="AD571" s="7">
        <f>IF($D571="","",AC571-P571)</f>
        <v/>
      </c>
      <c r="AH571" s="7" t="n"/>
      <c r="AK571" s="11" t="n"/>
      <c r="AM571">
        <f>IF($D571="","",IF(COUNTIF($D$2:$D571,$D571)=1,1,0))</f>
        <v/>
      </c>
      <c r="AN571">
        <f>IF($AM571=1,SUMPRODUCT(--($AQ$2:$AQ$1001&lt;$AQ571))+1,"")</f>
        <v/>
      </c>
      <c r="AO571">
        <f>IF($D571="","",IF(OR($T571=TRUE(),$T571="TRUE"),1,0))</f>
        <v/>
      </c>
      <c r="AP571">
        <f>IF($D571="","",IF($Z571="Yes",1,0))</f>
        <v/>
      </c>
      <c r="AQ571">
        <f>IF($AM571=1,IFERROR(IF(VALUE($D571)&lt;100000000,VALUE($D571),1000000000),IFERROR(IF(VALUE(MID($D571,2,20))&lt;100000000,VALUE(MID($D571,2,20)),1000000000),1000000000))+ROW()/100000,"")</f>
        <v/>
      </c>
    </row>
    <row r="572">
      <c r="F572" s="11" t="n"/>
      <c r="P572" s="7">
        <f>IF($D572="","",O572*X572/100)</f>
        <v/>
      </c>
      <c r="Q572" s="7" t="n"/>
      <c r="W572" s="7" t="n"/>
      <c r="X572" s="7" t="n"/>
      <c r="AA572">
        <f>IF($D572="","",IF($AP572=1,0,IF($AO572=1,Settings!$C$6,Settings!$C$7))*100)</f>
        <v/>
      </c>
      <c r="AB572" s="7">
        <f>IF($D572="","",X572*AA572/100)</f>
        <v/>
      </c>
      <c r="AC572" s="7">
        <f>IF($D572="","",X572-AB572)</f>
        <v/>
      </c>
      <c r="AD572" s="7">
        <f>IF($D572="","",AC572-P572)</f>
        <v/>
      </c>
      <c r="AH572" s="7" t="n"/>
      <c r="AK572" s="11" t="n"/>
      <c r="AM572">
        <f>IF($D572="","",IF(COUNTIF($D$2:$D572,$D572)=1,1,0))</f>
        <v/>
      </c>
      <c r="AN572">
        <f>IF($AM572=1,SUMPRODUCT(--($AQ$2:$AQ$1001&lt;$AQ572))+1,"")</f>
        <v/>
      </c>
      <c r="AO572">
        <f>IF($D572="","",IF(OR($T572=TRUE(),$T572="TRUE"),1,0))</f>
        <v/>
      </c>
      <c r="AP572">
        <f>IF($D572="","",IF($Z572="Yes",1,0))</f>
        <v/>
      </c>
      <c r="AQ572">
        <f>IF($AM572=1,IFERROR(IF(VALUE($D572)&lt;100000000,VALUE($D572),1000000000),IFERROR(IF(VALUE(MID($D572,2,20))&lt;100000000,VALUE(MID($D572,2,20)),1000000000),1000000000))+ROW()/100000,"")</f>
        <v/>
      </c>
    </row>
    <row r="573">
      <c r="F573" s="11" t="n"/>
      <c r="P573" s="7">
        <f>IF($D573="","",O573*X573/100)</f>
        <v/>
      </c>
      <c r="Q573" s="7" t="n"/>
      <c r="W573" s="7" t="n"/>
      <c r="X573" s="7" t="n"/>
      <c r="AA573">
        <f>IF($D573="","",IF($AP573=1,0,IF($AO573=1,Settings!$C$6,Settings!$C$7))*100)</f>
        <v/>
      </c>
      <c r="AB573" s="7">
        <f>IF($D573="","",X573*AA573/100)</f>
        <v/>
      </c>
      <c r="AC573" s="7">
        <f>IF($D573="","",X573-AB573)</f>
        <v/>
      </c>
      <c r="AD573" s="7">
        <f>IF($D573="","",AC573-P573)</f>
        <v/>
      </c>
      <c r="AH573" s="7" t="n"/>
      <c r="AK573" s="11" t="n"/>
      <c r="AM573">
        <f>IF($D573="","",IF(COUNTIF($D$2:$D573,$D573)=1,1,0))</f>
        <v/>
      </c>
      <c r="AN573">
        <f>IF($AM573=1,SUMPRODUCT(--($AQ$2:$AQ$1001&lt;$AQ573))+1,"")</f>
        <v/>
      </c>
      <c r="AO573">
        <f>IF($D573="","",IF(OR($T573=TRUE(),$T573="TRUE"),1,0))</f>
        <v/>
      </c>
      <c r="AP573">
        <f>IF($D573="","",IF($Z573="Yes",1,0))</f>
        <v/>
      </c>
      <c r="AQ573">
        <f>IF($AM573=1,IFERROR(IF(VALUE($D573)&lt;100000000,VALUE($D573),1000000000),IFERROR(IF(VALUE(MID($D573,2,20))&lt;100000000,VALUE(MID($D573,2,20)),1000000000),1000000000))+ROW()/100000,"")</f>
        <v/>
      </c>
    </row>
    <row r="574">
      <c r="F574" s="11" t="n"/>
      <c r="P574" s="7">
        <f>IF($D574="","",O574*X574/100)</f>
        <v/>
      </c>
      <c r="Q574" s="7" t="n"/>
      <c r="W574" s="7" t="n"/>
      <c r="X574" s="7" t="n"/>
      <c r="AA574">
        <f>IF($D574="","",IF($AP574=1,0,IF($AO574=1,Settings!$C$6,Settings!$C$7))*100)</f>
        <v/>
      </c>
      <c r="AB574" s="7">
        <f>IF($D574="","",X574*AA574/100)</f>
        <v/>
      </c>
      <c r="AC574" s="7">
        <f>IF($D574="","",X574-AB574)</f>
        <v/>
      </c>
      <c r="AD574" s="7">
        <f>IF($D574="","",AC574-P574)</f>
        <v/>
      </c>
      <c r="AH574" s="7" t="n"/>
      <c r="AK574" s="11" t="n"/>
      <c r="AM574">
        <f>IF($D574="","",IF(COUNTIF($D$2:$D574,$D574)=1,1,0))</f>
        <v/>
      </c>
      <c r="AN574">
        <f>IF($AM574=1,SUMPRODUCT(--($AQ$2:$AQ$1001&lt;$AQ574))+1,"")</f>
        <v/>
      </c>
      <c r="AO574">
        <f>IF($D574="","",IF(OR($T574=TRUE(),$T574="TRUE"),1,0))</f>
        <v/>
      </c>
      <c r="AP574">
        <f>IF($D574="","",IF($Z574="Yes",1,0))</f>
        <v/>
      </c>
      <c r="AQ574">
        <f>IF($AM574=1,IFERROR(IF(VALUE($D574)&lt;100000000,VALUE($D574),1000000000),IFERROR(IF(VALUE(MID($D574,2,20))&lt;100000000,VALUE(MID($D574,2,20)),1000000000),1000000000))+ROW()/100000,"")</f>
        <v/>
      </c>
    </row>
    <row r="575">
      <c r="F575" s="11" t="n"/>
      <c r="P575" s="7">
        <f>IF($D575="","",O575*X575/100)</f>
        <v/>
      </c>
      <c r="Q575" s="7" t="n"/>
      <c r="W575" s="7" t="n"/>
      <c r="X575" s="7" t="n"/>
      <c r="AA575">
        <f>IF($D575="","",IF($AP575=1,0,IF($AO575=1,Settings!$C$6,Settings!$C$7))*100)</f>
        <v/>
      </c>
      <c r="AB575" s="7">
        <f>IF($D575="","",X575*AA575/100)</f>
        <v/>
      </c>
      <c r="AC575" s="7">
        <f>IF($D575="","",X575-AB575)</f>
        <v/>
      </c>
      <c r="AD575" s="7">
        <f>IF($D575="","",AC575-P575)</f>
        <v/>
      </c>
      <c r="AH575" s="7" t="n"/>
      <c r="AK575" s="11" t="n"/>
      <c r="AM575">
        <f>IF($D575="","",IF(COUNTIF($D$2:$D575,$D575)=1,1,0))</f>
        <v/>
      </c>
      <c r="AN575">
        <f>IF($AM575=1,SUMPRODUCT(--($AQ$2:$AQ$1001&lt;$AQ575))+1,"")</f>
        <v/>
      </c>
      <c r="AO575">
        <f>IF($D575="","",IF(OR($T575=TRUE(),$T575="TRUE"),1,0))</f>
        <v/>
      </c>
      <c r="AP575">
        <f>IF($D575="","",IF($Z575="Yes",1,0))</f>
        <v/>
      </c>
      <c r="AQ575">
        <f>IF($AM575=1,IFERROR(IF(VALUE($D575)&lt;100000000,VALUE($D575),1000000000),IFERROR(IF(VALUE(MID($D575,2,20))&lt;100000000,VALUE(MID($D575,2,20)),1000000000),1000000000))+ROW()/100000,"")</f>
        <v/>
      </c>
    </row>
    <row r="576">
      <c r="F576" s="11" t="n"/>
      <c r="P576" s="7">
        <f>IF($D576="","",O576*X576/100)</f>
        <v/>
      </c>
      <c r="Q576" s="7" t="n"/>
      <c r="W576" s="7" t="n"/>
      <c r="X576" s="7" t="n"/>
      <c r="AA576">
        <f>IF($D576="","",IF($AP576=1,0,IF($AO576=1,Settings!$C$6,Settings!$C$7))*100)</f>
        <v/>
      </c>
      <c r="AB576" s="7">
        <f>IF($D576="","",X576*AA576/100)</f>
        <v/>
      </c>
      <c r="AC576" s="7">
        <f>IF($D576="","",X576-AB576)</f>
        <v/>
      </c>
      <c r="AD576" s="7">
        <f>IF($D576="","",AC576-P576)</f>
        <v/>
      </c>
      <c r="AH576" s="7" t="n"/>
      <c r="AK576" s="11" t="n"/>
      <c r="AM576">
        <f>IF($D576="","",IF(COUNTIF($D$2:$D576,$D576)=1,1,0))</f>
        <v/>
      </c>
      <c r="AN576">
        <f>IF($AM576=1,SUMPRODUCT(--($AQ$2:$AQ$1001&lt;$AQ576))+1,"")</f>
        <v/>
      </c>
      <c r="AO576">
        <f>IF($D576="","",IF(OR($T576=TRUE(),$T576="TRUE"),1,0))</f>
        <v/>
      </c>
      <c r="AP576">
        <f>IF($D576="","",IF($Z576="Yes",1,0))</f>
        <v/>
      </c>
      <c r="AQ576">
        <f>IF($AM576=1,IFERROR(IF(VALUE($D576)&lt;100000000,VALUE($D576),1000000000),IFERROR(IF(VALUE(MID($D576,2,20))&lt;100000000,VALUE(MID($D576,2,20)),1000000000),1000000000))+ROW()/100000,"")</f>
        <v/>
      </c>
    </row>
    <row r="577">
      <c r="F577" s="11" t="n"/>
      <c r="P577" s="7">
        <f>IF($D577="","",O577*X577/100)</f>
        <v/>
      </c>
      <c r="Q577" s="7" t="n"/>
      <c r="W577" s="7" t="n"/>
      <c r="X577" s="7" t="n"/>
      <c r="AA577">
        <f>IF($D577="","",IF($AP577=1,0,IF($AO577=1,Settings!$C$6,Settings!$C$7))*100)</f>
        <v/>
      </c>
      <c r="AB577" s="7">
        <f>IF($D577="","",X577*AA577/100)</f>
        <v/>
      </c>
      <c r="AC577" s="7">
        <f>IF($D577="","",X577-AB577)</f>
        <v/>
      </c>
      <c r="AD577" s="7">
        <f>IF($D577="","",AC577-P577)</f>
        <v/>
      </c>
      <c r="AH577" s="7" t="n"/>
      <c r="AK577" s="11" t="n"/>
      <c r="AM577">
        <f>IF($D577="","",IF(COUNTIF($D$2:$D577,$D577)=1,1,0))</f>
        <v/>
      </c>
      <c r="AN577">
        <f>IF($AM577=1,SUMPRODUCT(--($AQ$2:$AQ$1001&lt;$AQ577))+1,"")</f>
        <v/>
      </c>
      <c r="AO577">
        <f>IF($D577="","",IF(OR($T577=TRUE(),$T577="TRUE"),1,0))</f>
        <v/>
      </c>
      <c r="AP577">
        <f>IF($D577="","",IF($Z577="Yes",1,0))</f>
        <v/>
      </c>
      <c r="AQ577">
        <f>IF($AM577=1,IFERROR(IF(VALUE($D577)&lt;100000000,VALUE($D577),1000000000),IFERROR(IF(VALUE(MID($D577,2,20))&lt;100000000,VALUE(MID($D577,2,20)),1000000000),1000000000))+ROW()/100000,"")</f>
        <v/>
      </c>
    </row>
    <row r="578">
      <c r="F578" s="11" t="n"/>
      <c r="P578" s="7">
        <f>IF($D578="","",O578*X578/100)</f>
        <v/>
      </c>
      <c r="Q578" s="7" t="n"/>
      <c r="W578" s="7" t="n"/>
      <c r="X578" s="7" t="n"/>
      <c r="AA578">
        <f>IF($D578="","",IF($AP578=1,0,IF($AO578=1,Settings!$C$6,Settings!$C$7))*100)</f>
        <v/>
      </c>
      <c r="AB578" s="7">
        <f>IF($D578="","",X578*AA578/100)</f>
        <v/>
      </c>
      <c r="AC578" s="7">
        <f>IF($D578="","",X578-AB578)</f>
        <v/>
      </c>
      <c r="AD578" s="7">
        <f>IF($D578="","",AC578-P578)</f>
        <v/>
      </c>
      <c r="AH578" s="7" t="n"/>
      <c r="AK578" s="11" t="n"/>
      <c r="AM578">
        <f>IF($D578="","",IF(COUNTIF($D$2:$D578,$D578)=1,1,0))</f>
        <v/>
      </c>
      <c r="AN578">
        <f>IF($AM578=1,SUMPRODUCT(--($AQ$2:$AQ$1001&lt;$AQ578))+1,"")</f>
        <v/>
      </c>
      <c r="AO578">
        <f>IF($D578="","",IF(OR($T578=TRUE(),$T578="TRUE"),1,0))</f>
        <v/>
      </c>
      <c r="AP578">
        <f>IF($D578="","",IF($Z578="Yes",1,0))</f>
        <v/>
      </c>
      <c r="AQ578">
        <f>IF($AM578=1,IFERROR(IF(VALUE($D578)&lt;100000000,VALUE($D578),1000000000),IFERROR(IF(VALUE(MID($D578,2,20))&lt;100000000,VALUE(MID($D578,2,20)),1000000000),1000000000))+ROW()/100000,"")</f>
        <v/>
      </c>
    </row>
    <row r="579">
      <c r="F579" s="11" t="n"/>
      <c r="P579" s="7">
        <f>IF($D579="","",O579*X579/100)</f>
        <v/>
      </c>
      <c r="Q579" s="7" t="n"/>
      <c r="W579" s="7" t="n"/>
      <c r="X579" s="7" t="n"/>
      <c r="AA579">
        <f>IF($D579="","",IF($AP579=1,0,IF($AO579=1,Settings!$C$6,Settings!$C$7))*100)</f>
        <v/>
      </c>
      <c r="AB579" s="7">
        <f>IF($D579="","",X579*AA579/100)</f>
        <v/>
      </c>
      <c r="AC579" s="7">
        <f>IF($D579="","",X579-AB579)</f>
        <v/>
      </c>
      <c r="AD579" s="7">
        <f>IF($D579="","",AC579-P579)</f>
        <v/>
      </c>
      <c r="AH579" s="7" t="n"/>
      <c r="AK579" s="11" t="n"/>
      <c r="AM579">
        <f>IF($D579="","",IF(COUNTIF($D$2:$D579,$D579)=1,1,0))</f>
        <v/>
      </c>
      <c r="AN579">
        <f>IF($AM579=1,SUMPRODUCT(--($AQ$2:$AQ$1001&lt;$AQ579))+1,"")</f>
        <v/>
      </c>
      <c r="AO579">
        <f>IF($D579="","",IF(OR($T579=TRUE(),$T579="TRUE"),1,0))</f>
        <v/>
      </c>
      <c r="AP579">
        <f>IF($D579="","",IF($Z579="Yes",1,0))</f>
        <v/>
      </c>
      <c r="AQ579">
        <f>IF($AM579=1,IFERROR(IF(VALUE($D579)&lt;100000000,VALUE($D579),1000000000),IFERROR(IF(VALUE(MID($D579,2,20))&lt;100000000,VALUE(MID($D579,2,20)),1000000000),1000000000))+ROW()/100000,"")</f>
        <v/>
      </c>
    </row>
    <row r="580">
      <c r="F580" s="11" t="n"/>
      <c r="P580" s="7">
        <f>IF($D580="","",O580*X580/100)</f>
        <v/>
      </c>
      <c r="Q580" s="7" t="n"/>
      <c r="W580" s="7" t="n"/>
      <c r="X580" s="7" t="n"/>
      <c r="AA580">
        <f>IF($D580="","",IF($AP580=1,0,IF($AO580=1,Settings!$C$6,Settings!$C$7))*100)</f>
        <v/>
      </c>
      <c r="AB580" s="7">
        <f>IF($D580="","",X580*AA580/100)</f>
        <v/>
      </c>
      <c r="AC580" s="7">
        <f>IF($D580="","",X580-AB580)</f>
        <v/>
      </c>
      <c r="AD580" s="7">
        <f>IF($D580="","",AC580-P580)</f>
        <v/>
      </c>
      <c r="AH580" s="7" t="n"/>
      <c r="AK580" s="11" t="n"/>
      <c r="AM580">
        <f>IF($D580="","",IF(COUNTIF($D$2:$D580,$D580)=1,1,0))</f>
        <v/>
      </c>
      <c r="AN580">
        <f>IF($AM580=1,SUMPRODUCT(--($AQ$2:$AQ$1001&lt;$AQ580))+1,"")</f>
        <v/>
      </c>
      <c r="AO580">
        <f>IF($D580="","",IF(OR($T580=TRUE(),$T580="TRUE"),1,0))</f>
        <v/>
      </c>
      <c r="AP580">
        <f>IF($D580="","",IF($Z580="Yes",1,0))</f>
        <v/>
      </c>
      <c r="AQ580">
        <f>IF($AM580=1,IFERROR(IF(VALUE($D580)&lt;100000000,VALUE($D580),1000000000),IFERROR(IF(VALUE(MID($D580,2,20))&lt;100000000,VALUE(MID($D580,2,20)),1000000000),1000000000))+ROW()/100000,"")</f>
        <v/>
      </c>
    </row>
    <row r="581">
      <c r="F581" s="11" t="n"/>
      <c r="P581" s="7">
        <f>IF($D581="","",O581*X581/100)</f>
        <v/>
      </c>
      <c r="Q581" s="7" t="n"/>
      <c r="W581" s="7" t="n"/>
      <c r="X581" s="7" t="n"/>
      <c r="AA581">
        <f>IF($D581="","",IF($AP581=1,0,IF($AO581=1,Settings!$C$6,Settings!$C$7))*100)</f>
        <v/>
      </c>
      <c r="AB581" s="7">
        <f>IF($D581="","",X581*AA581/100)</f>
        <v/>
      </c>
      <c r="AC581" s="7">
        <f>IF($D581="","",X581-AB581)</f>
        <v/>
      </c>
      <c r="AD581" s="7">
        <f>IF($D581="","",AC581-P581)</f>
        <v/>
      </c>
      <c r="AH581" s="7" t="n"/>
      <c r="AK581" s="11" t="n"/>
      <c r="AM581">
        <f>IF($D581="","",IF(COUNTIF($D$2:$D581,$D581)=1,1,0))</f>
        <v/>
      </c>
      <c r="AN581">
        <f>IF($AM581=1,SUMPRODUCT(--($AQ$2:$AQ$1001&lt;$AQ581))+1,"")</f>
        <v/>
      </c>
      <c r="AO581">
        <f>IF($D581="","",IF(OR($T581=TRUE(),$T581="TRUE"),1,0))</f>
        <v/>
      </c>
      <c r="AP581">
        <f>IF($D581="","",IF($Z581="Yes",1,0))</f>
        <v/>
      </c>
      <c r="AQ581">
        <f>IF($AM581=1,IFERROR(IF(VALUE($D581)&lt;100000000,VALUE($D581),1000000000),IFERROR(IF(VALUE(MID($D581,2,20))&lt;100000000,VALUE(MID($D581,2,20)),1000000000),1000000000))+ROW()/100000,"")</f>
        <v/>
      </c>
    </row>
    <row r="582">
      <c r="F582" s="11" t="n"/>
      <c r="P582" s="7">
        <f>IF($D582="","",O582*X582/100)</f>
        <v/>
      </c>
      <c r="Q582" s="7" t="n"/>
      <c r="W582" s="7" t="n"/>
      <c r="X582" s="7" t="n"/>
      <c r="AA582">
        <f>IF($D582="","",IF($AP582=1,0,IF($AO582=1,Settings!$C$6,Settings!$C$7))*100)</f>
        <v/>
      </c>
      <c r="AB582" s="7">
        <f>IF($D582="","",X582*AA582/100)</f>
        <v/>
      </c>
      <c r="AC582" s="7">
        <f>IF($D582="","",X582-AB582)</f>
        <v/>
      </c>
      <c r="AD582" s="7">
        <f>IF($D582="","",AC582-P582)</f>
        <v/>
      </c>
      <c r="AH582" s="7" t="n"/>
      <c r="AK582" s="11" t="n"/>
      <c r="AM582">
        <f>IF($D582="","",IF(COUNTIF($D$2:$D582,$D582)=1,1,0))</f>
        <v/>
      </c>
      <c r="AN582">
        <f>IF($AM582=1,SUMPRODUCT(--($AQ$2:$AQ$1001&lt;$AQ582))+1,"")</f>
        <v/>
      </c>
      <c r="AO582">
        <f>IF($D582="","",IF(OR($T582=TRUE(),$T582="TRUE"),1,0))</f>
        <v/>
      </c>
      <c r="AP582">
        <f>IF($D582="","",IF($Z582="Yes",1,0))</f>
        <v/>
      </c>
      <c r="AQ582">
        <f>IF($AM582=1,IFERROR(IF(VALUE($D582)&lt;100000000,VALUE($D582),1000000000),IFERROR(IF(VALUE(MID($D582,2,20))&lt;100000000,VALUE(MID($D582,2,20)),1000000000),1000000000))+ROW()/100000,"")</f>
        <v/>
      </c>
    </row>
    <row r="583">
      <c r="F583" s="11" t="n"/>
      <c r="P583" s="7">
        <f>IF($D583="","",O583*X583/100)</f>
        <v/>
      </c>
      <c r="Q583" s="7" t="n"/>
      <c r="W583" s="7" t="n"/>
      <c r="X583" s="7" t="n"/>
      <c r="AA583">
        <f>IF($D583="","",IF($AP583=1,0,IF($AO583=1,Settings!$C$6,Settings!$C$7))*100)</f>
        <v/>
      </c>
      <c r="AB583" s="7">
        <f>IF($D583="","",X583*AA583/100)</f>
        <v/>
      </c>
      <c r="AC583" s="7">
        <f>IF($D583="","",X583-AB583)</f>
        <v/>
      </c>
      <c r="AD583" s="7">
        <f>IF($D583="","",AC583-P583)</f>
        <v/>
      </c>
      <c r="AH583" s="7" t="n"/>
      <c r="AK583" s="11" t="n"/>
      <c r="AM583">
        <f>IF($D583="","",IF(COUNTIF($D$2:$D583,$D583)=1,1,0))</f>
        <v/>
      </c>
      <c r="AN583">
        <f>IF($AM583=1,SUMPRODUCT(--($AQ$2:$AQ$1001&lt;$AQ583))+1,"")</f>
        <v/>
      </c>
      <c r="AO583">
        <f>IF($D583="","",IF(OR($T583=TRUE(),$T583="TRUE"),1,0))</f>
        <v/>
      </c>
      <c r="AP583">
        <f>IF($D583="","",IF($Z583="Yes",1,0))</f>
        <v/>
      </c>
      <c r="AQ583">
        <f>IF($AM583=1,IFERROR(IF(VALUE($D583)&lt;100000000,VALUE($D583),1000000000),IFERROR(IF(VALUE(MID($D583,2,20))&lt;100000000,VALUE(MID($D583,2,20)),1000000000),1000000000))+ROW()/100000,"")</f>
        <v/>
      </c>
    </row>
    <row r="584">
      <c r="F584" s="11" t="n"/>
      <c r="P584" s="7">
        <f>IF($D584="","",O584*X584/100)</f>
        <v/>
      </c>
      <c r="Q584" s="7" t="n"/>
      <c r="W584" s="7" t="n"/>
      <c r="X584" s="7" t="n"/>
      <c r="AA584">
        <f>IF($D584="","",IF($AP584=1,0,IF($AO584=1,Settings!$C$6,Settings!$C$7))*100)</f>
        <v/>
      </c>
      <c r="AB584" s="7">
        <f>IF($D584="","",X584*AA584/100)</f>
        <v/>
      </c>
      <c r="AC584" s="7">
        <f>IF($D584="","",X584-AB584)</f>
        <v/>
      </c>
      <c r="AD584" s="7">
        <f>IF($D584="","",AC584-P584)</f>
        <v/>
      </c>
      <c r="AH584" s="7" t="n"/>
      <c r="AK584" s="11" t="n"/>
      <c r="AM584">
        <f>IF($D584="","",IF(COUNTIF($D$2:$D584,$D584)=1,1,0))</f>
        <v/>
      </c>
      <c r="AN584">
        <f>IF($AM584=1,SUMPRODUCT(--($AQ$2:$AQ$1001&lt;$AQ584))+1,"")</f>
        <v/>
      </c>
      <c r="AO584">
        <f>IF($D584="","",IF(OR($T584=TRUE(),$T584="TRUE"),1,0))</f>
        <v/>
      </c>
      <c r="AP584">
        <f>IF($D584="","",IF($Z584="Yes",1,0))</f>
        <v/>
      </c>
      <c r="AQ584">
        <f>IF($AM584=1,IFERROR(IF(VALUE($D584)&lt;100000000,VALUE($D584),1000000000),IFERROR(IF(VALUE(MID($D584,2,20))&lt;100000000,VALUE(MID($D584,2,20)),1000000000),1000000000))+ROW()/100000,"")</f>
        <v/>
      </c>
    </row>
    <row r="585">
      <c r="F585" s="11" t="n"/>
      <c r="P585" s="7">
        <f>IF($D585="","",O585*X585/100)</f>
        <v/>
      </c>
      <c r="Q585" s="7" t="n"/>
      <c r="W585" s="7" t="n"/>
      <c r="X585" s="7" t="n"/>
      <c r="AA585">
        <f>IF($D585="","",IF($AP585=1,0,IF($AO585=1,Settings!$C$6,Settings!$C$7))*100)</f>
        <v/>
      </c>
      <c r="AB585" s="7">
        <f>IF($D585="","",X585*AA585/100)</f>
        <v/>
      </c>
      <c r="AC585" s="7">
        <f>IF($D585="","",X585-AB585)</f>
        <v/>
      </c>
      <c r="AD585" s="7">
        <f>IF($D585="","",AC585-P585)</f>
        <v/>
      </c>
      <c r="AH585" s="7" t="n"/>
      <c r="AK585" s="11" t="n"/>
      <c r="AM585">
        <f>IF($D585="","",IF(COUNTIF($D$2:$D585,$D585)=1,1,0))</f>
        <v/>
      </c>
      <c r="AN585">
        <f>IF($AM585=1,SUMPRODUCT(--($AQ$2:$AQ$1001&lt;$AQ585))+1,"")</f>
        <v/>
      </c>
      <c r="AO585">
        <f>IF($D585="","",IF(OR($T585=TRUE(),$T585="TRUE"),1,0))</f>
        <v/>
      </c>
      <c r="AP585">
        <f>IF($D585="","",IF($Z585="Yes",1,0))</f>
        <v/>
      </c>
      <c r="AQ585">
        <f>IF($AM585=1,IFERROR(IF(VALUE($D585)&lt;100000000,VALUE($D585),1000000000),IFERROR(IF(VALUE(MID($D585,2,20))&lt;100000000,VALUE(MID($D585,2,20)),1000000000),1000000000))+ROW()/100000,"")</f>
        <v/>
      </c>
    </row>
    <row r="586">
      <c r="F586" s="11" t="n"/>
      <c r="P586" s="7">
        <f>IF($D586="","",O586*X586/100)</f>
        <v/>
      </c>
      <c r="Q586" s="7" t="n"/>
      <c r="W586" s="7" t="n"/>
      <c r="X586" s="7" t="n"/>
      <c r="AA586">
        <f>IF($D586="","",IF($AP586=1,0,IF($AO586=1,Settings!$C$6,Settings!$C$7))*100)</f>
        <v/>
      </c>
      <c r="AB586" s="7">
        <f>IF($D586="","",X586*AA586/100)</f>
        <v/>
      </c>
      <c r="AC586" s="7">
        <f>IF($D586="","",X586-AB586)</f>
        <v/>
      </c>
      <c r="AD586" s="7">
        <f>IF($D586="","",AC586-P586)</f>
        <v/>
      </c>
      <c r="AH586" s="7" t="n"/>
      <c r="AK586" s="11" t="n"/>
      <c r="AM586">
        <f>IF($D586="","",IF(COUNTIF($D$2:$D586,$D586)=1,1,0))</f>
        <v/>
      </c>
      <c r="AN586">
        <f>IF($AM586=1,SUMPRODUCT(--($AQ$2:$AQ$1001&lt;$AQ586))+1,"")</f>
        <v/>
      </c>
      <c r="AO586">
        <f>IF($D586="","",IF(OR($T586=TRUE(),$T586="TRUE"),1,0))</f>
        <v/>
      </c>
      <c r="AP586">
        <f>IF($D586="","",IF($Z586="Yes",1,0))</f>
        <v/>
      </c>
      <c r="AQ586">
        <f>IF($AM586=1,IFERROR(IF(VALUE($D586)&lt;100000000,VALUE($D586),1000000000),IFERROR(IF(VALUE(MID($D586,2,20))&lt;100000000,VALUE(MID($D586,2,20)),1000000000),1000000000))+ROW()/100000,"")</f>
        <v/>
      </c>
    </row>
    <row r="587">
      <c r="F587" s="11" t="n"/>
      <c r="P587" s="7">
        <f>IF($D587="","",O587*X587/100)</f>
        <v/>
      </c>
      <c r="Q587" s="7" t="n"/>
      <c r="W587" s="7" t="n"/>
      <c r="X587" s="7" t="n"/>
      <c r="AA587">
        <f>IF($D587="","",IF($AP587=1,0,IF($AO587=1,Settings!$C$6,Settings!$C$7))*100)</f>
        <v/>
      </c>
      <c r="AB587" s="7">
        <f>IF($D587="","",X587*AA587/100)</f>
        <v/>
      </c>
      <c r="AC587" s="7">
        <f>IF($D587="","",X587-AB587)</f>
        <v/>
      </c>
      <c r="AD587" s="7">
        <f>IF($D587="","",AC587-P587)</f>
        <v/>
      </c>
      <c r="AH587" s="7" t="n"/>
      <c r="AK587" s="11" t="n"/>
      <c r="AM587">
        <f>IF($D587="","",IF(COUNTIF($D$2:$D587,$D587)=1,1,0))</f>
        <v/>
      </c>
      <c r="AN587">
        <f>IF($AM587=1,SUMPRODUCT(--($AQ$2:$AQ$1001&lt;$AQ587))+1,"")</f>
        <v/>
      </c>
      <c r="AO587">
        <f>IF($D587="","",IF(OR($T587=TRUE(),$T587="TRUE"),1,0))</f>
        <v/>
      </c>
      <c r="AP587">
        <f>IF($D587="","",IF($Z587="Yes",1,0))</f>
        <v/>
      </c>
      <c r="AQ587">
        <f>IF($AM587=1,IFERROR(IF(VALUE($D587)&lt;100000000,VALUE($D587),1000000000),IFERROR(IF(VALUE(MID($D587,2,20))&lt;100000000,VALUE(MID($D587,2,20)),1000000000),1000000000))+ROW()/100000,"")</f>
        <v/>
      </c>
    </row>
    <row r="588">
      <c r="F588" s="11" t="n"/>
      <c r="P588" s="7">
        <f>IF($D588="","",O588*X588/100)</f>
        <v/>
      </c>
      <c r="Q588" s="7" t="n"/>
      <c r="W588" s="7" t="n"/>
      <c r="X588" s="7" t="n"/>
      <c r="AA588">
        <f>IF($D588="","",IF($AP588=1,0,IF($AO588=1,Settings!$C$6,Settings!$C$7))*100)</f>
        <v/>
      </c>
      <c r="AB588" s="7">
        <f>IF($D588="","",X588*AA588/100)</f>
        <v/>
      </c>
      <c r="AC588" s="7">
        <f>IF($D588="","",X588-AB588)</f>
        <v/>
      </c>
      <c r="AD588" s="7">
        <f>IF($D588="","",AC588-P588)</f>
        <v/>
      </c>
      <c r="AH588" s="7" t="n"/>
      <c r="AK588" s="11" t="n"/>
      <c r="AM588">
        <f>IF($D588="","",IF(COUNTIF($D$2:$D588,$D588)=1,1,0))</f>
        <v/>
      </c>
      <c r="AN588">
        <f>IF($AM588=1,SUMPRODUCT(--($AQ$2:$AQ$1001&lt;$AQ588))+1,"")</f>
        <v/>
      </c>
      <c r="AO588">
        <f>IF($D588="","",IF(OR($T588=TRUE(),$T588="TRUE"),1,0))</f>
        <v/>
      </c>
      <c r="AP588">
        <f>IF($D588="","",IF($Z588="Yes",1,0))</f>
        <v/>
      </c>
      <c r="AQ588">
        <f>IF($AM588=1,IFERROR(IF(VALUE($D588)&lt;100000000,VALUE($D588),1000000000),IFERROR(IF(VALUE(MID($D588,2,20))&lt;100000000,VALUE(MID($D588,2,20)),1000000000),1000000000))+ROW()/100000,"")</f>
        <v/>
      </c>
    </row>
    <row r="589">
      <c r="F589" s="11" t="n"/>
      <c r="P589" s="7">
        <f>IF($D589="","",O589*X589/100)</f>
        <v/>
      </c>
      <c r="Q589" s="7" t="n"/>
      <c r="W589" s="7" t="n"/>
      <c r="X589" s="7" t="n"/>
      <c r="AA589">
        <f>IF($D589="","",IF($AP589=1,0,IF($AO589=1,Settings!$C$6,Settings!$C$7))*100)</f>
        <v/>
      </c>
      <c r="AB589" s="7">
        <f>IF($D589="","",X589*AA589/100)</f>
        <v/>
      </c>
      <c r="AC589" s="7">
        <f>IF($D589="","",X589-AB589)</f>
        <v/>
      </c>
      <c r="AD589" s="7">
        <f>IF($D589="","",AC589-P589)</f>
        <v/>
      </c>
      <c r="AH589" s="7" t="n"/>
      <c r="AK589" s="11" t="n"/>
      <c r="AM589">
        <f>IF($D589="","",IF(COUNTIF($D$2:$D589,$D589)=1,1,0))</f>
        <v/>
      </c>
      <c r="AN589">
        <f>IF($AM589=1,SUMPRODUCT(--($AQ$2:$AQ$1001&lt;$AQ589))+1,"")</f>
        <v/>
      </c>
      <c r="AO589">
        <f>IF($D589="","",IF(OR($T589=TRUE(),$T589="TRUE"),1,0))</f>
        <v/>
      </c>
      <c r="AP589">
        <f>IF($D589="","",IF($Z589="Yes",1,0))</f>
        <v/>
      </c>
      <c r="AQ589">
        <f>IF($AM589=1,IFERROR(IF(VALUE($D589)&lt;100000000,VALUE($D589),1000000000),IFERROR(IF(VALUE(MID($D589,2,20))&lt;100000000,VALUE(MID($D589,2,20)),1000000000),1000000000))+ROW()/100000,"")</f>
        <v/>
      </c>
    </row>
    <row r="590">
      <c r="F590" s="11" t="n"/>
      <c r="P590" s="7">
        <f>IF($D590="","",O590*X590/100)</f>
        <v/>
      </c>
      <c r="Q590" s="7" t="n"/>
      <c r="W590" s="7" t="n"/>
      <c r="X590" s="7" t="n"/>
      <c r="AA590">
        <f>IF($D590="","",IF($AP590=1,0,IF($AO590=1,Settings!$C$6,Settings!$C$7))*100)</f>
        <v/>
      </c>
      <c r="AB590" s="7">
        <f>IF($D590="","",X590*AA590/100)</f>
        <v/>
      </c>
      <c r="AC590" s="7">
        <f>IF($D590="","",X590-AB590)</f>
        <v/>
      </c>
      <c r="AD590" s="7">
        <f>IF($D590="","",AC590-P590)</f>
        <v/>
      </c>
      <c r="AH590" s="7" t="n"/>
      <c r="AK590" s="11" t="n"/>
      <c r="AM590">
        <f>IF($D590="","",IF(COUNTIF($D$2:$D590,$D590)=1,1,0))</f>
        <v/>
      </c>
      <c r="AN590">
        <f>IF($AM590=1,SUMPRODUCT(--($AQ$2:$AQ$1001&lt;$AQ590))+1,"")</f>
        <v/>
      </c>
      <c r="AO590">
        <f>IF($D590="","",IF(OR($T590=TRUE(),$T590="TRUE"),1,0))</f>
        <v/>
      </c>
      <c r="AP590">
        <f>IF($D590="","",IF($Z590="Yes",1,0))</f>
        <v/>
      </c>
      <c r="AQ590">
        <f>IF($AM590=1,IFERROR(IF(VALUE($D590)&lt;100000000,VALUE($D590),1000000000),IFERROR(IF(VALUE(MID($D590,2,20))&lt;100000000,VALUE(MID($D590,2,20)),1000000000),1000000000))+ROW()/100000,"")</f>
        <v/>
      </c>
    </row>
    <row r="591">
      <c r="F591" s="11" t="n"/>
      <c r="P591" s="7">
        <f>IF($D591="","",O591*X591/100)</f>
        <v/>
      </c>
      <c r="Q591" s="7" t="n"/>
      <c r="W591" s="7" t="n"/>
      <c r="X591" s="7" t="n"/>
      <c r="AA591">
        <f>IF($D591="","",IF($AP591=1,0,IF($AO591=1,Settings!$C$6,Settings!$C$7))*100)</f>
        <v/>
      </c>
      <c r="AB591" s="7">
        <f>IF($D591="","",X591*AA591/100)</f>
        <v/>
      </c>
      <c r="AC591" s="7">
        <f>IF($D591="","",X591-AB591)</f>
        <v/>
      </c>
      <c r="AD591" s="7">
        <f>IF($D591="","",AC591-P591)</f>
        <v/>
      </c>
      <c r="AH591" s="7" t="n"/>
      <c r="AK591" s="11" t="n"/>
      <c r="AM591">
        <f>IF($D591="","",IF(COUNTIF($D$2:$D591,$D591)=1,1,0))</f>
        <v/>
      </c>
      <c r="AN591">
        <f>IF($AM591=1,SUMPRODUCT(--($AQ$2:$AQ$1001&lt;$AQ591))+1,"")</f>
        <v/>
      </c>
      <c r="AO591">
        <f>IF($D591="","",IF(OR($T591=TRUE(),$T591="TRUE"),1,0))</f>
        <v/>
      </c>
      <c r="AP591">
        <f>IF($D591="","",IF($Z591="Yes",1,0))</f>
        <v/>
      </c>
      <c r="AQ591">
        <f>IF($AM591=1,IFERROR(IF(VALUE($D591)&lt;100000000,VALUE($D591),1000000000),IFERROR(IF(VALUE(MID($D591,2,20))&lt;100000000,VALUE(MID($D591,2,20)),1000000000),1000000000))+ROW()/100000,"")</f>
        <v/>
      </c>
    </row>
    <row r="592">
      <c r="F592" s="11" t="n"/>
      <c r="P592" s="7">
        <f>IF($D592="","",O592*X592/100)</f>
        <v/>
      </c>
      <c r="Q592" s="7" t="n"/>
      <c r="W592" s="7" t="n"/>
      <c r="X592" s="7" t="n"/>
      <c r="AA592">
        <f>IF($D592="","",IF($AP592=1,0,IF($AO592=1,Settings!$C$6,Settings!$C$7))*100)</f>
        <v/>
      </c>
      <c r="AB592" s="7">
        <f>IF($D592="","",X592*AA592/100)</f>
        <v/>
      </c>
      <c r="AC592" s="7">
        <f>IF($D592="","",X592-AB592)</f>
        <v/>
      </c>
      <c r="AD592" s="7">
        <f>IF($D592="","",AC592-P592)</f>
        <v/>
      </c>
      <c r="AH592" s="7" t="n"/>
      <c r="AK592" s="11" t="n"/>
      <c r="AM592">
        <f>IF($D592="","",IF(COUNTIF($D$2:$D592,$D592)=1,1,0))</f>
        <v/>
      </c>
      <c r="AN592">
        <f>IF($AM592=1,SUMPRODUCT(--($AQ$2:$AQ$1001&lt;$AQ592))+1,"")</f>
        <v/>
      </c>
      <c r="AO592">
        <f>IF($D592="","",IF(OR($T592=TRUE(),$T592="TRUE"),1,0))</f>
        <v/>
      </c>
      <c r="AP592">
        <f>IF($D592="","",IF($Z592="Yes",1,0))</f>
        <v/>
      </c>
      <c r="AQ592">
        <f>IF($AM592=1,IFERROR(IF(VALUE($D592)&lt;100000000,VALUE($D592),1000000000),IFERROR(IF(VALUE(MID($D592,2,20))&lt;100000000,VALUE(MID($D592,2,20)),1000000000),1000000000))+ROW()/100000,"")</f>
        <v/>
      </c>
    </row>
    <row r="593">
      <c r="F593" s="11" t="n"/>
      <c r="P593" s="7">
        <f>IF($D593="","",O593*X593/100)</f>
        <v/>
      </c>
      <c r="Q593" s="7" t="n"/>
      <c r="W593" s="7" t="n"/>
      <c r="X593" s="7" t="n"/>
      <c r="AA593">
        <f>IF($D593="","",IF($AP593=1,0,IF($AO593=1,Settings!$C$6,Settings!$C$7))*100)</f>
        <v/>
      </c>
      <c r="AB593" s="7">
        <f>IF($D593="","",X593*AA593/100)</f>
        <v/>
      </c>
      <c r="AC593" s="7">
        <f>IF($D593="","",X593-AB593)</f>
        <v/>
      </c>
      <c r="AD593" s="7">
        <f>IF($D593="","",AC593-P593)</f>
        <v/>
      </c>
      <c r="AH593" s="7" t="n"/>
      <c r="AK593" s="11" t="n"/>
      <c r="AM593">
        <f>IF($D593="","",IF(COUNTIF($D$2:$D593,$D593)=1,1,0))</f>
        <v/>
      </c>
      <c r="AN593">
        <f>IF($AM593=1,SUMPRODUCT(--($AQ$2:$AQ$1001&lt;$AQ593))+1,"")</f>
        <v/>
      </c>
      <c r="AO593">
        <f>IF($D593="","",IF(OR($T593=TRUE(),$T593="TRUE"),1,0))</f>
        <v/>
      </c>
      <c r="AP593">
        <f>IF($D593="","",IF($Z593="Yes",1,0))</f>
        <v/>
      </c>
      <c r="AQ593">
        <f>IF($AM593=1,IFERROR(IF(VALUE($D593)&lt;100000000,VALUE($D593),1000000000),IFERROR(IF(VALUE(MID($D593,2,20))&lt;100000000,VALUE(MID($D593,2,20)),1000000000),1000000000))+ROW()/100000,"")</f>
        <v/>
      </c>
    </row>
    <row r="594">
      <c r="F594" s="11" t="n"/>
      <c r="P594" s="7">
        <f>IF($D594="","",O594*X594/100)</f>
        <v/>
      </c>
      <c r="Q594" s="7" t="n"/>
      <c r="W594" s="7" t="n"/>
      <c r="X594" s="7" t="n"/>
      <c r="AA594">
        <f>IF($D594="","",IF($AP594=1,0,IF($AO594=1,Settings!$C$6,Settings!$C$7))*100)</f>
        <v/>
      </c>
      <c r="AB594" s="7">
        <f>IF($D594="","",X594*AA594/100)</f>
        <v/>
      </c>
      <c r="AC594" s="7">
        <f>IF($D594="","",X594-AB594)</f>
        <v/>
      </c>
      <c r="AD594" s="7">
        <f>IF($D594="","",AC594-P594)</f>
        <v/>
      </c>
      <c r="AH594" s="7" t="n"/>
      <c r="AK594" s="11" t="n"/>
      <c r="AM594">
        <f>IF($D594="","",IF(COUNTIF($D$2:$D594,$D594)=1,1,0))</f>
        <v/>
      </c>
      <c r="AN594">
        <f>IF($AM594=1,SUMPRODUCT(--($AQ$2:$AQ$1001&lt;$AQ594))+1,"")</f>
        <v/>
      </c>
      <c r="AO594">
        <f>IF($D594="","",IF(OR($T594=TRUE(),$T594="TRUE"),1,0))</f>
        <v/>
      </c>
      <c r="AP594">
        <f>IF($D594="","",IF($Z594="Yes",1,0))</f>
        <v/>
      </c>
      <c r="AQ594">
        <f>IF($AM594=1,IFERROR(IF(VALUE($D594)&lt;100000000,VALUE($D594),1000000000),IFERROR(IF(VALUE(MID($D594,2,20))&lt;100000000,VALUE(MID($D594,2,20)),1000000000),1000000000))+ROW()/100000,"")</f>
        <v/>
      </c>
    </row>
    <row r="595">
      <c r="F595" s="11" t="n"/>
      <c r="P595" s="7">
        <f>IF($D595="","",O595*X595/100)</f>
        <v/>
      </c>
      <c r="Q595" s="7" t="n"/>
      <c r="W595" s="7" t="n"/>
      <c r="X595" s="7" t="n"/>
      <c r="AA595">
        <f>IF($D595="","",IF($AP595=1,0,IF($AO595=1,Settings!$C$6,Settings!$C$7))*100)</f>
        <v/>
      </c>
      <c r="AB595" s="7">
        <f>IF($D595="","",X595*AA595/100)</f>
        <v/>
      </c>
      <c r="AC595" s="7">
        <f>IF($D595="","",X595-AB595)</f>
        <v/>
      </c>
      <c r="AD595" s="7">
        <f>IF($D595="","",AC595-P595)</f>
        <v/>
      </c>
      <c r="AH595" s="7" t="n"/>
      <c r="AK595" s="11" t="n"/>
      <c r="AM595">
        <f>IF($D595="","",IF(COUNTIF($D$2:$D595,$D595)=1,1,0))</f>
        <v/>
      </c>
      <c r="AN595">
        <f>IF($AM595=1,SUMPRODUCT(--($AQ$2:$AQ$1001&lt;$AQ595))+1,"")</f>
        <v/>
      </c>
      <c r="AO595">
        <f>IF($D595="","",IF(OR($T595=TRUE(),$T595="TRUE"),1,0))</f>
        <v/>
      </c>
      <c r="AP595">
        <f>IF($D595="","",IF($Z595="Yes",1,0))</f>
        <v/>
      </c>
      <c r="AQ595">
        <f>IF($AM595=1,IFERROR(IF(VALUE($D595)&lt;100000000,VALUE($D595),1000000000),IFERROR(IF(VALUE(MID($D595,2,20))&lt;100000000,VALUE(MID($D595,2,20)),1000000000),1000000000))+ROW()/100000,"")</f>
        <v/>
      </c>
    </row>
    <row r="596">
      <c r="F596" s="11" t="n"/>
      <c r="P596" s="7">
        <f>IF($D596="","",O596*X596/100)</f>
        <v/>
      </c>
      <c r="Q596" s="7" t="n"/>
      <c r="W596" s="7" t="n"/>
      <c r="X596" s="7" t="n"/>
      <c r="AA596">
        <f>IF($D596="","",IF($AP596=1,0,IF($AO596=1,Settings!$C$6,Settings!$C$7))*100)</f>
        <v/>
      </c>
      <c r="AB596" s="7">
        <f>IF($D596="","",X596*AA596/100)</f>
        <v/>
      </c>
      <c r="AC596" s="7">
        <f>IF($D596="","",X596-AB596)</f>
        <v/>
      </c>
      <c r="AD596" s="7">
        <f>IF($D596="","",AC596-P596)</f>
        <v/>
      </c>
      <c r="AH596" s="7" t="n"/>
      <c r="AK596" s="11" t="n"/>
      <c r="AM596">
        <f>IF($D596="","",IF(COUNTIF($D$2:$D596,$D596)=1,1,0))</f>
        <v/>
      </c>
      <c r="AN596">
        <f>IF($AM596=1,SUMPRODUCT(--($AQ$2:$AQ$1001&lt;$AQ596))+1,"")</f>
        <v/>
      </c>
      <c r="AO596">
        <f>IF($D596="","",IF(OR($T596=TRUE(),$T596="TRUE"),1,0))</f>
        <v/>
      </c>
      <c r="AP596">
        <f>IF($D596="","",IF($Z596="Yes",1,0))</f>
        <v/>
      </c>
      <c r="AQ596">
        <f>IF($AM596=1,IFERROR(IF(VALUE($D596)&lt;100000000,VALUE($D596),1000000000),IFERROR(IF(VALUE(MID($D596,2,20))&lt;100000000,VALUE(MID($D596,2,20)),1000000000),1000000000))+ROW()/100000,"")</f>
        <v/>
      </c>
    </row>
    <row r="597">
      <c r="F597" s="11" t="n"/>
      <c r="P597" s="7">
        <f>IF($D597="","",O597*X597/100)</f>
        <v/>
      </c>
      <c r="Q597" s="7" t="n"/>
      <c r="W597" s="7" t="n"/>
      <c r="X597" s="7" t="n"/>
      <c r="AA597">
        <f>IF($D597="","",IF($AP597=1,0,IF($AO597=1,Settings!$C$6,Settings!$C$7))*100)</f>
        <v/>
      </c>
      <c r="AB597" s="7">
        <f>IF($D597="","",X597*AA597/100)</f>
        <v/>
      </c>
      <c r="AC597" s="7">
        <f>IF($D597="","",X597-AB597)</f>
        <v/>
      </c>
      <c r="AD597" s="7">
        <f>IF($D597="","",AC597-P597)</f>
        <v/>
      </c>
      <c r="AH597" s="7" t="n"/>
      <c r="AK597" s="11" t="n"/>
      <c r="AM597">
        <f>IF($D597="","",IF(COUNTIF($D$2:$D597,$D597)=1,1,0))</f>
        <v/>
      </c>
      <c r="AN597">
        <f>IF($AM597=1,SUMPRODUCT(--($AQ$2:$AQ$1001&lt;$AQ597))+1,"")</f>
        <v/>
      </c>
      <c r="AO597">
        <f>IF($D597="","",IF(OR($T597=TRUE(),$T597="TRUE"),1,0))</f>
        <v/>
      </c>
      <c r="AP597">
        <f>IF($D597="","",IF($Z597="Yes",1,0))</f>
        <v/>
      </c>
      <c r="AQ597">
        <f>IF($AM597=1,IFERROR(IF(VALUE($D597)&lt;100000000,VALUE($D597),1000000000),IFERROR(IF(VALUE(MID($D597,2,20))&lt;100000000,VALUE(MID($D597,2,20)),1000000000),1000000000))+ROW()/100000,"")</f>
        <v/>
      </c>
    </row>
    <row r="598">
      <c r="F598" s="11" t="n"/>
      <c r="P598" s="7">
        <f>IF($D598="","",O598*X598/100)</f>
        <v/>
      </c>
      <c r="Q598" s="7" t="n"/>
      <c r="W598" s="7" t="n"/>
      <c r="X598" s="7" t="n"/>
      <c r="AA598">
        <f>IF($D598="","",IF($AP598=1,0,IF($AO598=1,Settings!$C$6,Settings!$C$7))*100)</f>
        <v/>
      </c>
      <c r="AB598" s="7">
        <f>IF($D598="","",X598*AA598/100)</f>
        <v/>
      </c>
      <c r="AC598" s="7">
        <f>IF($D598="","",X598-AB598)</f>
        <v/>
      </c>
      <c r="AD598" s="7">
        <f>IF($D598="","",AC598-P598)</f>
        <v/>
      </c>
      <c r="AH598" s="7" t="n"/>
      <c r="AK598" s="11" t="n"/>
      <c r="AM598">
        <f>IF($D598="","",IF(COUNTIF($D$2:$D598,$D598)=1,1,0))</f>
        <v/>
      </c>
      <c r="AN598">
        <f>IF($AM598=1,SUMPRODUCT(--($AQ$2:$AQ$1001&lt;$AQ598))+1,"")</f>
        <v/>
      </c>
      <c r="AO598">
        <f>IF($D598="","",IF(OR($T598=TRUE(),$T598="TRUE"),1,0))</f>
        <v/>
      </c>
      <c r="AP598">
        <f>IF($D598="","",IF($Z598="Yes",1,0))</f>
        <v/>
      </c>
      <c r="AQ598">
        <f>IF($AM598=1,IFERROR(IF(VALUE($D598)&lt;100000000,VALUE($D598),1000000000),IFERROR(IF(VALUE(MID($D598,2,20))&lt;100000000,VALUE(MID($D598,2,20)),1000000000),1000000000))+ROW()/100000,"")</f>
        <v/>
      </c>
    </row>
    <row r="599">
      <c r="F599" s="11" t="n"/>
      <c r="P599" s="7">
        <f>IF($D599="","",O599*X599/100)</f>
        <v/>
      </c>
      <c r="Q599" s="7" t="n"/>
      <c r="W599" s="7" t="n"/>
      <c r="X599" s="7" t="n"/>
      <c r="AA599">
        <f>IF($D599="","",IF($AP599=1,0,IF($AO599=1,Settings!$C$6,Settings!$C$7))*100)</f>
        <v/>
      </c>
      <c r="AB599" s="7">
        <f>IF($D599="","",X599*AA599/100)</f>
        <v/>
      </c>
      <c r="AC599" s="7">
        <f>IF($D599="","",X599-AB599)</f>
        <v/>
      </c>
      <c r="AD599" s="7">
        <f>IF($D599="","",AC599-P599)</f>
        <v/>
      </c>
      <c r="AH599" s="7" t="n"/>
      <c r="AK599" s="11" t="n"/>
      <c r="AM599">
        <f>IF($D599="","",IF(COUNTIF($D$2:$D599,$D599)=1,1,0))</f>
        <v/>
      </c>
      <c r="AN599">
        <f>IF($AM599=1,SUMPRODUCT(--($AQ$2:$AQ$1001&lt;$AQ599))+1,"")</f>
        <v/>
      </c>
      <c r="AO599">
        <f>IF($D599="","",IF(OR($T599=TRUE(),$T599="TRUE"),1,0))</f>
        <v/>
      </c>
      <c r="AP599">
        <f>IF($D599="","",IF($Z599="Yes",1,0))</f>
        <v/>
      </c>
      <c r="AQ599">
        <f>IF($AM599=1,IFERROR(IF(VALUE($D599)&lt;100000000,VALUE($D599),1000000000),IFERROR(IF(VALUE(MID($D599,2,20))&lt;100000000,VALUE(MID($D599,2,20)),1000000000),1000000000))+ROW()/100000,"")</f>
        <v/>
      </c>
    </row>
    <row r="600">
      <c r="F600" s="11" t="n"/>
      <c r="P600" s="7">
        <f>IF($D600="","",O600*X600/100)</f>
        <v/>
      </c>
      <c r="Q600" s="7" t="n"/>
      <c r="W600" s="7" t="n"/>
      <c r="X600" s="7" t="n"/>
      <c r="AA600">
        <f>IF($D600="","",IF($AP600=1,0,IF($AO600=1,Settings!$C$6,Settings!$C$7))*100)</f>
        <v/>
      </c>
      <c r="AB600" s="7">
        <f>IF($D600="","",X600*AA600/100)</f>
        <v/>
      </c>
      <c r="AC600" s="7">
        <f>IF($D600="","",X600-AB600)</f>
        <v/>
      </c>
      <c r="AD600" s="7">
        <f>IF($D600="","",AC600-P600)</f>
        <v/>
      </c>
      <c r="AH600" s="7" t="n"/>
      <c r="AK600" s="11" t="n"/>
      <c r="AM600">
        <f>IF($D600="","",IF(COUNTIF($D$2:$D600,$D600)=1,1,0))</f>
        <v/>
      </c>
      <c r="AN600">
        <f>IF($AM600=1,SUMPRODUCT(--($AQ$2:$AQ$1001&lt;$AQ600))+1,"")</f>
        <v/>
      </c>
      <c r="AO600">
        <f>IF($D600="","",IF(OR($T600=TRUE(),$T600="TRUE"),1,0))</f>
        <v/>
      </c>
      <c r="AP600">
        <f>IF($D600="","",IF($Z600="Yes",1,0))</f>
        <v/>
      </c>
      <c r="AQ600">
        <f>IF($AM600=1,IFERROR(IF(VALUE($D600)&lt;100000000,VALUE($D600),1000000000),IFERROR(IF(VALUE(MID($D600,2,20))&lt;100000000,VALUE(MID($D600,2,20)),1000000000),1000000000))+ROW()/100000,"")</f>
        <v/>
      </c>
    </row>
    <row r="601">
      <c r="F601" s="11" t="n"/>
      <c r="P601" s="7">
        <f>IF($D601="","",O601*X601/100)</f>
        <v/>
      </c>
      <c r="Q601" s="7" t="n"/>
      <c r="W601" s="7" t="n"/>
      <c r="X601" s="7" t="n"/>
      <c r="AA601">
        <f>IF($D601="","",IF($AP601=1,0,IF($AO601=1,Settings!$C$6,Settings!$C$7))*100)</f>
        <v/>
      </c>
      <c r="AB601" s="7">
        <f>IF($D601="","",X601*AA601/100)</f>
        <v/>
      </c>
      <c r="AC601" s="7">
        <f>IF($D601="","",X601-AB601)</f>
        <v/>
      </c>
      <c r="AD601" s="7">
        <f>IF($D601="","",AC601-P601)</f>
        <v/>
      </c>
      <c r="AH601" s="7" t="n"/>
      <c r="AK601" s="11" t="n"/>
      <c r="AM601">
        <f>IF($D601="","",IF(COUNTIF($D$2:$D601,$D601)=1,1,0))</f>
        <v/>
      </c>
      <c r="AN601">
        <f>IF($AM601=1,SUMPRODUCT(--($AQ$2:$AQ$1001&lt;$AQ601))+1,"")</f>
        <v/>
      </c>
      <c r="AO601">
        <f>IF($D601="","",IF(OR($T601=TRUE(),$T601="TRUE"),1,0))</f>
        <v/>
      </c>
      <c r="AP601">
        <f>IF($D601="","",IF($Z601="Yes",1,0))</f>
        <v/>
      </c>
      <c r="AQ601">
        <f>IF($AM601=1,IFERROR(IF(VALUE($D601)&lt;100000000,VALUE($D601),1000000000),IFERROR(IF(VALUE(MID($D601,2,20))&lt;100000000,VALUE(MID($D601,2,20)),1000000000),1000000000))+ROW()/100000,"")</f>
        <v/>
      </c>
    </row>
    <row r="602">
      <c r="F602" s="11" t="n"/>
      <c r="P602" s="7">
        <f>IF($D602="","",O602*X602/100)</f>
        <v/>
      </c>
      <c r="Q602" s="7" t="n"/>
      <c r="W602" s="7" t="n"/>
      <c r="X602" s="7" t="n"/>
      <c r="AA602">
        <f>IF($D602="","",IF($AP602=1,0,IF($AO602=1,Settings!$C$6,Settings!$C$7))*100)</f>
        <v/>
      </c>
      <c r="AB602" s="7">
        <f>IF($D602="","",X602*AA602/100)</f>
        <v/>
      </c>
      <c r="AC602" s="7">
        <f>IF($D602="","",X602-AB602)</f>
        <v/>
      </c>
      <c r="AD602" s="7">
        <f>IF($D602="","",AC602-P602)</f>
        <v/>
      </c>
      <c r="AH602" s="7" t="n"/>
      <c r="AK602" s="11" t="n"/>
      <c r="AM602">
        <f>IF($D602="","",IF(COUNTIF($D$2:$D602,$D602)=1,1,0))</f>
        <v/>
      </c>
      <c r="AN602">
        <f>IF($AM602=1,SUMPRODUCT(--($AQ$2:$AQ$1001&lt;$AQ602))+1,"")</f>
        <v/>
      </c>
      <c r="AO602">
        <f>IF($D602="","",IF(OR($T602=TRUE(),$T602="TRUE"),1,0))</f>
        <v/>
      </c>
      <c r="AP602">
        <f>IF($D602="","",IF($Z602="Yes",1,0))</f>
        <v/>
      </c>
      <c r="AQ602">
        <f>IF($AM602=1,IFERROR(IF(VALUE($D602)&lt;100000000,VALUE($D602),1000000000),IFERROR(IF(VALUE(MID($D602,2,20))&lt;100000000,VALUE(MID($D602,2,20)),1000000000),1000000000))+ROW()/100000,"")</f>
        <v/>
      </c>
    </row>
    <row r="603">
      <c r="F603" s="11" t="n"/>
      <c r="P603" s="7">
        <f>IF($D603="","",O603*X603/100)</f>
        <v/>
      </c>
      <c r="Q603" s="7" t="n"/>
      <c r="W603" s="7" t="n"/>
      <c r="X603" s="7" t="n"/>
      <c r="AA603">
        <f>IF($D603="","",IF($AP603=1,0,IF($AO603=1,Settings!$C$6,Settings!$C$7))*100)</f>
        <v/>
      </c>
      <c r="AB603" s="7">
        <f>IF($D603="","",X603*AA603/100)</f>
        <v/>
      </c>
      <c r="AC603" s="7">
        <f>IF($D603="","",X603-AB603)</f>
        <v/>
      </c>
      <c r="AD603" s="7">
        <f>IF($D603="","",AC603-P603)</f>
        <v/>
      </c>
      <c r="AH603" s="7" t="n"/>
      <c r="AK603" s="11" t="n"/>
      <c r="AM603">
        <f>IF($D603="","",IF(COUNTIF($D$2:$D603,$D603)=1,1,0))</f>
        <v/>
      </c>
      <c r="AN603">
        <f>IF($AM603=1,SUMPRODUCT(--($AQ$2:$AQ$1001&lt;$AQ603))+1,"")</f>
        <v/>
      </c>
      <c r="AO603">
        <f>IF($D603="","",IF(OR($T603=TRUE(),$T603="TRUE"),1,0))</f>
        <v/>
      </c>
      <c r="AP603">
        <f>IF($D603="","",IF($Z603="Yes",1,0))</f>
        <v/>
      </c>
      <c r="AQ603">
        <f>IF($AM603=1,IFERROR(IF(VALUE($D603)&lt;100000000,VALUE($D603),1000000000),IFERROR(IF(VALUE(MID($D603,2,20))&lt;100000000,VALUE(MID($D603,2,20)),1000000000),1000000000))+ROW()/100000,"")</f>
        <v/>
      </c>
    </row>
    <row r="604">
      <c r="F604" s="11" t="n"/>
      <c r="P604" s="7">
        <f>IF($D604="","",O604*X604/100)</f>
        <v/>
      </c>
      <c r="Q604" s="7" t="n"/>
      <c r="W604" s="7" t="n"/>
      <c r="X604" s="7" t="n"/>
      <c r="AA604">
        <f>IF($D604="","",IF($AP604=1,0,IF($AO604=1,Settings!$C$6,Settings!$C$7))*100)</f>
        <v/>
      </c>
      <c r="AB604" s="7">
        <f>IF($D604="","",X604*AA604/100)</f>
        <v/>
      </c>
      <c r="AC604" s="7">
        <f>IF($D604="","",X604-AB604)</f>
        <v/>
      </c>
      <c r="AD604" s="7">
        <f>IF($D604="","",AC604-P604)</f>
        <v/>
      </c>
      <c r="AH604" s="7" t="n"/>
      <c r="AK604" s="11" t="n"/>
      <c r="AM604">
        <f>IF($D604="","",IF(COUNTIF($D$2:$D604,$D604)=1,1,0))</f>
        <v/>
      </c>
      <c r="AN604">
        <f>IF($AM604=1,SUMPRODUCT(--($AQ$2:$AQ$1001&lt;$AQ604))+1,"")</f>
        <v/>
      </c>
      <c r="AO604">
        <f>IF($D604="","",IF(OR($T604=TRUE(),$T604="TRUE"),1,0))</f>
        <v/>
      </c>
      <c r="AP604">
        <f>IF($D604="","",IF($Z604="Yes",1,0))</f>
        <v/>
      </c>
      <c r="AQ604">
        <f>IF($AM604=1,IFERROR(IF(VALUE($D604)&lt;100000000,VALUE($D604),1000000000),IFERROR(IF(VALUE(MID($D604,2,20))&lt;100000000,VALUE(MID($D604,2,20)),1000000000),1000000000))+ROW()/100000,"")</f>
        <v/>
      </c>
    </row>
    <row r="605">
      <c r="F605" s="11" t="n"/>
      <c r="P605" s="7">
        <f>IF($D605="","",O605*X605/100)</f>
        <v/>
      </c>
      <c r="Q605" s="7" t="n"/>
      <c r="W605" s="7" t="n"/>
      <c r="X605" s="7" t="n"/>
      <c r="AA605">
        <f>IF($D605="","",IF($AP605=1,0,IF($AO605=1,Settings!$C$6,Settings!$C$7))*100)</f>
        <v/>
      </c>
      <c r="AB605" s="7">
        <f>IF($D605="","",X605*AA605/100)</f>
        <v/>
      </c>
      <c r="AC605" s="7">
        <f>IF($D605="","",X605-AB605)</f>
        <v/>
      </c>
      <c r="AD605" s="7">
        <f>IF($D605="","",AC605-P605)</f>
        <v/>
      </c>
      <c r="AH605" s="7" t="n"/>
      <c r="AK605" s="11" t="n"/>
      <c r="AM605">
        <f>IF($D605="","",IF(COUNTIF($D$2:$D605,$D605)=1,1,0))</f>
        <v/>
      </c>
      <c r="AN605">
        <f>IF($AM605=1,SUMPRODUCT(--($AQ$2:$AQ$1001&lt;$AQ605))+1,"")</f>
        <v/>
      </c>
      <c r="AO605">
        <f>IF($D605="","",IF(OR($T605=TRUE(),$T605="TRUE"),1,0))</f>
        <v/>
      </c>
      <c r="AP605">
        <f>IF($D605="","",IF($Z605="Yes",1,0))</f>
        <v/>
      </c>
      <c r="AQ605">
        <f>IF($AM605=1,IFERROR(IF(VALUE($D605)&lt;100000000,VALUE($D605),1000000000),IFERROR(IF(VALUE(MID($D605,2,20))&lt;100000000,VALUE(MID($D605,2,20)),1000000000),1000000000))+ROW()/100000,"")</f>
        <v/>
      </c>
    </row>
    <row r="606">
      <c r="F606" s="11" t="n"/>
      <c r="P606" s="7">
        <f>IF($D606="","",O606*X606/100)</f>
        <v/>
      </c>
      <c r="Q606" s="7" t="n"/>
      <c r="W606" s="7" t="n"/>
      <c r="X606" s="7" t="n"/>
      <c r="AA606">
        <f>IF($D606="","",IF($AP606=1,0,IF($AO606=1,Settings!$C$6,Settings!$C$7))*100)</f>
        <v/>
      </c>
      <c r="AB606" s="7">
        <f>IF($D606="","",X606*AA606/100)</f>
        <v/>
      </c>
      <c r="AC606" s="7">
        <f>IF($D606="","",X606-AB606)</f>
        <v/>
      </c>
      <c r="AD606" s="7">
        <f>IF($D606="","",AC606-P606)</f>
        <v/>
      </c>
      <c r="AH606" s="7" t="n"/>
      <c r="AK606" s="11" t="n"/>
      <c r="AM606">
        <f>IF($D606="","",IF(COUNTIF($D$2:$D606,$D606)=1,1,0))</f>
        <v/>
      </c>
      <c r="AN606">
        <f>IF($AM606=1,SUMPRODUCT(--($AQ$2:$AQ$1001&lt;$AQ606))+1,"")</f>
        <v/>
      </c>
      <c r="AO606">
        <f>IF($D606="","",IF(OR($T606=TRUE(),$T606="TRUE"),1,0))</f>
        <v/>
      </c>
      <c r="AP606">
        <f>IF($D606="","",IF($Z606="Yes",1,0))</f>
        <v/>
      </c>
      <c r="AQ606">
        <f>IF($AM606=1,IFERROR(IF(VALUE($D606)&lt;100000000,VALUE($D606),1000000000),IFERROR(IF(VALUE(MID($D606,2,20))&lt;100000000,VALUE(MID($D606,2,20)),1000000000),1000000000))+ROW()/100000,"")</f>
        <v/>
      </c>
    </row>
    <row r="607">
      <c r="F607" s="11" t="n"/>
      <c r="P607" s="7">
        <f>IF($D607="","",O607*X607/100)</f>
        <v/>
      </c>
      <c r="Q607" s="7" t="n"/>
      <c r="W607" s="7" t="n"/>
      <c r="X607" s="7" t="n"/>
      <c r="AA607">
        <f>IF($D607="","",IF($AP607=1,0,IF($AO607=1,Settings!$C$6,Settings!$C$7))*100)</f>
        <v/>
      </c>
      <c r="AB607" s="7">
        <f>IF($D607="","",X607*AA607/100)</f>
        <v/>
      </c>
      <c r="AC607" s="7">
        <f>IF($D607="","",X607-AB607)</f>
        <v/>
      </c>
      <c r="AD607" s="7">
        <f>IF($D607="","",AC607-P607)</f>
        <v/>
      </c>
      <c r="AH607" s="7" t="n"/>
      <c r="AK607" s="11" t="n"/>
      <c r="AM607">
        <f>IF($D607="","",IF(COUNTIF($D$2:$D607,$D607)=1,1,0))</f>
        <v/>
      </c>
      <c r="AN607">
        <f>IF($AM607=1,SUMPRODUCT(--($AQ$2:$AQ$1001&lt;$AQ607))+1,"")</f>
        <v/>
      </c>
      <c r="AO607">
        <f>IF($D607="","",IF(OR($T607=TRUE(),$T607="TRUE"),1,0))</f>
        <v/>
      </c>
      <c r="AP607">
        <f>IF($D607="","",IF($Z607="Yes",1,0))</f>
        <v/>
      </c>
      <c r="AQ607">
        <f>IF($AM607=1,IFERROR(IF(VALUE($D607)&lt;100000000,VALUE($D607),1000000000),IFERROR(IF(VALUE(MID($D607,2,20))&lt;100000000,VALUE(MID($D607,2,20)),1000000000),1000000000))+ROW()/100000,"")</f>
        <v/>
      </c>
    </row>
    <row r="608">
      <c r="F608" s="11" t="n"/>
      <c r="P608" s="7">
        <f>IF($D608="","",O608*X608/100)</f>
        <v/>
      </c>
      <c r="Q608" s="7" t="n"/>
      <c r="W608" s="7" t="n"/>
      <c r="X608" s="7" t="n"/>
      <c r="AA608">
        <f>IF($D608="","",IF($AP608=1,0,IF($AO608=1,Settings!$C$6,Settings!$C$7))*100)</f>
        <v/>
      </c>
      <c r="AB608" s="7">
        <f>IF($D608="","",X608*AA608/100)</f>
        <v/>
      </c>
      <c r="AC608" s="7">
        <f>IF($D608="","",X608-AB608)</f>
        <v/>
      </c>
      <c r="AD608" s="7">
        <f>IF($D608="","",AC608-P608)</f>
        <v/>
      </c>
      <c r="AH608" s="7" t="n"/>
      <c r="AK608" s="11" t="n"/>
      <c r="AM608">
        <f>IF($D608="","",IF(COUNTIF($D$2:$D608,$D608)=1,1,0))</f>
        <v/>
      </c>
      <c r="AN608">
        <f>IF($AM608=1,SUMPRODUCT(--($AQ$2:$AQ$1001&lt;$AQ608))+1,"")</f>
        <v/>
      </c>
      <c r="AO608">
        <f>IF($D608="","",IF(OR($T608=TRUE(),$T608="TRUE"),1,0))</f>
        <v/>
      </c>
      <c r="AP608">
        <f>IF($D608="","",IF($Z608="Yes",1,0))</f>
        <v/>
      </c>
      <c r="AQ608">
        <f>IF($AM608=1,IFERROR(IF(VALUE($D608)&lt;100000000,VALUE($D608),1000000000),IFERROR(IF(VALUE(MID($D608,2,20))&lt;100000000,VALUE(MID($D608,2,20)),1000000000),1000000000))+ROW()/100000,"")</f>
        <v/>
      </c>
    </row>
    <row r="609">
      <c r="F609" s="11" t="n"/>
      <c r="P609" s="7">
        <f>IF($D609="","",O609*X609/100)</f>
        <v/>
      </c>
      <c r="Q609" s="7" t="n"/>
      <c r="W609" s="7" t="n"/>
      <c r="X609" s="7" t="n"/>
      <c r="AA609">
        <f>IF($D609="","",IF($AP609=1,0,IF($AO609=1,Settings!$C$6,Settings!$C$7))*100)</f>
        <v/>
      </c>
      <c r="AB609" s="7">
        <f>IF($D609="","",X609*AA609/100)</f>
        <v/>
      </c>
      <c r="AC609" s="7">
        <f>IF($D609="","",X609-AB609)</f>
        <v/>
      </c>
      <c r="AD609" s="7">
        <f>IF($D609="","",AC609-P609)</f>
        <v/>
      </c>
      <c r="AH609" s="7" t="n"/>
      <c r="AK609" s="11" t="n"/>
      <c r="AM609">
        <f>IF($D609="","",IF(COUNTIF($D$2:$D609,$D609)=1,1,0))</f>
        <v/>
      </c>
      <c r="AN609">
        <f>IF($AM609=1,SUMPRODUCT(--($AQ$2:$AQ$1001&lt;$AQ609))+1,"")</f>
        <v/>
      </c>
      <c r="AO609">
        <f>IF($D609="","",IF(OR($T609=TRUE(),$T609="TRUE"),1,0))</f>
        <v/>
      </c>
      <c r="AP609">
        <f>IF($D609="","",IF($Z609="Yes",1,0))</f>
        <v/>
      </c>
      <c r="AQ609">
        <f>IF($AM609=1,IFERROR(IF(VALUE($D609)&lt;100000000,VALUE($D609),1000000000),IFERROR(IF(VALUE(MID($D609,2,20))&lt;100000000,VALUE(MID($D609,2,20)),1000000000),1000000000))+ROW()/100000,"")</f>
        <v/>
      </c>
    </row>
    <row r="610">
      <c r="F610" s="11" t="n"/>
      <c r="P610" s="7">
        <f>IF($D610="","",O610*X610/100)</f>
        <v/>
      </c>
      <c r="Q610" s="7" t="n"/>
      <c r="W610" s="7" t="n"/>
      <c r="X610" s="7" t="n"/>
      <c r="AA610">
        <f>IF($D610="","",IF($AP610=1,0,IF($AO610=1,Settings!$C$6,Settings!$C$7))*100)</f>
        <v/>
      </c>
      <c r="AB610" s="7">
        <f>IF($D610="","",X610*AA610/100)</f>
        <v/>
      </c>
      <c r="AC610" s="7">
        <f>IF($D610="","",X610-AB610)</f>
        <v/>
      </c>
      <c r="AD610" s="7">
        <f>IF($D610="","",AC610-P610)</f>
        <v/>
      </c>
      <c r="AH610" s="7" t="n"/>
      <c r="AK610" s="11" t="n"/>
      <c r="AM610">
        <f>IF($D610="","",IF(COUNTIF($D$2:$D610,$D610)=1,1,0))</f>
        <v/>
      </c>
      <c r="AN610">
        <f>IF($AM610=1,SUMPRODUCT(--($AQ$2:$AQ$1001&lt;$AQ610))+1,"")</f>
        <v/>
      </c>
      <c r="AO610">
        <f>IF($D610="","",IF(OR($T610=TRUE(),$T610="TRUE"),1,0))</f>
        <v/>
      </c>
      <c r="AP610">
        <f>IF($D610="","",IF($Z610="Yes",1,0))</f>
        <v/>
      </c>
      <c r="AQ610">
        <f>IF($AM610=1,IFERROR(IF(VALUE($D610)&lt;100000000,VALUE($D610),1000000000),IFERROR(IF(VALUE(MID($D610,2,20))&lt;100000000,VALUE(MID($D610,2,20)),1000000000),1000000000))+ROW()/100000,"")</f>
        <v/>
      </c>
    </row>
    <row r="611">
      <c r="F611" s="11" t="n"/>
      <c r="P611" s="7">
        <f>IF($D611="","",O611*X611/100)</f>
        <v/>
      </c>
      <c r="Q611" s="7" t="n"/>
      <c r="W611" s="7" t="n"/>
      <c r="X611" s="7" t="n"/>
      <c r="AA611">
        <f>IF($D611="","",IF($AP611=1,0,IF($AO611=1,Settings!$C$6,Settings!$C$7))*100)</f>
        <v/>
      </c>
      <c r="AB611" s="7">
        <f>IF($D611="","",X611*AA611/100)</f>
        <v/>
      </c>
      <c r="AC611" s="7">
        <f>IF($D611="","",X611-AB611)</f>
        <v/>
      </c>
      <c r="AD611" s="7">
        <f>IF($D611="","",AC611-P611)</f>
        <v/>
      </c>
      <c r="AH611" s="7" t="n"/>
      <c r="AK611" s="11" t="n"/>
      <c r="AM611">
        <f>IF($D611="","",IF(COUNTIF($D$2:$D611,$D611)=1,1,0))</f>
        <v/>
      </c>
      <c r="AN611">
        <f>IF($AM611=1,SUMPRODUCT(--($AQ$2:$AQ$1001&lt;$AQ611))+1,"")</f>
        <v/>
      </c>
      <c r="AO611">
        <f>IF($D611="","",IF(OR($T611=TRUE(),$T611="TRUE"),1,0))</f>
        <v/>
      </c>
      <c r="AP611">
        <f>IF($D611="","",IF($Z611="Yes",1,0))</f>
        <v/>
      </c>
      <c r="AQ611">
        <f>IF($AM611=1,IFERROR(IF(VALUE($D611)&lt;100000000,VALUE($D611),1000000000),IFERROR(IF(VALUE(MID($D611,2,20))&lt;100000000,VALUE(MID($D611,2,20)),1000000000),1000000000))+ROW()/100000,"")</f>
        <v/>
      </c>
    </row>
    <row r="612">
      <c r="F612" s="11" t="n"/>
      <c r="P612" s="7">
        <f>IF($D612="","",O612*X612/100)</f>
        <v/>
      </c>
      <c r="Q612" s="7" t="n"/>
      <c r="W612" s="7" t="n"/>
      <c r="X612" s="7" t="n"/>
      <c r="AA612">
        <f>IF($D612="","",IF($AP612=1,0,IF($AO612=1,Settings!$C$6,Settings!$C$7))*100)</f>
        <v/>
      </c>
      <c r="AB612" s="7">
        <f>IF($D612="","",X612*AA612/100)</f>
        <v/>
      </c>
      <c r="AC612" s="7">
        <f>IF($D612="","",X612-AB612)</f>
        <v/>
      </c>
      <c r="AD612" s="7">
        <f>IF($D612="","",AC612-P612)</f>
        <v/>
      </c>
      <c r="AH612" s="7" t="n"/>
      <c r="AK612" s="11" t="n"/>
      <c r="AM612">
        <f>IF($D612="","",IF(COUNTIF($D$2:$D612,$D612)=1,1,0))</f>
        <v/>
      </c>
      <c r="AN612">
        <f>IF($AM612=1,SUMPRODUCT(--($AQ$2:$AQ$1001&lt;$AQ612))+1,"")</f>
        <v/>
      </c>
      <c r="AO612">
        <f>IF($D612="","",IF(OR($T612=TRUE(),$T612="TRUE"),1,0))</f>
        <v/>
      </c>
      <c r="AP612">
        <f>IF($D612="","",IF($Z612="Yes",1,0))</f>
        <v/>
      </c>
      <c r="AQ612">
        <f>IF($AM612=1,IFERROR(IF(VALUE($D612)&lt;100000000,VALUE($D612),1000000000),IFERROR(IF(VALUE(MID($D612,2,20))&lt;100000000,VALUE(MID($D612,2,20)),1000000000),1000000000))+ROW()/100000,"")</f>
        <v/>
      </c>
    </row>
    <row r="613">
      <c r="F613" s="11" t="n"/>
      <c r="P613" s="7">
        <f>IF($D613="","",O613*X613/100)</f>
        <v/>
      </c>
      <c r="Q613" s="7" t="n"/>
      <c r="W613" s="7" t="n"/>
      <c r="X613" s="7" t="n"/>
      <c r="AA613">
        <f>IF($D613="","",IF($AP613=1,0,IF($AO613=1,Settings!$C$6,Settings!$C$7))*100)</f>
        <v/>
      </c>
      <c r="AB613" s="7">
        <f>IF($D613="","",X613*AA613/100)</f>
        <v/>
      </c>
      <c r="AC613" s="7">
        <f>IF($D613="","",X613-AB613)</f>
        <v/>
      </c>
      <c r="AD613" s="7">
        <f>IF($D613="","",AC613-P613)</f>
        <v/>
      </c>
      <c r="AH613" s="7" t="n"/>
      <c r="AK613" s="11" t="n"/>
      <c r="AM613">
        <f>IF($D613="","",IF(COUNTIF($D$2:$D613,$D613)=1,1,0))</f>
        <v/>
      </c>
      <c r="AN613">
        <f>IF($AM613=1,SUMPRODUCT(--($AQ$2:$AQ$1001&lt;$AQ613))+1,"")</f>
        <v/>
      </c>
      <c r="AO613">
        <f>IF($D613="","",IF(OR($T613=TRUE(),$T613="TRUE"),1,0))</f>
        <v/>
      </c>
      <c r="AP613">
        <f>IF($D613="","",IF($Z613="Yes",1,0))</f>
        <v/>
      </c>
      <c r="AQ613">
        <f>IF($AM613=1,IFERROR(IF(VALUE($D613)&lt;100000000,VALUE($D613),1000000000),IFERROR(IF(VALUE(MID($D613,2,20))&lt;100000000,VALUE(MID($D613,2,20)),1000000000),1000000000))+ROW()/100000,"")</f>
        <v/>
      </c>
    </row>
    <row r="614">
      <c r="F614" s="11" t="n"/>
      <c r="P614" s="7">
        <f>IF($D614="","",O614*X614/100)</f>
        <v/>
      </c>
      <c r="Q614" s="7" t="n"/>
      <c r="W614" s="7" t="n"/>
      <c r="X614" s="7" t="n"/>
      <c r="AA614">
        <f>IF($D614="","",IF($AP614=1,0,IF($AO614=1,Settings!$C$6,Settings!$C$7))*100)</f>
        <v/>
      </c>
      <c r="AB614" s="7">
        <f>IF($D614="","",X614*AA614/100)</f>
        <v/>
      </c>
      <c r="AC614" s="7">
        <f>IF($D614="","",X614-AB614)</f>
        <v/>
      </c>
      <c r="AD614" s="7">
        <f>IF($D614="","",AC614-P614)</f>
        <v/>
      </c>
      <c r="AH614" s="7" t="n"/>
      <c r="AK614" s="11" t="n"/>
      <c r="AM614">
        <f>IF($D614="","",IF(COUNTIF($D$2:$D614,$D614)=1,1,0))</f>
        <v/>
      </c>
      <c r="AN614">
        <f>IF($AM614=1,SUMPRODUCT(--($AQ$2:$AQ$1001&lt;$AQ614))+1,"")</f>
        <v/>
      </c>
      <c r="AO614">
        <f>IF($D614="","",IF(OR($T614=TRUE(),$T614="TRUE"),1,0))</f>
        <v/>
      </c>
      <c r="AP614">
        <f>IF($D614="","",IF($Z614="Yes",1,0))</f>
        <v/>
      </c>
      <c r="AQ614">
        <f>IF($AM614=1,IFERROR(IF(VALUE($D614)&lt;100000000,VALUE($D614),1000000000),IFERROR(IF(VALUE(MID($D614,2,20))&lt;100000000,VALUE(MID($D614,2,20)),1000000000),1000000000))+ROW()/100000,"")</f>
        <v/>
      </c>
    </row>
    <row r="615">
      <c r="F615" s="11" t="n"/>
      <c r="P615" s="7">
        <f>IF($D615="","",O615*X615/100)</f>
        <v/>
      </c>
      <c r="Q615" s="7" t="n"/>
      <c r="W615" s="7" t="n"/>
      <c r="X615" s="7" t="n"/>
      <c r="AA615">
        <f>IF($D615="","",IF($AP615=1,0,IF($AO615=1,Settings!$C$6,Settings!$C$7))*100)</f>
        <v/>
      </c>
      <c r="AB615" s="7">
        <f>IF($D615="","",X615*AA615/100)</f>
        <v/>
      </c>
      <c r="AC615" s="7">
        <f>IF($D615="","",X615-AB615)</f>
        <v/>
      </c>
      <c r="AD615" s="7">
        <f>IF($D615="","",AC615-P615)</f>
        <v/>
      </c>
      <c r="AH615" s="7" t="n"/>
      <c r="AK615" s="11" t="n"/>
      <c r="AM615">
        <f>IF($D615="","",IF(COUNTIF($D$2:$D615,$D615)=1,1,0))</f>
        <v/>
      </c>
      <c r="AN615">
        <f>IF($AM615=1,SUMPRODUCT(--($AQ$2:$AQ$1001&lt;$AQ615))+1,"")</f>
        <v/>
      </c>
      <c r="AO615">
        <f>IF($D615="","",IF(OR($T615=TRUE(),$T615="TRUE"),1,0))</f>
        <v/>
      </c>
      <c r="AP615">
        <f>IF($D615="","",IF($Z615="Yes",1,0))</f>
        <v/>
      </c>
      <c r="AQ615">
        <f>IF($AM615=1,IFERROR(IF(VALUE($D615)&lt;100000000,VALUE($D615),1000000000),IFERROR(IF(VALUE(MID($D615,2,20))&lt;100000000,VALUE(MID($D615,2,20)),1000000000),1000000000))+ROW()/100000,"")</f>
        <v/>
      </c>
    </row>
    <row r="616">
      <c r="F616" s="11" t="n"/>
      <c r="P616" s="7">
        <f>IF($D616="","",O616*X616/100)</f>
        <v/>
      </c>
      <c r="Q616" s="7" t="n"/>
      <c r="W616" s="7" t="n"/>
      <c r="X616" s="7" t="n"/>
      <c r="AA616">
        <f>IF($D616="","",IF($AP616=1,0,IF($AO616=1,Settings!$C$6,Settings!$C$7))*100)</f>
        <v/>
      </c>
      <c r="AB616" s="7">
        <f>IF($D616="","",X616*AA616/100)</f>
        <v/>
      </c>
      <c r="AC616" s="7">
        <f>IF($D616="","",X616-AB616)</f>
        <v/>
      </c>
      <c r="AD616" s="7">
        <f>IF($D616="","",AC616-P616)</f>
        <v/>
      </c>
      <c r="AH616" s="7" t="n"/>
      <c r="AK616" s="11" t="n"/>
      <c r="AM616">
        <f>IF($D616="","",IF(COUNTIF($D$2:$D616,$D616)=1,1,0))</f>
        <v/>
      </c>
      <c r="AN616">
        <f>IF($AM616=1,SUMPRODUCT(--($AQ$2:$AQ$1001&lt;$AQ616))+1,"")</f>
        <v/>
      </c>
      <c r="AO616">
        <f>IF($D616="","",IF(OR($T616=TRUE(),$T616="TRUE"),1,0))</f>
        <v/>
      </c>
      <c r="AP616">
        <f>IF($D616="","",IF($Z616="Yes",1,0))</f>
        <v/>
      </c>
      <c r="AQ616">
        <f>IF($AM616=1,IFERROR(IF(VALUE($D616)&lt;100000000,VALUE($D616),1000000000),IFERROR(IF(VALUE(MID($D616,2,20))&lt;100000000,VALUE(MID($D616,2,20)),1000000000),1000000000))+ROW()/100000,"")</f>
        <v/>
      </c>
    </row>
    <row r="617">
      <c r="F617" s="11" t="n"/>
      <c r="P617" s="7">
        <f>IF($D617="","",O617*X617/100)</f>
        <v/>
      </c>
      <c r="Q617" s="7" t="n"/>
      <c r="W617" s="7" t="n"/>
      <c r="X617" s="7" t="n"/>
      <c r="AA617">
        <f>IF($D617="","",IF($AP617=1,0,IF($AO617=1,Settings!$C$6,Settings!$C$7))*100)</f>
        <v/>
      </c>
      <c r="AB617" s="7">
        <f>IF($D617="","",X617*AA617/100)</f>
        <v/>
      </c>
      <c r="AC617" s="7">
        <f>IF($D617="","",X617-AB617)</f>
        <v/>
      </c>
      <c r="AD617" s="7">
        <f>IF($D617="","",AC617-P617)</f>
        <v/>
      </c>
      <c r="AH617" s="7" t="n"/>
      <c r="AK617" s="11" t="n"/>
      <c r="AM617">
        <f>IF($D617="","",IF(COUNTIF($D$2:$D617,$D617)=1,1,0))</f>
        <v/>
      </c>
      <c r="AN617">
        <f>IF($AM617=1,SUMPRODUCT(--($AQ$2:$AQ$1001&lt;$AQ617))+1,"")</f>
        <v/>
      </c>
      <c r="AO617">
        <f>IF($D617="","",IF(OR($T617=TRUE(),$T617="TRUE"),1,0))</f>
        <v/>
      </c>
      <c r="AP617">
        <f>IF($D617="","",IF($Z617="Yes",1,0))</f>
        <v/>
      </c>
      <c r="AQ617">
        <f>IF($AM617=1,IFERROR(IF(VALUE($D617)&lt;100000000,VALUE($D617),1000000000),IFERROR(IF(VALUE(MID($D617,2,20))&lt;100000000,VALUE(MID($D617,2,20)),1000000000),1000000000))+ROW()/100000,"")</f>
        <v/>
      </c>
    </row>
    <row r="618">
      <c r="F618" s="11" t="n"/>
      <c r="P618" s="7">
        <f>IF($D618="","",O618*X618/100)</f>
        <v/>
      </c>
      <c r="Q618" s="7" t="n"/>
      <c r="W618" s="7" t="n"/>
      <c r="X618" s="7" t="n"/>
      <c r="AA618">
        <f>IF($D618="","",IF($AP618=1,0,IF($AO618=1,Settings!$C$6,Settings!$C$7))*100)</f>
        <v/>
      </c>
      <c r="AB618" s="7">
        <f>IF($D618="","",X618*AA618/100)</f>
        <v/>
      </c>
      <c r="AC618" s="7">
        <f>IF($D618="","",X618-AB618)</f>
        <v/>
      </c>
      <c r="AD618" s="7">
        <f>IF($D618="","",AC618-P618)</f>
        <v/>
      </c>
      <c r="AH618" s="7" t="n"/>
      <c r="AK618" s="11" t="n"/>
      <c r="AM618">
        <f>IF($D618="","",IF(COUNTIF($D$2:$D618,$D618)=1,1,0))</f>
        <v/>
      </c>
      <c r="AN618">
        <f>IF($AM618=1,SUMPRODUCT(--($AQ$2:$AQ$1001&lt;$AQ618))+1,"")</f>
        <v/>
      </c>
      <c r="AO618">
        <f>IF($D618="","",IF(OR($T618=TRUE(),$T618="TRUE"),1,0))</f>
        <v/>
      </c>
      <c r="AP618">
        <f>IF($D618="","",IF($Z618="Yes",1,0))</f>
        <v/>
      </c>
      <c r="AQ618">
        <f>IF($AM618=1,IFERROR(IF(VALUE($D618)&lt;100000000,VALUE($D618),1000000000),IFERROR(IF(VALUE(MID($D618,2,20))&lt;100000000,VALUE(MID($D618,2,20)),1000000000),1000000000))+ROW()/100000,"")</f>
        <v/>
      </c>
    </row>
    <row r="619">
      <c r="F619" s="11" t="n"/>
      <c r="P619" s="7">
        <f>IF($D619="","",O619*X619/100)</f>
        <v/>
      </c>
      <c r="Q619" s="7" t="n"/>
      <c r="W619" s="7" t="n"/>
      <c r="X619" s="7" t="n"/>
      <c r="AA619">
        <f>IF($D619="","",IF($AP619=1,0,IF($AO619=1,Settings!$C$6,Settings!$C$7))*100)</f>
        <v/>
      </c>
      <c r="AB619" s="7">
        <f>IF($D619="","",X619*AA619/100)</f>
        <v/>
      </c>
      <c r="AC619" s="7">
        <f>IF($D619="","",X619-AB619)</f>
        <v/>
      </c>
      <c r="AD619" s="7">
        <f>IF($D619="","",AC619-P619)</f>
        <v/>
      </c>
      <c r="AH619" s="7" t="n"/>
      <c r="AK619" s="11" t="n"/>
      <c r="AM619">
        <f>IF($D619="","",IF(COUNTIF($D$2:$D619,$D619)=1,1,0))</f>
        <v/>
      </c>
      <c r="AN619">
        <f>IF($AM619=1,SUMPRODUCT(--($AQ$2:$AQ$1001&lt;$AQ619))+1,"")</f>
        <v/>
      </c>
      <c r="AO619">
        <f>IF($D619="","",IF(OR($T619=TRUE(),$T619="TRUE"),1,0))</f>
        <v/>
      </c>
      <c r="AP619">
        <f>IF($D619="","",IF($Z619="Yes",1,0))</f>
        <v/>
      </c>
      <c r="AQ619">
        <f>IF($AM619=1,IFERROR(IF(VALUE($D619)&lt;100000000,VALUE($D619),1000000000),IFERROR(IF(VALUE(MID($D619,2,20))&lt;100000000,VALUE(MID($D619,2,20)),1000000000),1000000000))+ROW()/100000,"")</f>
        <v/>
      </c>
    </row>
    <row r="620">
      <c r="F620" s="11" t="n"/>
      <c r="P620" s="7">
        <f>IF($D620="","",O620*X620/100)</f>
        <v/>
      </c>
      <c r="Q620" s="7" t="n"/>
      <c r="W620" s="7" t="n"/>
      <c r="X620" s="7" t="n"/>
      <c r="AA620">
        <f>IF($D620="","",IF($AP620=1,0,IF($AO620=1,Settings!$C$6,Settings!$C$7))*100)</f>
        <v/>
      </c>
      <c r="AB620" s="7">
        <f>IF($D620="","",X620*AA620/100)</f>
        <v/>
      </c>
      <c r="AC620" s="7">
        <f>IF($D620="","",X620-AB620)</f>
        <v/>
      </c>
      <c r="AD620" s="7">
        <f>IF($D620="","",AC620-P620)</f>
        <v/>
      </c>
      <c r="AH620" s="7" t="n"/>
      <c r="AK620" s="11" t="n"/>
      <c r="AM620">
        <f>IF($D620="","",IF(COUNTIF($D$2:$D620,$D620)=1,1,0))</f>
        <v/>
      </c>
      <c r="AN620">
        <f>IF($AM620=1,SUMPRODUCT(--($AQ$2:$AQ$1001&lt;$AQ620))+1,"")</f>
        <v/>
      </c>
      <c r="AO620">
        <f>IF($D620="","",IF(OR($T620=TRUE(),$T620="TRUE"),1,0))</f>
        <v/>
      </c>
      <c r="AP620">
        <f>IF($D620="","",IF($Z620="Yes",1,0))</f>
        <v/>
      </c>
      <c r="AQ620">
        <f>IF($AM620=1,IFERROR(IF(VALUE($D620)&lt;100000000,VALUE($D620),1000000000),IFERROR(IF(VALUE(MID($D620,2,20))&lt;100000000,VALUE(MID($D620,2,20)),1000000000),1000000000))+ROW()/100000,"")</f>
        <v/>
      </c>
    </row>
    <row r="621">
      <c r="F621" s="11" t="n"/>
      <c r="P621" s="7">
        <f>IF($D621="","",O621*X621/100)</f>
        <v/>
      </c>
      <c r="Q621" s="7" t="n"/>
      <c r="W621" s="7" t="n"/>
      <c r="X621" s="7" t="n"/>
      <c r="AA621">
        <f>IF($D621="","",IF($AP621=1,0,IF($AO621=1,Settings!$C$6,Settings!$C$7))*100)</f>
        <v/>
      </c>
      <c r="AB621" s="7">
        <f>IF($D621="","",X621*AA621/100)</f>
        <v/>
      </c>
      <c r="AC621" s="7">
        <f>IF($D621="","",X621-AB621)</f>
        <v/>
      </c>
      <c r="AD621" s="7">
        <f>IF($D621="","",AC621-P621)</f>
        <v/>
      </c>
      <c r="AH621" s="7" t="n"/>
      <c r="AK621" s="11" t="n"/>
      <c r="AM621">
        <f>IF($D621="","",IF(COUNTIF($D$2:$D621,$D621)=1,1,0))</f>
        <v/>
      </c>
      <c r="AN621">
        <f>IF($AM621=1,SUMPRODUCT(--($AQ$2:$AQ$1001&lt;$AQ621))+1,"")</f>
        <v/>
      </c>
      <c r="AO621">
        <f>IF($D621="","",IF(OR($T621=TRUE(),$T621="TRUE"),1,0))</f>
        <v/>
      </c>
      <c r="AP621">
        <f>IF($D621="","",IF($Z621="Yes",1,0))</f>
        <v/>
      </c>
      <c r="AQ621">
        <f>IF($AM621=1,IFERROR(IF(VALUE($D621)&lt;100000000,VALUE($D621),1000000000),IFERROR(IF(VALUE(MID($D621,2,20))&lt;100000000,VALUE(MID($D621,2,20)),1000000000),1000000000))+ROW()/100000,"")</f>
        <v/>
      </c>
    </row>
    <row r="622">
      <c r="F622" s="11" t="n"/>
      <c r="P622" s="7">
        <f>IF($D622="","",O622*X622/100)</f>
        <v/>
      </c>
      <c r="Q622" s="7" t="n"/>
      <c r="W622" s="7" t="n"/>
      <c r="X622" s="7" t="n"/>
      <c r="AA622">
        <f>IF($D622="","",IF($AP622=1,0,IF($AO622=1,Settings!$C$6,Settings!$C$7))*100)</f>
        <v/>
      </c>
      <c r="AB622" s="7">
        <f>IF($D622="","",X622*AA622/100)</f>
        <v/>
      </c>
      <c r="AC622" s="7">
        <f>IF($D622="","",X622-AB622)</f>
        <v/>
      </c>
      <c r="AD622" s="7">
        <f>IF($D622="","",AC622-P622)</f>
        <v/>
      </c>
      <c r="AH622" s="7" t="n"/>
      <c r="AK622" s="11" t="n"/>
      <c r="AM622">
        <f>IF($D622="","",IF(COUNTIF($D$2:$D622,$D622)=1,1,0))</f>
        <v/>
      </c>
      <c r="AN622">
        <f>IF($AM622=1,SUMPRODUCT(--($AQ$2:$AQ$1001&lt;$AQ622))+1,"")</f>
        <v/>
      </c>
      <c r="AO622">
        <f>IF($D622="","",IF(OR($T622=TRUE(),$T622="TRUE"),1,0))</f>
        <v/>
      </c>
      <c r="AP622">
        <f>IF($D622="","",IF($Z622="Yes",1,0))</f>
        <v/>
      </c>
      <c r="AQ622">
        <f>IF($AM622=1,IFERROR(IF(VALUE($D622)&lt;100000000,VALUE($D622),1000000000),IFERROR(IF(VALUE(MID($D622,2,20))&lt;100000000,VALUE(MID($D622,2,20)),1000000000),1000000000))+ROW()/100000,"")</f>
        <v/>
      </c>
    </row>
    <row r="623">
      <c r="F623" s="11" t="n"/>
      <c r="P623" s="7">
        <f>IF($D623="","",O623*X623/100)</f>
        <v/>
      </c>
      <c r="Q623" s="7" t="n"/>
      <c r="W623" s="7" t="n"/>
      <c r="X623" s="7" t="n"/>
      <c r="AA623">
        <f>IF($D623="","",IF($AP623=1,0,IF($AO623=1,Settings!$C$6,Settings!$C$7))*100)</f>
        <v/>
      </c>
      <c r="AB623" s="7">
        <f>IF($D623="","",X623*AA623/100)</f>
        <v/>
      </c>
      <c r="AC623" s="7">
        <f>IF($D623="","",X623-AB623)</f>
        <v/>
      </c>
      <c r="AD623" s="7">
        <f>IF($D623="","",AC623-P623)</f>
        <v/>
      </c>
      <c r="AH623" s="7" t="n"/>
      <c r="AK623" s="11" t="n"/>
      <c r="AM623">
        <f>IF($D623="","",IF(COUNTIF($D$2:$D623,$D623)=1,1,0))</f>
        <v/>
      </c>
      <c r="AN623">
        <f>IF($AM623=1,SUMPRODUCT(--($AQ$2:$AQ$1001&lt;$AQ623))+1,"")</f>
        <v/>
      </c>
      <c r="AO623">
        <f>IF($D623="","",IF(OR($T623=TRUE(),$T623="TRUE"),1,0))</f>
        <v/>
      </c>
      <c r="AP623">
        <f>IF($D623="","",IF($Z623="Yes",1,0))</f>
        <v/>
      </c>
      <c r="AQ623">
        <f>IF($AM623=1,IFERROR(IF(VALUE($D623)&lt;100000000,VALUE($D623),1000000000),IFERROR(IF(VALUE(MID($D623,2,20))&lt;100000000,VALUE(MID($D623,2,20)),1000000000),1000000000))+ROW()/100000,"")</f>
        <v/>
      </c>
    </row>
    <row r="624">
      <c r="F624" s="11" t="n"/>
      <c r="P624" s="7">
        <f>IF($D624="","",O624*X624/100)</f>
        <v/>
      </c>
      <c r="Q624" s="7" t="n"/>
      <c r="W624" s="7" t="n"/>
      <c r="X624" s="7" t="n"/>
      <c r="AA624">
        <f>IF($D624="","",IF($AP624=1,0,IF($AO624=1,Settings!$C$6,Settings!$C$7))*100)</f>
        <v/>
      </c>
      <c r="AB624" s="7">
        <f>IF($D624="","",X624*AA624/100)</f>
        <v/>
      </c>
      <c r="AC624" s="7">
        <f>IF($D624="","",X624-AB624)</f>
        <v/>
      </c>
      <c r="AD624" s="7">
        <f>IF($D624="","",AC624-P624)</f>
        <v/>
      </c>
      <c r="AH624" s="7" t="n"/>
      <c r="AK624" s="11" t="n"/>
      <c r="AM624">
        <f>IF($D624="","",IF(COUNTIF($D$2:$D624,$D624)=1,1,0))</f>
        <v/>
      </c>
      <c r="AN624">
        <f>IF($AM624=1,SUMPRODUCT(--($AQ$2:$AQ$1001&lt;$AQ624))+1,"")</f>
        <v/>
      </c>
      <c r="AO624">
        <f>IF($D624="","",IF(OR($T624=TRUE(),$T624="TRUE"),1,0))</f>
        <v/>
      </c>
      <c r="AP624">
        <f>IF($D624="","",IF($Z624="Yes",1,0))</f>
        <v/>
      </c>
      <c r="AQ624">
        <f>IF($AM624=1,IFERROR(IF(VALUE($D624)&lt;100000000,VALUE($D624),1000000000),IFERROR(IF(VALUE(MID($D624,2,20))&lt;100000000,VALUE(MID($D624,2,20)),1000000000),1000000000))+ROW()/100000,"")</f>
        <v/>
      </c>
    </row>
    <row r="625">
      <c r="F625" s="11" t="n"/>
      <c r="P625" s="7">
        <f>IF($D625="","",O625*X625/100)</f>
        <v/>
      </c>
      <c r="Q625" s="7" t="n"/>
      <c r="W625" s="7" t="n"/>
      <c r="X625" s="7" t="n"/>
      <c r="AA625">
        <f>IF($D625="","",IF($AP625=1,0,IF($AO625=1,Settings!$C$6,Settings!$C$7))*100)</f>
        <v/>
      </c>
      <c r="AB625" s="7">
        <f>IF($D625="","",X625*AA625/100)</f>
        <v/>
      </c>
      <c r="AC625" s="7">
        <f>IF($D625="","",X625-AB625)</f>
        <v/>
      </c>
      <c r="AD625" s="7">
        <f>IF($D625="","",AC625-P625)</f>
        <v/>
      </c>
      <c r="AH625" s="7" t="n"/>
      <c r="AK625" s="11" t="n"/>
      <c r="AM625">
        <f>IF($D625="","",IF(COUNTIF($D$2:$D625,$D625)=1,1,0))</f>
        <v/>
      </c>
      <c r="AN625">
        <f>IF($AM625=1,SUMPRODUCT(--($AQ$2:$AQ$1001&lt;$AQ625))+1,"")</f>
        <v/>
      </c>
      <c r="AO625">
        <f>IF($D625="","",IF(OR($T625=TRUE(),$T625="TRUE"),1,0))</f>
        <v/>
      </c>
      <c r="AP625">
        <f>IF($D625="","",IF($Z625="Yes",1,0))</f>
        <v/>
      </c>
      <c r="AQ625">
        <f>IF($AM625=1,IFERROR(IF(VALUE($D625)&lt;100000000,VALUE($D625),1000000000),IFERROR(IF(VALUE(MID($D625,2,20))&lt;100000000,VALUE(MID($D625,2,20)),1000000000),1000000000))+ROW()/100000,"")</f>
        <v/>
      </c>
    </row>
    <row r="626">
      <c r="F626" s="11" t="n"/>
      <c r="P626" s="7">
        <f>IF($D626="","",O626*X626/100)</f>
        <v/>
      </c>
      <c r="Q626" s="7" t="n"/>
      <c r="W626" s="7" t="n"/>
      <c r="X626" s="7" t="n"/>
      <c r="AA626">
        <f>IF($D626="","",IF($AP626=1,0,IF($AO626=1,Settings!$C$6,Settings!$C$7))*100)</f>
        <v/>
      </c>
      <c r="AB626" s="7">
        <f>IF($D626="","",X626*AA626/100)</f>
        <v/>
      </c>
      <c r="AC626" s="7">
        <f>IF($D626="","",X626-AB626)</f>
        <v/>
      </c>
      <c r="AD626" s="7">
        <f>IF($D626="","",AC626-P626)</f>
        <v/>
      </c>
      <c r="AH626" s="7" t="n"/>
      <c r="AK626" s="11" t="n"/>
      <c r="AM626">
        <f>IF($D626="","",IF(COUNTIF($D$2:$D626,$D626)=1,1,0))</f>
        <v/>
      </c>
      <c r="AN626">
        <f>IF($AM626=1,SUMPRODUCT(--($AQ$2:$AQ$1001&lt;$AQ626))+1,"")</f>
        <v/>
      </c>
      <c r="AO626">
        <f>IF($D626="","",IF(OR($T626=TRUE(),$T626="TRUE"),1,0))</f>
        <v/>
      </c>
      <c r="AP626">
        <f>IF($D626="","",IF($Z626="Yes",1,0))</f>
        <v/>
      </c>
      <c r="AQ626">
        <f>IF($AM626=1,IFERROR(IF(VALUE($D626)&lt;100000000,VALUE($D626),1000000000),IFERROR(IF(VALUE(MID($D626,2,20))&lt;100000000,VALUE(MID($D626,2,20)),1000000000),1000000000))+ROW()/100000,"")</f>
        <v/>
      </c>
    </row>
    <row r="627">
      <c r="F627" s="11" t="n"/>
      <c r="P627" s="7">
        <f>IF($D627="","",O627*X627/100)</f>
        <v/>
      </c>
      <c r="Q627" s="7" t="n"/>
      <c r="W627" s="7" t="n"/>
      <c r="X627" s="7" t="n"/>
      <c r="AA627">
        <f>IF($D627="","",IF($AP627=1,0,IF($AO627=1,Settings!$C$6,Settings!$C$7))*100)</f>
        <v/>
      </c>
      <c r="AB627" s="7">
        <f>IF($D627="","",X627*AA627/100)</f>
        <v/>
      </c>
      <c r="AC627" s="7">
        <f>IF($D627="","",X627-AB627)</f>
        <v/>
      </c>
      <c r="AD627" s="7">
        <f>IF($D627="","",AC627-P627)</f>
        <v/>
      </c>
      <c r="AH627" s="7" t="n"/>
      <c r="AK627" s="11" t="n"/>
      <c r="AM627">
        <f>IF($D627="","",IF(COUNTIF($D$2:$D627,$D627)=1,1,0))</f>
        <v/>
      </c>
      <c r="AN627">
        <f>IF($AM627=1,SUMPRODUCT(--($AQ$2:$AQ$1001&lt;$AQ627))+1,"")</f>
        <v/>
      </c>
      <c r="AO627">
        <f>IF($D627="","",IF(OR($T627=TRUE(),$T627="TRUE"),1,0))</f>
        <v/>
      </c>
      <c r="AP627">
        <f>IF($D627="","",IF($Z627="Yes",1,0))</f>
        <v/>
      </c>
      <c r="AQ627">
        <f>IF($AM627=1,IFERROR(IF(VALUE($D627)&lt;100000000,VALUE($D627),1000000000),IFERROR(IF(VALUE(MID($D627,2,20))&lt;100000000,VALUE(MID($D627,2,20)),1000000000),1000000000))+ROW()/100000,"")</f>
        <v/>
      </c>
    </row>
    <row r="628">
      <c r="F628" s="11" t="n"/>
      <c r="P628" s="7">
        <f>IF($D628="","",O628*X628/100)</f>
        <v/>
      </c>
      <c r="Q628" s="7" t="n"/>
      <c r="W628" s="7" t="n"/>
      <c r="X628" s="7" t="n"/>
      <c r="AA628">
        <f>IF($D628="","",IF($AP628=1,0,IF($AO628=1,Settings!$C$6,Settings!$C$7))*100)</f>
        <v/>
      </c>
      <c r="AB628" s="7">
        <f>IF($D628="","",X628*AA628/100)</f>
        <v/>
      </c>
      <c r="AC628" s="7">
        <f>IF($D628="","",X628-AB628)</f>
        <v/>
      </c>
      <c r="AD628" s="7">
        <f>IF($D628="","",AC628-P628)</f>
        <v/>
      </c>
      <c r="AH628" s="7" t="n"/>
      <c r="AK628" s="11" t="n"/>
      <c r="AM628">
        <f>IF($D628="","",IF(COUNTIF($D$2:$D628,$D628)=1,1,0))</f>
        <v/>
      </c>
      <c r="AN628">
        <f>IF($AM628=1,SUMPRODUCT(--($AQ$2:$AQ$1001&lt;$AQ628))+1,"")</f>
        <v/>
      </c>
      <c r="AO628">
        <f>IF($D628="","",IF(OR($T628=TRUE(),$T628="TRUE"),1,0))</f>
        <v/>
      </c>
      <c r="AP628">
        <f>IF($D628="","",IF($Z628="Yes",1,0))</f>
        <v/>
      </c>
      <c r="AQ628">
        <f>IF($AM628=1,IFERROR(IF(VALUE($D628)&lt;100000000,VALUE($D628),1000000000),IFERROR(IF(VALUE(MID($D628,2,20))&lt;100000000,VALUE(MID($D628,2,20)),1000000000),1000000000))+ROW()/100000,"")</f>
        <v/>
      </c>
    </row>
    <row r="629">
      <c r="F629" s="11" t="n"/>
      <c r="P629" s="7">
        <f>IF($D629="","",O629*X629/100)</f>
        <v/>
      </c>
      <c r="Q629" s="7" t="n"/>
      <c r="W629" s="7" t="n"/>
      <c r="X629" s="7" t="n"/>
      <c r="AA629">
        <f>IF($D629="","",IF($AP629=1,0,IF($AO629=1,Settings!$C$6,Settings!$C$7))*100)</f>
        <v/>
      </c>
      <c r="AB629" s="7">
        <f>IF($D629="","",X629*AA629/100)</f>
        <v/>
      </c>
      <c r="AC629" s="7">
        <f>IF($D629="","",X629-AB629)</f>
        <v/>
      </c>
      <c r="AD629" s="7">
        <f>IF($D629="","",AC629-P629)</f>
        <v/>
      </c>
      <c r="AH629" s="7" t="n"/>
      <c r="AK629" s="11" t="n"/>
      <c r="AM629">
        <f>IF($D629="","",IF(COUNTIF($D$2:$D629,$D629)=1,1,0))</f>
        <v/>
      </c>
      <c r="AN629">
        <f>IF($AM629=1,SUMPRODUCT(--($AQ$2:$AQ$1001&lt;$AQ629))+1,"")</f>
        <v/>
      </c>
      <c r="AO629">
        <f>IF($D629="","",IF(OR($T629=TRUE(),$T629="TRUE"),1,0))</f>
        <v/>
      </c>
      <c r="AP629">
        <f>IF($D629="","",IF($Z629="Yes",1,0))</f>
        <v/>
      </c>
      <c r="AQ629">
        <f>IF($AM629=1,IFERROR(IF(VALUE($D629)&lt;100000000,VALUE($D629),1000000000),IFERROR(IF(VALUE(MID($D629,2,20))&lt;100000000,VALUE(MID($D629,2,20)),1000000000),1000000000))+ROW()/100000,"")</f>
        <v/>
      </c>
    </row>
    <row r="630">
      <c r="F630" s="11" t="n"/>
      <c r="P630" s="7">
        <f>IF($D630="","",O630*X630/100)</f>
        <v/>
      </c>
      <c r="Q630" s="7" t="n"/>
      <c r="W630" s="7" t="n"/>
      <c r="X630" s="7" t="n"/>
      <c r="AA630">
        <f>IF($D630="","",IF($AP630=1,0,IF($AO630=1,Settings!$C$6,Settings!$C$7))*100)</f>
        <v/>
      </c>
      <c r="AB630" s="7">
        <f>IF($D630="","",X630*AA630/100)</f>
        <v/>
      </c>
      <c r="AC630" s="7">
        <f>IF($D630="","",X630-AB630)</f>
        <v/>
      </c>
      <c r="AD630" s="7">
        <f>IF($D630="","",AC630-P630)</f>
        <v/>
      </c>
      <c r="AH630" s="7" t="n"/>
      <c r="AK630" s="11" t="n"/>
      <c r="AM630">
        <f>IF($D630="","",IF(COUNTIF($D$2:$D630,$D630)=1,1,0))</f>
        <v/>
      </c>
      <c r="AN630">
        <f>IF($AM630=1,SUMPRODUCT(--($AQ$2:$AQ$1001&lt;$AQ630))+1,"")</f>
        <v/>
      </c>
      <c r="AO630">
        <f>IF($D630="","",IF(OR($T630=TRUE(),$T630="TRUE"),1,0))</f>
        <v/>
      </c>
      <c r="AP630">
        <f>IF($D630="","",IF($Z630="Yes",1,0))</f>
        <v/>
      </c>
      <c r="AQ630">
        <f>IF($AM630=1,IFERROR(IF(VALUE($D630)&lt;100000000,VALUE($D630),1000000000),IFERROR(IF(VALUE(MID($D630,2,20))&lt;100000000,VALUE(MID($D630,2,20)),1000000000),1000000000))+ROW()/100000,"")</f>
        <v/>
      </c>
    </row>
    <row r="631">
      <c r="F631" s="11" t="n"/>
      <c r="P631" s="7">
        <f>IF($D631="","",O631*X631/100)</f>
        <v/>
      </c>
      <c r="Q631" s="7" t="n"/>
      <c r="W631" s="7" t="n"/>
      <c r="X631" s="7" t="n"/>
      <c r="AA631">
        <f>IF($D631="","",IF($AP631=1,0,IF($AO631=1,Settings!$C$6,Settings!$C$7))*100)</f>
        <v/>
      </c>
      <c r="AB631" s="7">
        <f>IF($D631="","",X631*AA631/100)</f>
        <v/>
      </c>
      <c r="AC631" s="7">
        <f>IF($D631="","",X631-AB631)</f>
        <v/>
      </c>
      <c r="AD631" s="7">
        <f>IF($D631="","",AC631-P631)</f>
        <v/>
      </c>
      <c r="AH631" s="7" t="n"/>
      <c r="AK631" s="11" t="n"/>
      <c r="AM631">
        <f>IF($D631="","",IF(COUNTIF($D$2:$D631,$D631)=1,1,0))</f>
        <v/>
      </c>
      <c r="AN631">
        <f>IF($AM631=1,SUMPRODUCT(--($AQ$2:$AQ$1001&lt;$AQ631))+1,"")</f>
        <v/>
      </c>
      <c r="AO631">
        <f>IF($D631="","",IF(OR($T631=TRUE(),$T631="TRUE"),1,0))</f>
        <v/>
      </c>
      <c r="AP631">
        <f>IF($D631="","",IF($Z631="Yes",1,0))</f>
        <v/>
      </c>
      <c r="AQ631">
        <f>IF($AM631=1,IFERROR(IF(VALUE($D631)&lt;100000000,VALUE($D631),1000000000),IFERROR(IF(VALUE(MID($D631,2,20))&lt;100000000,VALUE(MID($D631,2,20)),1000000000),1000000000))+ROW()/100000,"")</f>
        <v/>
      </c>
    </row>
    <row r="632">
      <c r="F632" s="11" t="n"/>
      <c r="P632" s="7">
        <f>IF($D632="","",O632*X632/100)</f>
        <v/>
      </c>
      <c r="Q632" s="7" t="n"/>
      <c r="W632" s="7" t="n"/>
      <c r="X632" s="7" t="n"/>
      <c r="AA632">
        <f>IF($D632="","",IF($AP632=1,0,IF($AO632=1,Settings!$C$6,Settings!$C$7))*100)</f>
        <v/>
      </c>
      <c r="AB632" s="7">
        <f>IF($D632="","",X632*AA632/100)</f>
        <v/>
      </c>
      <c r="AC632" s="7">
        <f>IF($D632="","",X632-AB632)</f>
        <v/>
      </c>
      <c r="AD632" s="7">
        <f>IF($D632="","",AC632-P632)</f>
        <v/>
      </c>
      <c r="AH632" s="7" t="n"/>
      <c r="AK632" s="11" t="n"/>
      <c r="AM632">
        <f>IF($D632="","",IF(COUNTIF($D$2:$D632,$D632)=1,1,0))</f>
        <v/>
      </c>
      <c r="AN632">
        <f>IF($AM632=1,SUMPRODUCT(--($AQ$2:$AQ$1001&lt;$AQ632))+1,"")</f>
        <v/>
      </c>
      <c r="AO632">
        <f>IF($D632="","",IF(OR($T632=TRUE(),$T632="TRUE"),1,0))</f>
        <v/>
      </c>
      <c r="AP632">
        <f>IF($D632="","",IF($Z632="Yes",1,0))</f>
        <v/>
      </c>
      <c r="AQ632">
        <f>IF($AM632=1,IFERROR(IF(VALUE($D632)&lt;100000000,VALUE($D632),1000000000),IFERROR(IF(VALUE(MID($D632,2,20))&lt;100000000,VALUE(MID($D632,2,20)),1000000000),1000000000))+ROW()/100000,"")</f>
        <v/>
      </c>
    </row>
    <row r="633">
      <c r="F633" s="11" t="n"/>
      <c r="P633" s="7">
        <f>IF($D633="","",O633*X633/100)</f>
        <v/>
      </c>
      <c r="Q633" s="7" t="n"/>
      <c r="W633" s="7" t="n"/>
      <c r="X633" s="7" t="n"/>
      <c r="AA633">
        <f>IF($D633="","",IF($AP633=1,0,IF($AO633=1,Settings!$C$6,Settings!$C$7))*100)</f>
        <v/>
      </c>
      <c r="AB633" s="7">
        <f>IF($D633="","",X633*AA633/100)</f>
        <v/>
      </c>
      <c r="AC633" s="7">
        <f>IF($D633="","",X633-AB633)</f>
        <v/>
      </c>
      <c r="AD633" s="7">
        <f>IF($D633="","",AC633-P633)</f>
        <v/>
      </c>
      <c r="AH633" s="7" t="n"/>
      <c r="AK633" s="11" t="n"/>
      <c r="AM633">
        <f>IF($D633="","",IF(COUNTIF($D$2:$D633,$D633)=1,1,0))</f>
        <v/>
      </c>
      <c r="AN633">
        <f>IF($AM633=1,SUMPRODUCT(--($AQ$2:$AQ$1001&lt;$AQ633))+1,"")</f>
        <v/>
      </c>
      <c r="AO633">
        <f>IF($D633="","",IF(OR($T633=TRUE(),$T633="TRUE"),1,0))</f>
        <v/>
      </c>
      <c r="AP633">
        <f>IF($D633="","",IF($Z633="Yes",1,0))</f>
        <v/>
      </c>
      <c r="AQ633">
        <f>IF($AM633=1,IFERROR(IF(VALUE($D633)&lt;100000000,VALUE($D633),1000000000),IFERROR(IF(VALUE(MID($D633,2,20))&lt;100000000,VALUE(MID($D633,2,20)),1000000000),1000000000))+ROW()/100000,"")</f>
        <v/>
      </c>
    </row>
    <row r="634">
      <c r="F634" s="11" t="n"/>
      <c r="P634" s="7">
        <f>IF($D634="","",O634*X634/100)</f>
        <v/>
      </c>
      <c r="Q634" s="7" t="n"/>
      <c r="W634" s="7" t="n"/>
      <c r="X634" s="7" t="n"/>
      <c r="AA634">
        <f>IF($D634="","",IF($AP634=1,0,IF($AO634=1,Settings!$C$6,Settings!$C$7))*100)</f>
        <v/>
      </c>
      <c r="AB634" s="7">
        <f>IF($D634="","",X634*AA634/100)</f>
        <v/>
      </c>
      <c r="AC634" s="7">
        <f>IF($D634="","",X634-AB634)</f>
        <v/>
      </c>
      <c r="AD634" s="7">
        <f>IF($D634="","",AC634-P634)</f>
        <v/>
      </c>
      <c r="AH634" s="7" t="n"/>
      <c r="AK634" s="11" t="n"/>
      <c r="AM634">
        <f>IF($D634="","",IF(COUNTIF($D$2:$D634,$D634)=1,1,0))</f>
        <v/>
      </c>
      <c r="AN634">
        <f>IF($AM634=1,SUMPRODUCT(--($AQ$2:$AQ$1001&lt;$AQ634))+1,"")</f>
        <v/>
      </c>
      <c r="AO634">
        <f>IF($D634="","",IF(OR($T634=TRUE(),$T634="TRUE"),1,0))</f>
        <v/>
      </c>
      <c r="AP634">
        <f>IF($D634="","",IF($Z634="Yes",1,0))</f>
        <v/>
      </c>
      <c r="AQ634">
        <f>IF($AM634=1,IFERROR(IF(VALUE($D634)&lt;100000000,VALUE($D634),1000000000),IFERROR(IF(VALUE(MID($D634,2,20))&lt;100000000,VALUE(MID($D634,2,20)),1000000000),1000000000))+ROW()/100000,"")</f>
        <v/>
      </c>
    </row>
    <row r="635">
      <c r="F635" s="11" t="n"/>
      <c r="P635" s="7">
        <f>IF($D635="","",O635*X635/100)</f>
        <v/>
      </c>
      <c r="Q635" s="7" t="n"/>
      <c r="W635" s="7" t="n"/>
      <c r="X635" s="7" t="n"/>
      <c r="AA635">
        <f>IF($D635="","",IF($AP635=1,0,IF($AO635=1,Settings!$C$6,Settings!$C$7))*100)</f>
        <v/>
      </c>
      <c r="AB635" s="7">
        <f>IF($D635="","",X635*AA635/100)</f>
        <v/>
      </c>
      <c r="AC635" s="7">
        <f>IF($D635="","",X635-AB635)</f>
        <v/>
      </c>
      <c r="AD635" s="7">
        <f>IF($D635="","",AC635-P635)</f>
        <v/>
      </c>
      <c r="AH635" s="7" t="n"/>
      <c r="AK635" s="11" t="n"/>
      <c r="AM635">
        <f>IF($D635="","",IF(COUNTIF($D$2:$D635,$D635)=1,1,0))</f>
        <v/>
      </c>
      <c r="AN635">
        <f>IF($AM635=1,SUMPRODUCT(--($AQ$2:$AQ$1001&lt;$AQ635))+1,"")</f>
        <v/>
      </c>
      <c r="AO635">
        <f>IF($D635="","",IF(OR($T635=TRUE(),$T635="TRUE"),1,0))</f>
        <v/>
      </c>
      <c r="AP635">
        <f>IF($D635="","",IF($Z635="Yes",1,0))</f>
        <v/>
      </c>
      <c r="AQ635">
        <f>IF($AM635=1,IFERROR(IF(VALUE($D635)&lt;100000000,VALUE($D635),1000000000),IFERROR(IF(VALUE(MID($D635,2,20))&lt;100000000,VALUE(MID($D635,2,20)),1000000000),1000000000))+ROW()/100000,"")</f>
        <v/>
      </c>
    </row>
    <row r="636">
      <c r="F636" s="11" t="n"/>
      <c r="P636" s="7">
        <f>IF($D636="","",O636*X636/100)</f>
        <v/>
      </c>
      <c r="Q636" s="7" t="n"/>
      <c r="W636" s="7" t="n"/>
      <c r="X636" s="7" t="n"/>
      <c r="AA636">
        <f>IF($D636="","",IF($AP636=1,0,IF($AO636=1,Settings!$C$6,Settings!$C$7))*100)</f>
        <v/>
      </c>
      <c r="AB636" s="7">
        <f>IF($D636="","",X636*AA636/100)</f>
        <v/>
      </c>
      <c r="AC636" s="7">
        <f>IF($D636="","",X636-AB636)</f>
        <v/>
      </c>
      <c r="AD636" s="7">
        <f>IF($D636="","",AC636-P636)</f>
        <v/>
      </c>
      <c r="AH636" s="7" t="n"/>
      <c r="AK636" s="11" t="n"/>
      <c r="AM636">
        <f>IF($D636="","",IF(COUNTIF($D$2:$D636,$D636)=1,1,0))</f>
        <v/>
      </c>
      <c r="AN636">
        <f>IF($AM636=1,SUMPRODUCT(--($AQ$2:$AQ$1001&lt;$AQ636))+1,"")</f>
        <v/>
      </c>
      <c r="AO636">
        <f>IF($D636="","",IF(OR($T636=TRUE(),$T636="TRUE"),1,0))</f>
        <v/>
      </c>
      <c r="AP636">
        <f>IF($D636="","",IF($Z636="Yes",1,0))</f>
        <v/>
      </c>
      <c r="AQ636">
        <f>IF($AM636=1,IFERROR(IF(VALUE($D636)&lt;100000000,VALUE($D636),1000000000),IFERROR(IF(VALUE(MID($D636,2,20))&lt;100000000,VALUE(MID($D636,2,20)),1000000000),1000000000))+ROW()/100000,"")</f>
        <v/>
      </c>
    </row>
    <row r="637">
      <c r="F637" s="11" t="n"/>
      <c r="P637" s="7">
        <f>IF($D637="","",O637*X637/100)</f>
        <v/>
      </c>
      <c r="Q637" s="7" t="n"/>
      <c r="W637" s="7" t="n"/>
      <c r="X637" s="7" t="n"/>
      <c r="AA637">
        <f>IF($D637="","",IF($AP637=1,0,IF($AO637=1,Settings!$C$6,Settings!$C$7))*100)</f>
        <v/>
      </c>
      <c r="AB637" s="7">
        <f>IF($D637="","",X637*AA637/100)</f>
        <v/>
      </c>
      <c r="AC637" s="7">
        <f>IF($D637="","",X637-AB637)</f>
        <v/>
      </c>
      <c r="AD637" s="7">
        <f>IF($D637="","",AC637-P637)</f>
        <v/>
      </c>
      <c r="AH637" s="7" t="n"/>
      <c r="AK637" s="11" t="n"/>
      <c r="AM637">
        <f>IF($D637="","",IF(COUNTIF($D$2:$D637,$D637)=1,1,0))</f>
        <v/>
      </c>
      <c r="AN637">
        <f>IF($AM637=1,SUMPRODUCT(--($AQ$2:$AQ$1001&lt;$AQ637))+1,"")</f>
        <v/>
      </c>
      <c r="AO637">
        <f>IF($D637="","",IF(OR($T637=TRUE(),$T637="TRUE"),1,0))</f>
        <v/>
      </c>
      <c r="AP637">
        <f>IF($D637="","",IF($Z637="Yes",1,0))</f>
        <v/>
      </c>
      <c r="AQ637">
        <f>IF($AM637=1,IFERROR(IF(VALUE($D637)&lt;100000000,VALUE($D637),1000000000),IFERROR(IF(VALUE(MID($D637,2,20))&lt;100000000,VALUE(MID($D637,2,20)),1000000000),1000000000))+ROW()/100000,"")</f>
        <v/>
      </c>
    </row>
    <row r="638">
      <c r="F638" s="11" t="n"/>
      <c r="P638" s="7">
        <f>IF($D638="","",O638*X638/100)</f>
        <v/>
      </c>
      <c r="Q638" s="7" t="n"/>
      <c r="W638" s="7" t="n"/>
      <c r="X638" s="7" t="n"/>
      <c r="AA638">
        <f>IF($D638="","",IF($AP638=1,0,IF($AO638=1,Settings!$C$6,Settings!$C$7))*100)</f>
        <v/>
      </c>
      <c r="AB638" s="7">
        <f>IF($D638="","",X638*AA638/100)</f>
        <v/>
      </c>
      <c r="AC638" s="7">
        <f>IF($D638="","",X638-AB638)</f>
        <v/>
      </c>
      <c r="AD638" s="7">
        <f>IF($D638="","",AC638-P638)</f>
        <v/>
      </c>
      <c r="AH638" s="7" t="n"/>
      <c r="AK638" s="11" t="n"/>
      <c r="AM638">
        <f>IF($D638="","",IF(COUNTIF($D$2:$D638,$D638)=1,1,0))</f>
        <v/>
      </c>
      <c r="AN638">
        <f>IF($AM638=1,SUMPRODUCT(--($AQ$2:$AQ$1001&lt;$AQ638))+1,"")</f>
        <v/>
      </c>
      <c r="AO638">
        <f>IF($D638="","",IF(OR($T638=TRUE(),$T638="TRUE"),1,0))</f>
        <v/>
      </c>
      <c r="AP638">
        <f>IF($D638="","",IF($Z638="Yes",1,0))</f>
        <v/>
      </c>
      <c r="AQ638">
        <f>IF($AM638=1,IFERROR(IF(VALUE($D638)&lt;100000000,VALUE($D638),1000000000),IFERROR(IF(VALUE(MID($D638,2,20))&lt;100000000,VALUE(MID($D638,2,20)),1000000000),1000000000))+ROW()/100000,"")</f>
        <v/>
      </c>
    </row>
    <row r="639">
      <c r="F639" s="11" t="n"/>
      <c r="P639" s="7">
        <f>IF($D639="","",O639*X639/100)</f>
        <v/>
      </c>
      <c r="Q639" s="7" t="n"/>
      <c r="W639" s="7" t="n"/>
      <c r="X639" s="7" t="n"/>
      <c r="AA639">
        <f>IF($D639="","",IF($AP639=1,0,IF($AO639=1,Settings!$C$6,Settings!$C$7))*100)</f>
        <v/>
      </c>
      <c r="AB639" s="7">
        <f>IF($D639="","",X639*AA639/100)</f>
        <v/>
      </c>
      <c r="AC639" s="7">
        <f>IF($D639="","",X639-AB639)</f>
        <v/>
      </c>
      <c r="AD639" s="7">
        <f>IF($D639="","",AC639-P639)</f>
        <v/>
      </c>
      <c r="AH639" s="7" t="n"/>
      <c r="AK639" s="11" t="n"/>
      <c r="AM639">
        <f>IF($D639="","",IF(COUNTIF($D$2:$D639,$D639)=1,1,0))</f>
        <v/>
      </c>
      <c r="AN639">
        <f>IF($AM639=1,SUMPRODUCT(--($AQ$2:$AQ$1001&lt;$AQ639))+1,"")</f>
        <v/>
      </c>
      <c r="AO639">
        <f>IF($D639="","",IF(OR($T639=TRUE(),$T639="TRUE"),1,0))</f>
        <v/>
      </c>
      <c r="AP639">
        <f>IF($D639="","",IF($Z639="Yes",1,0))</f>
        <v/>
      </c>
      <c r="AQ639">
        <f>IF($AM639=1,IFERROR(IF(VALUE($D639)&lt;100000000,VALUE($D639),1000000000),IFERROR(IF(VALUE(MID($D639,2,20))&lt;100000000,VALUE(MID($D639,2,20)),1000000000),1000000000))+ROW()/100000,"")</f>
        <v/>
      </c>
    </row>
    <row r="640">
      <c r="F640" s="11" t="n"/>
      <c r="P640" s="7">
        <f>IF($D640="","",O640*X640/100)</f>
        <v/>
      </c>
      <c r="Q640" s="7" t="n"/>
      <c r="W640" s="7" t="n"/>
      <c r="X640" s="7" t="n"/>
      <c r="AA640">
        <f>IF($D640="","",IF($AP640=1,0,IF($AO640=1,Settings!$C$6,Settings!$C$7))*100)</f>
        <v/>
      </c>
      <c r="AB640" s="7">
        <f>IF($D640="","",X640*AA640/100)</f>
        <v/>
      </c>
      <c r="AC640" s="7">
        <f>IF($D640="","",X640-AB640)</f>
        <v/>
      </c>
      <c r="AD640" s="7">
        <f>IF($D640="","",AC640-P640)</f>
        <v/>
      </c>
      <c r="AH640" s="7" t="n"/>
      <c r="AK640" s="11" t="n"/>
      <c r="AM640">
        <f>IF($D640="","",IF(COUNTIF($D$2:$D640,$D640)=1,1,0))</f>
        <v/>
      </c>
      <c r="AN640">
        <f>IF($AM640=1,SUMPRODUCT(--($AQ$2:$AQ$1001&lt;$AQ640))+1,"")</f>
        <v/>
      </c>
      <c r="AO640">
        <f>IF($D640="","",IF(OR($T640=TRUE(),$T640="TRUE"),1,0))</f>
        <v/>
      </c>
      <c r="AP640">
        <f>IF($D640="","",IF($Z640="Yes",1,0))</f>
        <v/>
      </c>
      <c r="AQ640">
        <f>IF($AM640=1,IFERROR(IF(VALUE($D640)&lt;100000000,VALUE($D640),1000000000),IFERROR(IF(VALUE(MID($D640,2,20))&lt;100000000,VALUE(MID($D640,2,20)),1000000000),1000000000))+ROW()/100000,"")</f>
        <v/>
      </c>
    </row>
    <row r="641">
      <c r="F641" s="11" t="n"/>
      <c r="P641" s="7">
        <f>IF($D641="","",O641*X641/100)</f>
        <v/>
      </c>
      <c r="Q641" s="7" t="n"/>
      <c r="W641" s="7" t="n"/>
      <c r="X641" s="7" t="n"/>
      <c r="AA641">
        <f>IF($D641="","",IF($AP641=1,0,IF($AO641=1,Settings!$C$6,Settings!$C$7))*100)</f>
        <v/>
      </c>
      <c r="AB641" s="7">
        <f>IF($D641="","",X641*AA641/100)</f>
        <v/>
      </c>
      <c r="AC641" s="7">
        <f>IF($D641="","",X641-AB641)</f>
        <v/>
      </c>
      <c r="AD641" s="7">
        <f>IF($D641="","",AC641-P641)</f>
        <v/>
      </c>
      <c r="AH641" s="7" t="n"/>
      <c r="AK641" s="11" t="n"/>
      <c r="AM641">
        <f>IF($D641="","",IF(COUNTIF($D$2:$D641,$D641)=1,1,0))</f>
        <v/>
      </c>
      <c r="AN641">
        <f>IF($AM641=1,SUMPRODUCT(--($AQ$2:$AQ$1001&lt;$AQ641))+1,"")</f>
        <v/>
      </c>
      <c r="AO641">
        <f>IF($D641="","",IF(OR($T641=TRUE(),$T641="TRUE"),1,0))</f>
        <v/>
      </c>
      <c r="AP641">
        <f>IF($D641="","",IF($Z641="Yes",1,0))</f>
        <v/>
      </c>
      <c r="AQ641">
        <f>IF($AM641=1,IFERROR(IF(VALUE($D641)&lt;100000000,VALUE($D641),1000000000),IFERROR(IF(VALUE(MID($D641,2,20))&lt;100000000,VALUE(MID($D641,2,20)),1000000000),1000000000))+ROW()/100000,"")</f>
        <v/>
      </c>
    </row>
    <row r="642">
      <c r="F642" s="11" t="n"/>
      <c r="P642" s="7">
        <f>IF($D642="","",O642*X642/100)</f>
        <v/>
      </c>
      <c r="Q642" s="7" t="n"/>
      <c r="W642" s="7" t="n"/>
      <c r="X642" s="7" t="n"/>
      <c r="AA642">
        <f>IF($D642="","",IF($AP642=1,0,IF($AO642=1,Settings!$C$6,Settings!$C$7))*100)</f>
        <v/>
      </c>
      <c r="AB642" s="7">
        <f>IF($D642="","",X642*AA642/100)</f>
        <v/>
      </c>
      <c r="AC642" s="7">
        <f>IF($D642="","",X642-AB642)</f>
        <v/>
      </c>
      <c r="AD642" s="7">
        <f>IF($D642="","",AC642-P642)</f>
        <v/>
      </c>
      <c r="AH642" s="7" t="n"/>
      <c r="AK642" s="11" t="n"/>
      <c r="AM642">
        <f>IF($D642="","",IF(COUNTIF($D$2:$D642,$D642)=1,1,0))</f>
        <v/>
      </c>
      <c r="AN642">
        <f>IF($AM642=1,SUMPRODUCT(--($AQ$2:$AQ$1001&lt;$AQ642))+1,"")</f>
        <v/>
      </c>
      <c r="AO642">
        <f>IF($D642="","",IF(OR($T642=TRUE(),$T642="TRUE"),1,0))</f>
        <v/>
      </c>
      <c r="AP642">
        <f>IF($D642="","",IF($Z642="Yes",1,0))</f>
        <v/>
      </c>
      <c r="AQ642">
        <f>IF($AM642=1,IFERROR(IF(VALUE($D642)&lt;100000000,VALUE($D642),1000000000),IFERROR(IF(VALUE(MID($D642,2,20))&lt;100000000,VALUE(MID($D642,2,20)),1000000000),1000000000))+ROW()/100000,"")</f>
        <v/>
      </c>
    </row>
    <row r="643">
      <c r="F643" s="11" t="n"/>
      <c r="P643" s="7">
        <f>IF($D643="","",O643*X643/100)</f>
        <v/>
      </c>
      <c r="Q643" s="7" t="n"/>
      <c r="W643" s="7" t="n"/>
      <c r="X643" s="7" t="n"/>
      <c r="AA643">
        <f>IF($D643="","",IF($AP643=1,0,IF($AO643=1,Settings!$C$6,Settings!$C$7))*100)</f>
        <v/>
      </c>
      <c r="AB643" s="7">
        <f>IF($D643="","",X643*AA643/100)</f>
        <v/>
      </c>
      <c r="AC643" s="7">
        <f>IF($D643="","",X643-AB643)</f>
        <v/>
      </c>
      <c r="AD643" s="7">
        <f>IF($D643="","",AC643-P643)</f>
        <v/>
      </c>
      <c r="AH643" s="7" t="n"/>
      <c r="AK643" s="11" t="n"/>
      <c r="AM643">
        <f>IF($D643="","",IF(COUNTIF($D$2:$D643,$D643)=1,1,0))</f>
        <v/>
      </c>
      <c r="AN643">
        <f>IF($AM643=1,SUMPRODUCT(--($AQ$2:$AQ$1001&lt;$AQ643))+1,"")</f>
        <v/>
      </c>
      <c r="AO643">
        <f>IF($D643="","",IF(OR($T643=TRUE(),$T643="TRUE"),1,0))</f>
        <v/>
      </c>
      <c r="AP643">
        <f>IF($D643="","",IF($Z643="Yes",1,0))</f>
        <v/>
      </c>
      <c r="AQ643">
        <f>IF($AM643=1,IFERROR(IF(VALUE($D643)&lt;100000000,VALUE($D643),1000000000),IFERROR(IF(VALUE(MID($D643,2,20))&lt;100000000,VALUE(MID($D643,2,20)),1000000000),1000000000))+ROW()/100000,"")</f>
        <v/>
      </c>
    </row>
    <row r="644">
      <c r="F644" s="11" t="n"/>
      <c r="P644" s="7">
        <f>IF($D644="","",O644*X644/100)</f>
        <v/>
      </c>
      <c r="Q644" s="7" t="n"/>
      <c r="W644" s="7" t="n"/>
      <c r="X644" s="7" t="n"/>
      <c r="AA644">
        <f>IF($D644="","",IF($AP644=1,0,IF($AO644=1,Settings!$C$6,Settings!$C$7))*100)</f>
        <v/>
      </c>
      <c r="AB644" s="7">
        <f>IF($D644="","",X644*AA644/100)</f>
        <v/>
      </c>
      <c r="AC644" s="7">
        <f>IF($D644="","",X644-AB644)</f>
        <v/>
      </c>
      <c r="AD644" s="7">
        <f>IF($D644="","",AC644-P644)</f>
        <v/>
      </c>
      <c r="AH644" s="7" t="n"/>
      <c r="AK644" s="11" t="n"/>
      <c r="AM644">
        <f>IF($D644="","",IF(COUNTIF($D$2:$D644,$D644)=1,1,0))</f>
        <v/>
      </c>
      <c r="AN644">
        <f>IF($AM644=1,SUMPRODUCT(--($AQ$2:$AQ$1001&lt;$AQ644))+1,"")</f>
        <v/>
      </c>
      <c r="AO644">
        <f>IF($D644="","",IF(OR($T644=TRUE(),$T644="TRUE"),1,0))</f>
        <v/>
      </c>
      <c r="AP644">
        <f>IF($D644="","",IF($Z644="Yes",1,0))</f>
        <v/>
      </c>
      <c r="AQ644">
        <f>IF($AM644=1,IFERROR(IF(VALUE($D644)&lt;100000000,VALUE($D644),1000000000),IFERROR(IF(VALUE(MID($D644,2,20))&lt;100000000,VALUE(MID($D644,2,20)),1000000000),1000000000))+ROW()/100000,"")</f>
        <v/>
      </c>
    </row>
    <row r="645">
      <c r="F645" s="11" t="n"/>
      <c r="P645" s="7">
        <f>IF($D645="","",O645*X645/100)</f>
        <v/>
      </c>
      <c r="Q645" s="7" t="n"/>
      <c r="W645" s="7" t="n"/>
      <c r="X645" s="7" t="n"/>
      <c r="AA645">
        <f>IF($D645="","",IF($AP645=1,0,IF($AO645=1,Settings!$C$6,Settings!$C$7))*100)</f>
        <v/>
      </c>
      <c r="AB645" s="7">
        <f>IF($D645="","",X645*AA645/100)</f>
        <v/>
      </c>
      <c r="AC645" s="7">
        <f>IF($D645="","",X645-AB645)</f>
        <v/>
      </c>
      <c r="AD645" s="7">
        <f>IF($D645="","",AC645-P645)</f>
        <v/>
      </c>
      <c r="AH645" s="7" t="n"/>
      <c r="AK645" s="11" t="n"/>
      <c r="AM645">
        <f>IF($D645="","",IF(COUNTIF($D$2:$D645,$D645)=1,1,0))</f>
        <v/>
      </c>
      <c r="AN645">
        <f>IF($AM645=1,SUMPRODUCT(--($AQ$2:$AQ$1001&lt;$AQ645))+1,"")</f>
        <v/>
      </c>
      <c r="AO645">
        <f>IF($D645="","",IF(OR($T645=TRUE(),$T645="TRUE"),1,0))</f>
        <v/>
      </c>
      <c r="AP645">
        <f>IF($D645="","",IF($Z645="Yes",1,0))</f>
        <v/>
      </c>
      <c r="AQ645">
        <f>IF($AM645=1,IFERROR(IF(VALUE($D645)&lt;100000000,VALUE($D645),1000000000),IFERROR(IF(VALUE(MID($D645,2,20))&lt;100000000,VALUE(MID($D645,2,20)),1000000000),1000000000))+ROW()/100000,"")</f>
        <v/>
      </c>
    </row>
    <row r="646">
      <c r="F646" s="11" t="n"/>
      <c r="P646" s="7">
        <f>IF($D646="","",O646*X646/100)</f>
        <v/>
      </c>
      <c r="Q646" s="7" t="n"/>
      <c r="W646" s="7" t="n"/>
      <c r="X646" s="7" t="n"/>
      <c r="AA646">
        <f>IF($D646="","",IF($AP646=1,0,IF($AO646=1,Settings!$C$6,Settings!$C$7))*100)</f>
        <v/>
      </c>
      <c r="AB646" s="7">
        <f>IF($D646="","",X646*AA646/100)</f>
        <v/>
      </c>
      <c r="AC646" s="7">
        <f>IF($D646="","",X646-AB646)</f>
        <v/>
      </c>
      <c r="AD646" s="7">
        <f>IF($D646="","",AC646-P646)</f>
        <v/>
      </c>
      <c r="AH646" s="7" t="n"/>
      <c r="AK646" s="11" t="n"/>
      <c r="AM646">
        <f>IF($D646="","",IF(COUNTIF($D$2:$D646,$D646)=1,1,0))</f>
        <v/>
      </c>
      <c r="AN646">
        <f>IF($AM646=1,SUMPRODUCT(--($AQ$2:$AQ$1001&lt;$AQ646))+1,"")</f>
        <v/>
      </c>
      <c r="AO646">
        <f>IF($D646="","",IF(OR($T646=TRUE(),$T646="TRUE"),1,0))</f>
        <v/>
      </c>
      <c r="AP646">
        <f>IF($D646="","",IF($Z646="Yes",1,0))</f>
        <v/>
      </c>
      <c r="AQ646">
        <f>IF($AM646=1,IFERROR(IF(VALUE($D646)&lt;100000000,VALUE($D646),1000000000),IFERROR(IF(VALUE(MID($D646,2,20))&lt;100000000,VALUE(MID($D646,2,20)),1000000000),1000000000))+ROW()/100000,"")</f>
        <v/>
      </c>
    </row>
    <row r="647">
      <c r="F647" s="11" t="n"/>
      <c r="P647" s="7">
        <f>IF($D647="","",O647*X647/100)</f>
        <v/>
      </c>
      <c r="Q647" s="7" t="n"/>
      <c r="W647" s="7" t="n"/>
      <c r="X647" s="7" t="n"/>
      <c r="AA647">
        <f>IF($D647="","",IF($AP647=1,0,IF($AO647=1,Settings!$C$6,Settings!$C$7))*100)</f>
        <v/>
      </c>
      <c r="AB647" s="7">
        <f>IF($D647="","",X647*AA647/100)</f>
        <v/>
      </c>
      <c r="AC647" s="7">
        <f>IF($D647="","",X647-AB647)</f>
        <v/>
      </c>
      <c r="AD647" s="7">
        <f>IF($D647="","",AC647-P647)</f>
        <v/>
      </c>
      <c r="AH647" s="7" t="n"/>
      <c r="AK647" s="11" t="n"/>
      <c r="AM647">
        <f>IF($D647="","",IF(COUNTIF($D$2:$D647,$D647)=1,1,0))</f>
        <v/>
      </c>
      <c r="AN647">
        <f>IF($AM647=1,SUMPRODUCT(--($AQ$2:$AQ$1001&lt;$AQ647))+1,"")</f>
        <v/>
      </c>
      <c r="AO647">
        <f>IF($D647="","",IF(OR($T647=TRUE(),$T647="TRUE"),1,0))</f>
        <v/>
      </c>
      <c r="AP647">
        <f>IF($D647="","",IF($Z647="Yes",1,0))</f>
        <v/>
      </c>
      <c r="AQ647">
        <f>IF($AM647=1,IFERROR(IF(VALUE($D647)&lt;100000000,VALUE($D647),1000000000),IFERROR(IF(VALUE(MID($D647,2,20))&lt;100000000,VALUE(MID($D647,2,20)),1000000000),1000000000))+ROW()/100000,"")</f>
        <v/>
      </c>
    </row>
    <row r="648">
      <c r="F648" s="11" t="n"/>
      <c r="P648" s="7">
        <f>IF($D648="","",O648*X648/100)</f>
        <v/>
      </c>
      <c r="Q648" s="7" t="n"/>
      <c r="W648" s="7" t="n"/>
      <c r="X648" s="7" t="n"/>
      <c r="AA648">
        <f>IF($D648="","",IF($AP648=1,0,IF($AO648=1,Settings!$C$6,Settings!$C$7))*100)</f>
        <v/>
      </c>
      <c r="AB648" s="7">
        <f>IF($D648="","",X648*AA648/100)</f>
        <v/>
      </c>
      <c r="AC648" s="7">
        <f>IF($D648="","",X648-AB648)</f>
        <v/>
      </c>
      <c r="AD648" s="7">
        <f>IF($D648="","",AC648-P648)</f>
        <v/>
      </c>
      <c r="AH648" s="7" t="n"/>
      <c r="AK648" s="11" t="n"/>
      <c r="AM648">
        <f>IF($D648="","",IF(COUNTIF($D$2:$D648,$D648)=1,1,0))</f>
        <v/>
      </c>
      <c r="AN648">
        <f>IF($AM648=1,SUMPRODUCT(--($AQ$2:$AQ$1001&lt;$AQ648))+1,"")</f>
        <v/>
      </c>
      <c r="AO648">
        <f>IF($D648="","",IF(OR($T648=TRUE(),$T648="TRUE"),1,0))</f>
        <v/>
      </c>
      <c r="AP648">
        <f>IF($D648="","",IF($Z648="Yes",1,0))</f>
        <v/>
      </c>
      <c r="AQ648">
        <f>IF($AM648=1,IFERROR(IF(VALUE($D648)&lt;100000000,VALUE($D648),1000000000),IFERROR(IF(VALUE(MID($D648,2,20))&lt;100000000,VALUE(MID($D648,2,20)),1000000000),1000000000))+ROW()/100000,"")</f>
        <v/>
      </c>
    </row>
    <row r="649">
      <c r="F649" s="11" t="n"/>
      <c r="P649" s="7">
        <f>IF($D649="","",O649*X649/100)</f>
        <v/>
      </c>
      <c r="Q649" s="7" t="n"/>
      <c r="W649" s="7" t="n"/>
      <c r="X649" s="7" t="n"/>
      <c r="AA649">
        <f>IF($D649="","",IF($AP649=1,0,IF($AO649=1,Settings!$C$6,Settings!$C$7))*100)</f>
        <v/>
      </c>
      <c r="AB649" s="7">
        <f>IF($D649="","",X649*AA649/100)</f>
        <v/>
      </c>
      <c r="AC649" s="7">
        <f>IF($D649="","",X649-AB649)</f>
        <v/>
      </c>
      <c r="AD649" s="7">
        <f>IF($D649="","",AC649-P649)</f>
        <v/>
      </c>
      <c r="AH649" s="7" t="n"/>
      <c r="AK649" s="11" t="n"/>
      <c r="AM649">
        <f>IF($D649="","",IF(COUNTIF($D$2:$D649,$D649)=1,1,0))</f>
        <v/>
      </c>
      <c r="AN649">
        <f>IF($AM649=1,SUMPRODUCT(--($AQ$2:$AQ$1001&lt;$AQ649))+1,"")</f>
        <v/>
      </c>
      <c r="AO649">
        <f>IF($D649="","",IF(OR($T649=TRUE(),$T649="TRUE"),1,0))</f>
        <v/>
      </c>
      <c r="AP649">
        <f>IF($D649="","",IF($Z649="Yes",1,0))</f>
        <v/>
      </c>
      <c r="AQ649">
        <f>IF($AM649=1,IFERROR(IF(VALUE($D649)&lt;100000000,VALUE($D649),1000000000),IFERROR(IF(VALUE(MID($D649,2,20))&lt;100000000,VALUE(MID($D649,2,20)),1000000000),1000000000))+ROW()/100000,"")</f>
        <v/>
      </c>
    </row>
    <row r="650">
      <c r="F650" s="11" t="n"/>
      <c r="P650" s="7">
        <f>IF($D650="","",O650*X650/100)</f>
        <v/>
      </c>
      <c r="Q650" s="7" t="n"/>
      <c r="W650" s="7" t="n"/>
      <c r="X650" s="7" t="n"/>
      <c r="AA650">
        <f>IF($D650="","",IF($AP650=1,0,IF($AO650=1,Settings!$C$6,Settings!$C$7))*100)</f>
        <v/>
      </c>
      <c r="AB650" s="7">
        <f>IF($D650="","",X650*AA650/100)</f>
        <v/>
      </c>
      <c r="AC650" s="7">
        <f>IF($D650="","",X650-AB650)</f>
        <v/>
      </c>
      <c r="AD650" s="7">
        <f>IF($D650="","",AC650-P650)</f>
        <v/>
      </c>
      <c r="AH650" s="7" t="n"/>
      <c r="AK650" s="11" t="n"/>
      <c r="AM650">
        <f>IF($D650="","",IF(COUNTIF($D$2:$D650,$D650)=1,1,0))</f>
        <v/>
      </c>
      <c r="AN650">
        <f>IF($AM650=1,SUMPRODUCT(--($AQ$2:$AQ$1001&lt;$AQ650))+1,"")</f>
        <v/>
      </c>
      <c r="AO650">
        <f>IF($D650="","",IF(OR($T650=TRUE(),$T650="TRUE"),1,0))</f>
        <v/>
      </c>
      <c r="AP650">
        <f>IF($D650="","",IF($Z650="Yes",1,0))</f>
        <v/>
      </c>
      <c r="AQ650">
        <f>IF($AM650=1,IFERROR(IF(VALUE($D650)&lt;100000000,VALUE($D650),1000000000),IFERROR(IF(VALUE(MID($D650,2,20))&lt;100000000,VALUE(MID($D650,2,20)),1000000000),1000000000))+ROW()/100000,"")</f>
        <v/>
      </c>
    </row>
    <row r="651">
      <c r="F651" s="11" t="n"/>
      <c r="P651" s="7">
        <f>IF($D651="","",O651*X651/100)</f>
        <v/>
      </c>
      <c r="Q651" s="7" t="n"/>
      <c r="W651" s="7" t="n"/>
      <c r="X651" s="7" t="n"/>
      <c r="AA651">
        <f>IF($D651="","",IF($AP651=1,0,IF($AO651=1,Settings!$C$6,Settings!$C$7))*100)</f>
        <v/>
      </c>
      <c r="AB651" s="7">
        <f>IF($D651="","",X651*AA651/100)</f>
        <v/>
      </c>
      <c r="AC651" s="7">
        <f>IF($D651="","",X651-AB651)</f>
        <v/>
      </c>
      <c r="AD651" s="7">
        <f>IF($D651="","",AC651-P651)</f>
        <v/>
      </c>
      <c r="AH651" s="7" t="n"/>
      <c r="AK651" s="11" t="n"/>
      <c r="AM651">
        <f>IF($D651="","",IF(COUNTIF($D$2:$D651,$D651)=1,1,0))</f>
        <v/>
      </c>
      <c r="AN651">
        <f>IF($AM651=1,SUMPRODUCT(--($AQ$2:$AQ$1001&lt;$AQ651))+1,"")</f>
        <v/>
      </c>
      <c r="AO651">
        <f>IF($D651="","",IF(OR($T651=TRUE(),$T651="TRUE"),1,0))</f>
        <v/>
      </c>
      <c r="AP651">
        <f>IF($D651="","",IF($Z651="Yes",1,0))</f>
        <v/>
      </c>
      <c r="AQ651">
        <f>IF($AM651=1,IFERROR(IF(VALUE($D651)&lt;100000000,VALUE($D651),1000000000),IFERROR(IF(VALUE(MID($D651,2,20))&lt;100000000,VALUE(MID($D651,2,20)),1000000000),1000000000))+ROW()/100000,"")</f>
        <v/>
      </c>
    </row>
    <row r="652">
      <c r="F652" s="11" t="n"/>
      <c r="P652" s="7">
        <f>IF($D652="","",O652*X652/100)</f>
        <v/>
      </c>
      <c r="Q652" s="7" t="n"/>
      <c r="W652" s="7" t="n"/>
      <c r="X652" s="7" t="n"/>
      <c r="AA652">
        <f>IF($D652="","",IF($AP652=1,0,IF($AO652=1,Settings!$C$6,Settings!$C$7))*100)</f>
        <v/>
      </c>
      <c r="AB652" s="7">
        <f>IF($D652="","",X652*AA652/100)</f>
        <v/>
      </c>
      <c r="AC652" s="7">
        <f>IF($D652="","",X652-AB652)</f>
        <v/>
      </c>
      <c r="AD652" s="7">
        <f>IF($D652="","",AC652-P652)</f>
        <v/>
      </c>
      <c r="AH652" s="7" t="n"/>
      <c r="AK652" s="11" t="n"/>
      <c r="AM652">
        <f>IF($D652="","",IF(COUNTIF($D$2:$D652,$D652)=1,1,0))</f>
        <v/>
      </c>
      <c r="AN652">
        <f>IF($AM652=1,SUMPRODUCT(--($AQ$2:$AQ$1001&lt;$AQ652))+1,"")</f>
        <v/>
      </c>
      <c r="AO652">
        <f>IF($D652="","",IF(OR($T652=TRUE(),$T652="TRUE"),1,0))</f>
        <v/>
      </c>
      <c r="AP652">
        <f>IF($D652="","",IF($Z652="Yes",1,0))</f>
        <v/>
      </c>
      <c r="AQ652">
        <f>IF($AM652=1,IFERROR(IF(VALUE($D652)&lt;100000000,VALUE($D652),1000000000),IFERROR(IF(VALUE(MID($D652,2,20))&lt;100000000,VALUE(MID($D652,2,20)),1000000000),1000000000))+ROW()/100000,"")</f>
        <v/>
      </c>
    </row>
    <row r="653">
      <c r="F653" s="11" t="n"/>
      <c r="P653" s="7">
        <f>IF($D653="","",O653*X653/100)</f>
        <v/>
      </c>
      <c r="Q653" s="7" t="n"/>
      <c r="W653" s="7" t="n"/>
      <c r="X653" s="7" t="n"/>
      <c r="AA653">
        <f>IF($D653="","",IF($AP653=1,0,IF($AO653=1,Settings!$C$6,Settings!$C$7))*100)</f>
        <v/>
      </c>
      <c r="AB653" s="7">
        <f>IF($D653="","",X653*AA653/100)</f>
        <v/>
      </c>
      <c r="AC653" s="7">
        <f>IF($D653="","",X653-AB653)</f>
        <v/>
      </c>
      <c r="AD653" s="7">
        <f>IF($D653="","",AC653-P653)</f>
        <v/>
      </c>
      <c r="AH653" s="7" t="n"/>
      <c r="AK653" s="11" t="n"/>
      <c r="AM653">
        <f>IF($D653="","",IF(COUNTIF($D$2:$D653,$D653)=1,1,0))</f>
        <v/>
      </c>
      <c r="AN653">
        <f>IF($AM653=1,SUMPRODUCT(--($AQ$2:$AQ$1001&lt;$AQ653))+1,"")</f>
        <v/>
      </c>
      <c r="AO653">
        <f>IF($D653="","",IF(OR($T653=TRUE(),$T653="TRUE"),1,0))</f>
        <v/>
      </c>
      <c r="AP653">
        <f>IF($D653="","",IF($Z653="Yes",1,0))</f>
        <v/>
      </c>
      <c r="AQ653">
        <f>IF($AM653=1,IFERROR(IF(VALUE($D653)&lt;100000000,VALUE($D653),1000000000),IFERROR(IF(VALUE(MID($D653,2,20))&lt;100000000,VALUE(MID($D653,2,20)),1000000000),1000000000))+ROW()/100000,"")</f>
        <v/>
      </c>
    </row>
    <row r="654">
      <c r="F654" s="11" t="n"/>
      <c r="P654" s="7">
        <f>IF($D654="","",O654*X654/100)</f>
        <v/>
      </c>
      <c r="Q654" s="7" t="n"/>
      <c r="W654" s="7" t="n"/>
      <c r="X654" s="7" t="n"/>
      <c r="AA654">
        <f>IF($D654="","",IF($AP654=1,0,IF($AO654=1,Settings!$C$6,Settings!$C$7))*100)</f>
        <v/>
      </c>
      <c r="AB654" s="7">
        <f>IF($D654="","",X654*AA654/100)</f>
        <v/>
      </c>
      <c r="AC654" s="7">
        <f>IF($D654="","",X654-AB654)</f>
        <v/>
      </c>
      <c r="AD654" s="7">
        <f>IF($D654="","",AC654-P654)</f>
        <v/>
      </c>
      <c r="AH654" s="7" t="n"/>
      <c r="AK654" s="11" t="n"/>
      <c r="AM654">
        <f>IF($D654="","",IF(COUNTIF($D$2:$D654,$D654)=1,1,0))</f>
        <v/>
      </c>
      <c r="AN654">
        <f>IF($AM654=1,SUMPRODUCT(--($AQ$2:$AQ$1001&lt;$AQ654))+1,"")</f>
        <v/>
      </c>
      <c r="AO654">
        <f>IF($D654="","",IF(OR($T654=TRUE(),$T654="TRUE"),1,0))</f>
        <v/>
      </c>
      <c r="AP654">
        <f>IF($D654="","",IF($Z654="Yes",1,0))</f>
        <v/>
      </c>
      <c r="AQ654">
        <f>IF($AM654=1,IFERROR(IF(VALUE($D654)&lt;100000000,VALUE($D654),1000000000),IFERROR(IF(VALUE(MID($D654,2,20))&lt;100000000,VALUE(MID($D654,2,20)),1000000000),1000000000))+ROW()/100000,"")</f>
        <v/>
      </c>
    </row>
    <row r="655">
      <c r="F655" s="11" t="n"/>
      <c r="P655" s="7">
        <f>IF($D655="","",O655*X655/100)</f>
        <v/>
      </c>
      <c r="Q655" s="7" t="n"/>
      <c r="W655" s="7" t="n"/>
      <c r="X655" s="7" t="n"/>
      <c r="AA655">
        <f>IF($D655="","",IF($AP655=1,0,IF($AO655=1,Settings!$C$6,Settings!$C$7))*100)</f>
        <v/>
      </c>
      <c r="AB655" s="7">
        <f>IF($D655="","",X655*AA655/100)</f>
        <v/>
      </c>
      <c r="AC655" s="7">
        <f>IF($D655="","",X655-AB655)</f>
        <v/>
      </c>
      <c r="AD655" s="7">
        <f>IF($D655="","",AC655-P655)</f>
        <v/>
      </c>
      <c r="AH655" s="7" t="n"/>
      <c r="AK655" s="11" t="n"/>
      <c r="AM655">
        <f>IF($D655="","",IF(COUNTIF($D$2:$D655,$D655)=1,1,0))</f>
        <v/>
      </c>
      <c r="AN655">
        <f>IF($AM655=1,SUMPRODUCT(--($AQ$2:$AQ$1001&lt;$AQ655))+1,"")</f>
        <v/>
      </c>
      <c r="AO655">
        <f>IF($D655="","",IF(OR($T655=TRUE(),$T655="TRUE"),1,0))</f>
        <v/>
      </c>
      <c r="AP655">
        <f>IF($D655="","",IF($Z655="Yes",1,0))</f>
        <v/>
      </c>
      <c r="AQ655">
        <f>IF($AM655=1,IFERROR(IF(VALUE($D655)&lt;100000000,VALUE($D655),1000000000),IFERROR(IF(VALUE(MID($D655,2,20))&lt;100000000,VALUE(MID($D655,2,20)),1000000000),1000000000))+ROW()/100000,"")</f>
        <v/>
      </c>
    </row>
    <row r="656">
      <c r="F656" s="11" t="n"/>
      <c r="P656" s="7">
        <f>IF($D656="","",O656*X656/100)</f>
        <v/>
      </c>
      <c r="Q656" s="7" t="n"/>
      <c r="W656" s="7" t="n"/>
      <c r="X656" s="7" t="n"/>
      <c r="AA656">
        <f>IF($D656="","",IF($AP656=1,0,IF($AO656=1,Settings!$C$6,Settings!$C$7))*100)</f>
        <v/>
      </c>
      <c r="AB656" s="7">
        <f>IF($D656="","",X656*AA656/100)</f>
        <v/>
      </c>
      <c r="AC656" s="7">
        <f>IF($D656="","",X656-AB656)</f>
        <v/>
      </c>
      <c r="AD656" s="7">
        <f>IF($D656="","",AC656-P656)</f>
        <v/>
      </c>
      <c r="AH656" s="7" t="n"/>
      <c r="AK656" s="11" t="n"/>
      <c r="AM656">
        <f>IF($D656="","",IF(COUNTIF($D$2:$D656,$D656)=1,1,0))</f>
        <v/>
      </c>
      <c r="AN656">
        <f>IF($AM656=1,SUMPRODUCT(--($AQ$2:$AQ$1001&lt;$AQ656))+1,"")</f>
        <v/>
      </c>
      <c r="AO656">
        <f>IF($D656="","",IF(OR($T656=TRUE(),$T656="TRUE"),1,0))</f>
        <v/>
      </c>
      <c r="AP656">
        <f>IF($D656="","",IF($Z656="Yes",1,0))</f>
        <v/>
      </c>
      <c r="AQ656">
        <f>IF($AM656=1,IFERROR(IF(VALUE($D656)&lt;100000000,VALUE($D656),1000000000),IFERROR(IF(VALUE(MID($D656,2,20))&lt;100000000,VALUE(MID($D656,2,20)),1000000000),1000000000))+ROW()/100000,"")</f>
        <v/>
      </c>
    </row>
    <row r="657">
      <c r="F657" s="11" t="n"/>
      <c r="P657" s="7">
        <f>IF($D657="","",O657*X657/100)</f>
        <v/>
      </c>
      <c r="Q657" s="7" t="n"/>
      <c r="W657" s="7" t="n"/>
      <c r="X657" s="7" t="n"/>
      <c r="AA657">
        <f>IF($D657="","",IF($AP657=1,0,IF($AO657=1,Settings!$C$6,Settings!$C$7))*100)</f>
        <v/>
      </c>
      <c r="AB657" s="7">
        <f>IF($D657="","",X657*AA657/100)</f>
        <v/>
      </c>
      <c r="AC657" s="7">
        <f>IF($D657="","",X657-AB657)</f>
        <v/>
      </c>
      <c r="AD657" s="7">
        <f>IF($D657="","",AC657-P657)</f>
        <v/>
      </c>
      <c r="AH657" s="7" t="n"/>
      <c r="AK657" s="11" t="n"/>
      <c r="AM657">
        <f>IF($D657="","",IF(COUNTIF($D$2:$D657,$D657)=1,1,0))</f>
        <v/>
      </c>
      <c r="AN657">
        <f>IF($AM657=1,SUMPRODUCT(--($AQ$2:$AQ$1001&lt;$AQ657))+1,"")</f>
        <v/>
      </c>
      <c r="AO657">
        <f>IF($D657="","",IF(OR($T657=TRUE(),$T657="TRUE"),1,0))</f>
        <v/>
      </c>
      <c r="AP657">
        <f>IF($D657="","",IF($Z657="Yes",1,0))</f>
        <v/>
      </c>
      <c r="AQ657">
        <f>IF($AM657=1,IFERROR(IF(VALUE($D657)&lt;100000000,VALUE($D657),1000000000),IFERROR(IF(VALUE(MID($D657,2,20))&lt;100000000,VALUE(MID($D657,2,20)),1000000000),1000000000))+ROW()/100000,"")</f>
        <v/>
      </c>
    </row>
    <row r="658">
      <c r="F658" s="11" t="n"/>
      <c r="P658" s="7">
        <f>IF($D658="","",O658*X658/100)</f>
        <v/>
      </c>
      <c r="Q658" s="7" t="n"/>
      <c r="W658" s="7" t="n"/>
      <c r="X658" s="7" t="n"/>
      <c r="AA658">
        <f>IF($D658="","",IF($AP658=1,0,IF($AO658=1,Settings!$C$6,Settings!$C$7))*100)</f>
        <v/>
      </c>
      <c r="AB658" s="7">
        <f>IF($D658="","",X658*AA658/100)</f>
        <v/>
      </c>
      <c r="AC658" s="7">
        <f>IF($D658="","",X658-AB658)</f>
        <v/>
      </c>
      <c r="AD658" s="7">
        <f>IF($D658="","",AC658-P658)</f>
        <v/>
      </c>
      <c r="AH658" s="7" t="n"/>
      <c r="AK658" s="11" t="n"/>
      <c r="AM658">
        <f>IF($D658="","",IF(COUNTIF($D$2:$D658,$D658)=1,1,0))</f>
        <v/>
      </c>
      <c r="AN658">
        <f>IF($AM658=1,SUMPRODUCT(--($AQ$2:$AQ$1001&lt;$AQ658))+1,"")</f>
        <v/>
      </c>
      <c r="AO658">
        <f>IF($D658="","",IF(OR($T658=TRUE(),$T658="TRUE"),1,0))</f>
        <v/>
      </c>
      <c r="AP658">
        <f>IF($D658="","",IF($Z658="Yes",1,0))</f>
        <v/>
      </c>
      <c r="AQ658">
        <f>IF($AM658=1,IFERROR(IF(VALUE($D658)&lt;100000000,VALUE($D658),1000000000),IFERROR(IF(VALUE(MID($D658,2,20))&lt;100000000,VALUE(MID($D658,2,20)),1000000000),1000000000))+ROW()/100000,"")</f>
        <v/>
      </c>
    </row>
    <row r="659">
      <c r="F659" s="11" t="n"/>
      <c r="P659" s="7">
        <f>IF($D659="","",O659*X659/100)</f>
        <v/>
      </c>
      <c r="Q659" s="7" t="n"/>
      <c r="W659" s="7" t="n"/>
      <c r="X659" s="7" t="n"/>
      <c r="AA659">
        <f>IF($D659="","",IF($AP659=1,0,IF($AO659=1,Settings!$C$6,Settings!$C$7))*100)</f>
        <v/>
      </c>
      <c r="AB659" s="7">
        <f>IF($D659="","",X659*AA659/100)</f>
        <v/>
      </c>
      <c r="AC659" s="7">
        <f>IF($D659="","",X659-AB659)</f>
        <v/>
      </c>
      <c r="AD659" s="7">
        <f>IF($D659="","",AC659-P659)</f>
        <v/>
      </c>
      <c r="AH659" s="7" t="n"/>
      <c r="AK659" s="11" t="n"/>
      <c r="AM659">
        <f>IF($D659="","",IF(COUNTIF($D$2:$D659,$D659)=1,1,0))</f>
        <v/>
      </c>
      <c r="AN659">
        <f>IF($AM659=1,SUMPRODUCT(--($AQ$2:$AQ$1001&lt;$AQ659))+1,"")</f>
        <v/>
      </c>
      <c r="AO659">
        <f>IF($D659="","",IF(OR($T659=TRUE(),$T659="TRUE"),1,0))</f>
        <v/>
      </c>
      <c r="AP659">
        <f>IF($D659="","",IF($Z659="Yes",1,0))</f>
        <v/>
      </c>
      <c r="AQ659">
        <f>IF($AM659=1,IFERROR(IF(VALUE($D659)&lt;100000000,VALUE($D659),1000000000),IFERROR(IF(VALUE(MID($D659,2,20))&lt;100000000,VALUE(MID($D659,2,20)),1000000000),1000000000))+ROW()/100000,"")</f>
        <v/>
      </c>
    </row>
    <row r="660">
      <c r="F660" s="11" t="n"/>
      <c r="P660" s="7">
        <f>IF($D660="","",O660*X660/100)</f>
        <v/>
      </c>
      <c r="Q660" s="7" t="n"/>
      <c r="W660" s="7" t="n"/>
      <c r="X660" s="7" t="n"/>
      <c r="AA660">
        <f>IF($D660="","",IF($AP660=1,0,IF($AO660=1,Settings!$C$6,Settings!$C$7))*100)</f>
        <v/>
      </c>
      <c r="AB660" s="7">
        <f>IF($D660="","",X660*AA660/100)</f>
        <v/>
      </c>
      <c r="AC660" s="7">
        <f>IF($D660="","",X660-AB660)</f>
        <v/>
      </c>
      <c r="AD660" s="7">
        <f>IF($D660="","",AC660-P660)</f>
        <v/>
      </c>
      <c r="AH660" s="7" t="n"/>
      <c r="AK660" s="11" t="n"/>
      <c r="AM660">
        <f>IF($D660="","",IF(COUNTIF($D$2:$D660,$D660)=1,1,0))</f>
        <v/>
      </c>
      <c r="AN660">
        <f>IF($AM660=1,SUMPRODUCT(--($AQ$2:$AQ$1001&lt;$AQ660))+1,"")</f>
        <v/>
      </c>
      <c r="AO660">
        <f>IF($D660="","",IF(OR($T660=TRUE(),$T660="TRUE"),1,0))</f>
        <v/>
      </c>
      <c r="AP660">
        <f>IF($D660="","",IF($Z660="Yes",1,0))</f>
        <v/>
      </c>
      <c r="AQ660">
        <f>IF($AM660=1,IFERROR(IF(VALUE($D660)&lt;100000000,VALUE($D660),1000000000),IFERROR(IF(VALUE(MID($D660,2,20))&lt;100000000,VALUE(MID($D660,2,20)),1000000000),1000000000))+ROW()/100000,"")</f>
        <v/>
      </c>
    </row>
    <row r="661">
      <c r="F661" s="11" t="n"/>
      <c r="P661" s="7">
        <f>IF($D661="","",O661*X661/100)</f>
        <v/>
      </c>
      <c r="Q661" s="7" t="n"/>
      <c r="W661" s="7" t="n"/>
      <c r="X661" s="7" t="n"/>
      <c r="AA661">
        <f>IF($D661="","",IF($AP661=1,0,IF($AO661=1,Settings!$C$6,Settings!$C$7))*100)</f>
        <v/>
      </c>
      <c r="AB661" s="7">
        <f>IF($D661="","",X661*AA661/100)</f>
        <v/>
      </c>
      <c r="AC661" s="7">
        <f>IF($D661="","",X661-AB661)</f>
        <v/>
      </c>
      <c r="AD661" s="7">
        <f>IF($D661="","",AC661-P661)</f>
        <v/>
      </c>
      <c r="AH661" s="7" t="n"/>
      <c r="AK661" s="11" t="n"/>
      <c r="AM661">
        <f>IF($D661="","",IF(COUNTIF($D$2:$D661,$D661)=1,1,0))</f>
        <v/>
      </c>
      <c r="AN661">
        <f>IF($AM661=1,SUMPRODUCT(--($AQ$2:$AQ$1001&lt;$AQ661))+1,"")</f>
        <v/>
      </c>
      <c r="AO661">
        <f>IF($D661="","",IF(OR($T661=TRUE(),$T661="TRUE"),1,0))</f>
        <v/>
      </c>
      <c r="AP661">
        <f>IF($D661="","",IF($Z661="Yes",1,0))</f>
        <v/>
      </c>
      <c r="AQ661">
        <f>IF($AM661=1,IFERROR(IF(VALUE($D661)&lt;100000000,VALUE($D661),1000000000),IFERROR(IF(VALUE(MID($D661,2,20))&lt;100000000,VALUE(MID($D661,2,20)),1000000000),1000000000))+ROW()/100000,"")</f>
        <v/>
      </c>
    </row>
    <row r="662">
      <c r="F662" s="11" t="n"/>
      <c r="P662" s="7">
        <f>IF($D662="","",O662*X662/100)</f>
        <v/>
      </c>
      <c r="Q662" s="7" t="n"/>
      <c r="W662" s="7" t="n"/>
      <c r="X662" s="7" t="n"/>
      <c r="AA662">
        <f>IF($D662="","",IF($AP662=1,0,IF($AO662=1,Settings!$C$6,Settings!$C$7))*100)</f>
        <v/>
      </c>
      <c r="AB662" s="7">
        <f>IF($D662="","",X662*AA662/100)</f>
        <v/>
      </c>
      <c r="AC662" s="7">
        <f>IF($D662="","",X662-AB662)</f>
        <v/>
      </c>
      <c r="AD662" s="7">
        <f>IF($D662="","",AC662-P662)</f>
        <v/>
      </c>
      <c r="AH662" s="7" t="n"/>
      <c r="AK662" s="11" t="n"/>
      <c r="AM662">
        <f>IF($D662="","",IF(COUNTIF($D$2:$D662,$D662)=1,1,0))</f>
        <v/>
      </c>
      <c r="AN662">
        <f>IF($AM662=1,SUMPRODUCT(--($AQ$2:$AQ$1001&lt;$AQ662))+1,"")</f>
        <v/>
      </c>
      <c r="AO662">
        <f>IF($D662="","",IF(OR($T662=TRUE(),$T662="TRUE"),1,0))</f>
        <v/>
      </c>
      <c r="AP662">
        <f>IF($D662="","",IF($Z662="Yes",1,0))</f>
        <v/>
      </c>
      <c r="AQ662">
        <f>IF($AM662=1,IFERROR(IF(VALUE($D662)&lt;100000000,VALUE($D662),1000000000),IFERROR(IF(VALUE(MID($D662,2,20))&lt;100000000,VALUE(MID($D662,2,20)),1000000000),1000000000))+ROW()/100000,"")</f>
        <v/>
      </c>
    </row>
    <row r="663">
      <c r="F663" s="11" t="n"/>
      <c r="P663" s="7">
        <f>IF($D663="","",O663*X663/100)</f>
        <v/>
      </c>
      <c r="Q663" s="7" t="n"/>
      <c r="W663" s="7" t="n"/>
      <c r="X663" s="7" t="n"/>
      <c r="AA663">
        <f>IF($D663="","",IF($AP663=1,0,IF($AO663=1,Settings!$C$6,Settings!$C$7))*100)</f>
        <v/>
      </c>
      <c r="AB663" s="7">
        <f>IF($D663="","",X663*AA663/100)</f>
        <v/>
      </c>
      <c r="AC663" s="7">
        <f>IF($D663="","",X663-AB663)</f>
        <v/>
      </c>
      <c r="AD663" s="7">
        <f>IF($D663="","",AC663-P663)</f>
        <v/>
      </c>
      <c r="AH663" s="7" t="n"/>
      <c r="AK663" s="11" t="n"/>
      <c r="AM663">
        <f>IF($D663="","",IF(COUNTIF($D$2:$D663,$D663)=1,1,0))</f>
        <v/>
      </c>
      <c r="AN663">
        <f>IF($AM663=1,SUMPRODUCT(--($AQ$2:$AQ$1001&lt;$AQ663))+1,"")</f>
        <v/>
      </c>
      <c r="AO663">
        <f>IF($D663="","",IF(OR($T663=TRUE(),$T663="TRUE"),1,0))</f>
        <v/>
      </c>
      <c r="AP663">
        <f>IF($D663="","",IF($Z663="Yes",1,0))</f>
        <v/>
      </c>
      <c r="AQ663">
        <f>IF($AM663=1,IFERROR(IF(VALUE($D663)&lt;100000000,VALUE($D663),1000000000),IFERROR(IF(VALUE(MID($D663,2,20))&lt;100000000,VALUE(MID($D663,2,20)),1000000000),1000000000))+ROW()/100000,"")</f>
        <v/>
      </c>
    </row>
    <row r="664">
      <c r="F664" s="11" t="n"/>
      <c r="P664" s="7">
        <f>IF($D664="","",O664*X664/100)</f>
        <v/>
      </c>
      <c r="Q664" s="7" t="n"/>
      <c r="W664" s="7" t="n"/>
      <c r="X664" s="7" t="n"/>
      <c r="AA664">
        <f>IF($D664="","",IF($AP664=1,0,IF($AO664=1,Settings!$C$6,Settings!$C$7))*100)</f>
        <v/>
      </c>
      <c r="AB664" s="7">
        <f>IF($D664="","",X664*AA664/100)</f>
        <v/>
      </c>
      <c r="AC664" s="7">
        <f>IF($D664="","",X664-AB664)</f>
        <v/>
      </c>
      <c r="AD664" s="7">
        <f>IF($D664="","",AC664-P664)</f>
        <v/>
      </c>
      <c r="AH664" s="7" t="n"/>
      <c r="AK664" s="11" t="n"/>
      <c r="AM664">
        <f>IF($D664="","",IF(COUNTIF($D$2:$D664,$D664)=1,1,0))</f>
        <v/>
      </c>
      <c r="AN664">
        <f>IF($AM664=1,SUMPRODUCT(--($AQ$2:$AQ$1001&lt;$AQ664))+1,"")</f>
        <v/>
      </c>
      <c r="AO664">
        <f>IF($D664="","",IF(OR($T664=TRUE(),$T664="TRUE"),1,0))</f>
        <v/>
      </c>
      <c r="AP664">
        <f>IF($D664="","",IF($Z664="Yes",1,0))</f>
        <v/>
      </c>
      <c r="AQ664">
        <f>IF($AM664=1,IFERROR(IF(VALUE($D664)&lt;100000000,VALUE($D664),1000000000),IFERROR(IF(VALUE(MID($D664,2,20))&lt;100000000,VALUE(MID($D664,2,20)),1000000000),1000000000))+ROW()/100000,"")</f>
        <v/>
      </c>
    </row>
    <row r="665">
      <c r="F665" s="11" t="n"/>
      <c r="P665" s="7">
        <f>IF($D665="","",O665*X665/100)</f>
        <v/>
      </c>
      <c r="Q665" s="7" t="n"/>
      <c r="W665" s="7" t="n"/>
      <c r="X665" s="7" t="n"/>
      <c r="AA665">
        <f>IF($D665="","",IF($AP665=1,0,IF($AO665=1,Settings!$C$6,Settings!$C$7))*100)</f>
        <v/>
      </c>
      <c r="AB665" s="7">
        <f>IF($D665="","",X665*AA665/100)</f>
        <v/>
      </c>
      <c r="AC665" s="7">
        <f>IF($D665="","",X665-AB665)</f>
        <v/>
      </c>
      <c r="AD665" s="7">
        <f>IF($D665="","",AC665-P665)</f>
        <v/>
      </c>
      <c r="AH665" s="7" t="n"/>
      <c r="AK665" s="11" t="n"/>
      <c r="AM665">
        <f>IF($D665="","",IF(COUNTIF($D$2:$D665,$D665)=1,1,0))</f>
        <v/>
      </c>
      <c r="AN665">
        <f>IF($AM665=1,SUMPRODUCT(--($AQ$2:$AQ$1001&lt;$AQ665))+1,"")</f>
        <v/>
      </c>
      <c r="AO665">
        <f>IF($D665="","",IF(OR($T665=TRUE(),$T665="TRUE"),1,0))</f>
        <v/>
      </c>
      <c r="AP665">
        <f>IF($D665="","",IF($Z665="Yes",1,0))</f>
        <v/>
      </c>
      <c r="AQ665">
        <f>IF($AM665=1,IFERROR(IF(VALUE($D665)&lt;100000000,VALUE($D665),1000000000),IFERROR(IF(VALUE(MID($D665,2,20))&lt;100000000,VALUE(MID($D665,2,20)),1000000000),1000000000))+ROW()/100000,"")</f>
        <v/>
      </c>
    </row>
    <row r="666">
      <c r="F666" s="11" t="n"/>
      <c r="P666" s="7">
        <f>IF($D666="","",O666*X666/100)</f>
        <v/>
      </c>
      <c r="Q666" s="7" t="n"/>
      <c r="W666" s="7" t="n"/>
      <c r="X666" s="7" t="n"/>
      <c r="AA666">
        <f>IF($D666="","",IF($AP666=1,0,IF($AO666=1,Settings!$C$6,Settings!$C$7))*100)</f>
        <v/>
      </c>
      <c r="AB666" s="7">
        <f>IF($D666="","",X666*AA666/100)</f>
        <v/>
      </c>
      <c r="AC666" s="7">
        <f>IF($D666="","",X666-AB666)</f>
        <v/>
      </c>
      <c r="AD666" s="7">
        <f>IF($D666="","",AC666-P666)</f>
        <v/>
      </c>
      <c r="AH666" s="7" t="n"/>
      <c r="AK666" s="11" t="n"/>
      <c r="AM666">
        <f>IF($D666="","",IF(COUNTIF($D$2:$D666,$D666)=1,1,0))</f>
        <v/>
      </c>
      <c r="AN666">
        <f>IF($AM666=1,SUMPRODUCT(--($AQ$2:$AQ$1001&lt;$AQ666))+1,"")</f>
        <v/>
      </c>
      <c r="AO666">
        <f>IF($D666="","",IF(OR($T666=TRUE(),$T666="TRUE"),1,0))</f>
        <v/>
      </c>
      <c r="AP666">
        <f>IF($D666="","",IF($Z666="Yes",1,0))</f>
        <v/>
      </c>
      <c r="AQ666">
        <f>IF($AM666=1,IFERROR(IF(VALUE($D666)&lt;100000000,VALUE($D666),1000000000),IFERROR(IF(VALUE(MID($D666,2,20))&lt;100000000,VALUE(MID($D666,2,20)),1000000000),1000000000))+ROW()/100000,"")</f>
        <v/>
      </c>
    </row>
    <row r="667">
      <c r="F667" s="11" t="n"/>
      <c r="P667" s="7">
        <f>IF($D667="","",O667*X667/100)</f>
        <v/>
      </c>
      <c r="Q667" s="7" t="n"/>
      <c r="W667" s="7" t="n"/>
      <c r="X667" s="7" t="n"/>
      <c r="AA667">
        <f>IF($D667="","",IF($AP667=1,0,IF($AO667=1,Settings!$C$6,Settings!$C$7))*100)</f>
        <v/>
      </c>
      <c r="AB667" s="7">
        <f>IF($D667="","",X667*AA667/100)</f>
        <v/>
      </c>
      <c r="AC667" s="7">
        <f>IF($D667="","",X667-AB667)</f>
        <v/>
      </c>
      <c r="AD667" s="7">
        <f>IF($D667="","",AC667-P667)</f>
        <v/>
      </c>
      <c r="AH667" s="7" t="n"/>
      <c r="AK667" s="11" t="n"/>
      <c r="AM667">
        <f>IF($D667="","",IF(COUNTIF($D$2:$D667,$D667)=1,1,0))</f>
        <v/>
      </c>
      <c r="AN667">
        <f>IF($AM667=1,SUMPRODUCT(--($AQ$2:$AQ$1001&lt;$AQ667))+1,"")</f>
        <v/>
      </c>
      <c r="AO667">
        <f>IF($D667="","",IF(OR($T667=TRUE(),$T667="TRUE"),1,0))</f>
        <v/>
      </c>
      <c r="AP667">
        <f>IF($D667="","",IF($Z667="Yes",1,0))</f>
        <v/>
      </c>
      <c r="AQ667">
        <f>IF($AM667=1,IFERROR(IF(VALUE($D667)&lt;100000000,VALUE($D667),1000000000),IFERROR(IF(VALUE(MID($D667,2,20))&lt;100000000,VALUE(MID($D667,2,20)),1000000000),1000000000))+ROW()/100000,"")</f>
        <v/>
      </c>
    </row>
    <row r="668">
      <c r="F668" s="11" t="n"/>
      <c r="P668" s="7">
        <f>IF($D668="","",O668*X668/100)</f>
        <v/>
      </c>
      <c r="Q668" s="7" t="n"/>
      <c r="W668" s="7" t="n"/>
      <c r="X668" s="7" t="n"/>
      <c r="AA668">
        <f>IF($D668="","",IF($AP668=1,0,IF($AO668=1,Settings!$C$6,Settings!$C$7))*100)</f>
        <v/>
      </c>
      <c r="AB668" s="7">
        <f>IF($D668="","",X668*AA668/100)</f>
        <v/>
      </c>
      <c r="AC668" s="7">
        <f>IF($D668="","",X668-AB668)</f>
        <v/>
      </c>
      <c r="AD668" s="7">
        <f>IF($D668="","",AC668-P668)</f>
        <v/>
      </c>
      <c r="AH668" s="7" t="n"/>
      <c r="AK668" s="11" t="n"/>
      <c r="AM668">
        <f>IF($D668="","",IF(COUNTIF($D$2:$D668,$D668)=1,1,0))</f>
        <v/>
      </c>
      <c r="AN668">
        <f>IF($AM668=1,SUMPRODUCT(--($AQ$2:$AQ$1001&lt;$AQ668))+1,"")</f>
        <v/>
      </c>
      <c r="AO668">
        <f>IF($D668="","",IF(OR($T668=TRUE(),$T668="TRUE"),1,0))</f>
        <v/>
      </c>
      <c r="AP668">
        <f>IF($D668="","",IF($Z668="Yes",1,0))</f>
        <v/>
      </c>
      <c r="AQ668">
        <f>IF($AM668=1,IFERROR(IF(VALUE($D668)&lt;100000000,VALUE($D668),1000000000),IFERROR(IF(VALUE(MID($D668,2,20))&lt;100000000,VALUE(MID($D668,2,20)),1000000000),1000000000))+ROW()/100000,"")</f>
        <v/>
      </c>
    </row>
    <row r="669">
      <c r="F669" s="11" t="n"/>
      <c r="P669" s="7">
        <f>IF($D669="","",O669*X669/100)</f>
        <v/>
      </c>
      <c r="Q669" s="7" t="n"/>
      <c r="W669" s="7" t="n"/>
      <c r="X669" s="7" t="n"/>
      <c r="AA669">
        <f>IF($D669="","",IF($AP669=1,0,IF($AO669=1,Settings!$C$6,Settings!$C$7))*100)</f>
        <v/>
      </c>
      <c r="AB669" s="7">
        <f>IF($D669="","",X669*AA669/100)</f>
        <v/>
      </c>
      <c r="AC669" s="7">
        <f>IF($D669="","",X669-AB669)</f>
        <v/>
      </c>
      <c r="AD669" s="7">
        <f>IF($D669="","",AC669-P669)</f>
        <v/>
      </c>
      <c r="AH669" s="7" t="n"/>
      <c r="AK669" s="11" t="n"/>
      <c r="AM669">
        <f>IF($D669="","",IF(COUNTIF($D$2:$D669,$D669)=1,1,0))</f>
        <v/>
      </c>
      <c r="AN669">
        <f>IF($AM669=1,SUMPRODUCT(--($AQ$2:$AQ$1001&lt;$AQ669))+1,"")</f>
        <v/>
      </c>
      <c r="AO669">
        <f>IF($D669="","",IF(OR($T669=TRUE(),$T669="TRUE"),1,0))</f>
        <v/>
      </c>
      <c r="AP669">
        <f>IF($D669="","",IF($Z669="Yes",1,0))</f>
        <v/>
      </c>
      <c r="AQ669">
        <f>IF($AM669=1,IFERROR(IF(VALUE($D669)&lt;100000000,VALUE($D669),1000000000),IFERROR(IF(VALUE(MID($D669,2,20))&lt;100000000,VALUE(MID($D669,2,20)),1000000000),1000000000))+ROW()/100000,"")</f>
        <v/>
      </c>
    </row>
    <row r="670">
      <c r="F670" s="11" t="n"/>
      <c r="P670" s="7">
        <f>IF($D670="","",O670*X670/100)</f>
        <v/>
      </c>
      <c r="Q670" s="7" t="n"/>
      <c r="W670" s="7" t="n"/>
      <c r="X670" s="7" t="n"/>
      <c r="AA670">
        <f>IF($D670="","",IF($AP670=1,0,IF($AO670=1,Settings!$C$6,Settings!$C$7))*100)</f>
        <v/>
      </c>
      <c r="AB670" s="7">
        <f>IF($D670="","",X670*AA670/100)</f>
        <v/>
      </c>
      <c r="AC670" s="7">
        <f>IF($D670="","",X670-AB670)</f>
        <v/>
      </c>
      <c r="AD670" s="7">
        <f>IF($D670="","",AC670-P670)</f>
        <v/>
      </c>
      <c r="AH670" s="7" t="n"/>
      <c r="AK670" s="11" t="n"/>
      <c r="AM670">
        <f>IF($D670="","",IF(COUNTIF($D$2:$D670,$D670)=1,1,0))</f>
        <v/>
      </c>
      <c r="AN670">
        <f>IF($AM670=1,SUMPRODUCT(--($AQ$2:$AQ$1001&lt;$AQ670))+1,"")</f>
        <v/>
      </c>
      <c r="AO670">
        <f>IF($D670="","",IF(OR($T670=TRUE(),$T670="TRUE"),1,0))</f>
        <v/>
      </c>
      <c r="AP670">
        <f>IF($D670="","",IF($Z670="Yes",1,0))</f>
        <v/>
      </c>
      <c r="AQ670">
        <f>IF($AM670=1,IFERROR(IF(VALUE($D670)&lt;100000000,VALUE($D670),1000000000),IFERROR(IF(VALUE(MID($D670,2,20))&lt;100000000,VALUE(MID($D670,2,20)),1000000000),1000000000))+ROW()/100000,"")</f>
        <v/>
      </c>
    </row>
    <row r="671">
      <c r="F671" s="11" t="n"/>
      <c r="P671" s="7">
        <f>IF($D671="","",O671*X671/100)</f>
        <v/>
      </c>
      <c r="Q671" s="7" t="n"/>
      <c r="W671" s="7" t="n"/>
      <c r="X671" s="7" t="n"/>
      <c r="AA671">
        <f>IF($D671="","",IF($AP671=1,0,IF($AO671=1,Settings!$C$6,Settings!$C$7))*100)</f>
        <v/>
      </c>
      <c r="AB671" s="7">
        <f>IF($D671="","",X671*AA671/100)</f>
        <v/>
      </c>
      <c r="AC671" s="7">
        <f>IF($D671="","",X671-AB671)</f>
        <v/>
      </c>
      <c r="AD671" s="7">
        <f>IF($D671="","",AC671-P671)</f>
        <v/>
      </c>
      <c r="AH671" s="7" t="n"/>
      <c r="AK671" s="11" t="n"/>
      <c r="AM671">
        <f>IF($D671="","",IF(COUNTIF($D$2:$D671,$D671)=1,1,0))</f>
        <v/>
      </c>
      <c r="AN671">
        <f>IF($AM671=1,SUMPRODUCT(--($AQ$2:$AQ$1001&lt;$AQ671))+1,"")</f>
        <v/>
      </c>
      <c r="AO671">
        <f>IF($D671="","",IF(OR($T671=TRUE(),$T671="TRUE"),1,0))</f>
        <v/>
      </c>
      <c r="AP671">
        <f>IF($D671="","",IF($Z671="Yes",1,0))</f>
        <v/>
      </c>
      <c r="AQ671">
        <f>IF($AM671=1,IFERROR(IF(VALUE($D671)&lt;100000000,VALUE($D671),1000000000),IFERROR(IF(VALUE(MID($D671,2,20))&lt;100000000,VALUE(MID($D671,2,20)),1000000000),1000000000))+ROW()/100000,"")</f>
        <v/>
      </c>
    </row>
    <row r="672">
      <c r="F672" s="11" t="n"/>
      <c r="P672" s="7">
        <f>IF($D672="","",O672*X672/100)</f>
        <v/>
      </c>
      <c r="Q672" s="7" t="n"/>
      <c r="W672" s="7" t="n"/>
      <c r="X672" s="7" t="n"/>
      <c r="AA672">
        <f>IF($D672="","",IF($AP672=1,0,IF($AO672=1,Settings!$C$6,Settings!$C$7))*100)</f>
        <v/>
      </c>
      <c r="AB672" s="7">
        <f>IF($D672="","",X672*AA672/100)</f>
        <v/>
      </c>
      <c r="AC672" s="7">
        <f>IF($D672="","",X672-AB672)</f>
        <v/>
      </c>
      <c r="AD672" s="7">
        <f>IF($D672="","",AC672-P672)</f>
        <v/>
      </c>
      <c r="AH672" s="7" t="n"/>
      <c r="AK672" s="11" t="n"/>
      <c r="AM672">
        <f>IF($D672="","",IF(COUNTIF($D$2:$D672,$D672)=1,1,0))</f>
        <v/>
      </c>
      <c r="AN672">
        <f>IF($AM672=1,SUMPRODUCT(--($AQ$2:$AQ$1001&lt;$AQ672))+1,"")</f>
        <v/>
      </c>
      <c r="AO672">
        <f>IF($D672="","",IF(OR($T672=TRUE(),$T672="TRUE"),1,0))</f>
        <v/>
      </c>
      <c r="AP672">
        <f>IF($D672="","",IF($Z672="Yes",1,0))</f>
        <v/>
      </c>
      <c r="AQ672">
        <f>IF($AM672=1,IFERROR(IF(VALUE($D672)&lt;100000000,VALUE($D672),1000000000),IFERROR(IF(VALUE(MID($D672,2,20))&lt;100000000,VALUE(MID($D672,2,20)),1000000000),1000000000))+ROW()/100000,"")</f>
        <v/>
      </c>
    </row>
    <row r="673">
      <c r="F673" s="11" t="n"/>
      <c r="P673" s="7">
        <f>IF($D673="","",O673*X673/100)</f>
        <v/>
      </c>
      <c r="Q673" s="7" t="n"/>
      <c r="W673" s="7" t="n"/>
      <c r="X673" s="7" t="n"/>
      <c r="AA673">
        <f>IF($D673="","",IF($AP673=1,0,IF($AO673=1,Settings!$C$6,Settings!$C$7))*100)</f>
        <v/>
      </c>
      <c r="AB673" s="7">
        <f>IF($D673="","",X673*AA673/100)</f>
        <v/>
      </c>
      <c r="AC673" s="7">
        <f>IF($D673="","",X673-AB673)</f>
        <v/>
      </c>
      <c r="AD673" s="7">
        <f>IF($D673="","",AC673-P673)</f>
        <v/>
      </c>
      <c r="AH673" s="7" t="n"/>
      <c r="AK673" s="11" t="n"/>
      <c r="AM673">
        <f>IF($D673="","",IF(COUNTIF($D$2:$D673,$D673)=1,1,0))</f>
        <v/>
      </c>
      <c r="AN673">
        <f>IF($AM673=1,SUMPRODUCT(--($AQ$2:$AQ$1001&lt;$AQ673))+1,"")</f>
        <v/>
      </c>
      <c r="AO673">
        <f>IF($D673="","",IF(OR($T673=TRUE(),$T673="TRUE"),1,0))</f>
        <v/>
      </c>
      <c r="AP673">
        <f>IF($D673="","",IF($Z673="Yes",1,0))</f>
        <v/>
      </c>
      <c r="AQ673">
        <f>IF($AM673=1,IFERROR(IF(VALUE($D673)&lt;100000000,VALUE($D673),1000000000),IFERROR(IF(VALUE(MID($D673,2,20))&lt;100000000,VALUE(MID($D673,2,20)),1000000000),1000000000))+ROW()/100000,"")</f>
        <v/>
      </c>
    </row>
    <row r="674">
      <c r="F674" s="11" t="n"/>
      <c r="P674" s="7">
        <f>IF($D674="","",O674*X674/100)</f>
        <v/>
      </c>
      <c r="Q674" s="7" t="n"/>
      <c r="W674" s="7" t="n"/>
      <c r="X674" s="7" t="n"/>
      <c r="AA674">
        <f>IF($D674="","",IF($AP674=1,0,IF($AO674=1,Settings!$C$6,Settings!$C$7))*100)</f>
        <v/>
      </c>
      <c r="AB674" s="7">
        <f>IF($D674="","",X674*AA674/100)</f>
        <v/>
      </c>
      <c r="AC674" s="7">
        <f>IF($D674="","",X674-AB674)</f>
        <v/>
      </c>
      <c r="AD674" s="7">
        <f>IF($D674="","",AC674-P674)</f>
        <v/>
      </c>
      <c r="AH674" s="7" t="n"/>
      <c r="AK674" s="11" t="n"/>
      <c r="AM674">
        <f>IF($D674="","",IF(COUNTIF($D$2:$D674,$D674)=1,1,0))</f>
        <v/>
      </c>
      <c r="AN674">
        <f>IF($AM674=1,SUMPRODUCT(--($AQ$2:$AQ$1001&lt;$AQ674))+1,"")</f>
        <v/>
      </c>
      <c r="AO674">
        <f>IF($D674="","",IF(OR($T674=TRUE(),$T674="TRUE"),1,0))</f>
        <v/>
      </c>
      <c r="AP674">
        <f>IF($D674="","",IF($Z674="Yes",1,0))</f>
        <v/>
      </c>
      <c r="AQ674">
        <f>IF($AM674=1,IFERROR(IF(VALUE($D674)&lt;100000000,VALUE($D674),1000000000),IFERROR(IF(VALUE(MID($D674,2,20))&lt;100000000,VALUE(MID($D674,2,20)),1000000000),1000000000))+ROW()/100000,"")</f>
        <v/>
      </c>
    </row>
    <row r="675">
      <c r="F675" s="11" t="n"/>
      <c r="P675" s="7">
        <f>IF($D675="","",O675*X675/100)</f>
        <v/>
      </c>
      <c r="Q675" s="7" t="n"/>
      <c r="W675" s="7" t="n"/>
      <c r="X675" s="7" t="n"/>
      <c r="AA675">
        <f>IF($D675="","",IF($AP675=1,0,IF($AO675=1,Settings!$C$6,Settings!$C$7))*100)</f>
        <v/>
      </c>
      <c r="AB675" s="7">
        <f>IF($D675="","",X675*AA675/100)</f>
        <v/>
      </c>
      <c r="AC675" s="7">
        <f>IF($D675="","",X675-AB675)</f>
        <v/>
      </c>
      <c r="AD675" s="7">
        <f>IF($D675="","",AC675-P675)</f>
        <v/>
      </c>
      <c r="AH675" s="7" t="n"/>
      <c r="AK675" s="11" t="n"/>
      <c r="AM675">
        <f>IF($D675="","",IF(COUNTIF($D$2:$D675,$D675)=1,1,0))</f>
        <v/>
      </c>
      <c r="AN675">
        <f>IF($AM675=1,SUMPRODUCT(--($AQ$2:$AQ$1001&lt;$AQ675))+1,"")</f>
        <v/>
      </c>
      <c r="AO675">
        <f>IF($D675="","",IF(OR($T675=TRUE(),$T675="TRUE"),1,0))</f>
        <v/>
      </c>
      <c r="AP675">
        <f>IF($D675="","",IF($Z675="Yes",1,0))</f>
        <v/>
      </c>
      <c r="AQ675">
        <f>IF($AM675=1,IFERROR(IF(VALUE($D675)&lt;100000000,VALUE($D675),1000000000),IFERROR(IF(VALUE(MID($D675,2,20))&lt;100000000,VALUE(MID($D675,2,20)),1000000000),1000000000))+ROW()/100000,"")</f>
        <v/>
      </c>
    </row>
    <row r="676">
      <c r="F676" s="11" t="n"/>
      <c r="P676" s="7">
        <f>IF($D676="","",O676*X676/100)</f>
        <v/>
      </c>
      <c r="Q676" s="7" t="n"/>
      <c r="W676" s="7" t="n"/>
      <c r="X676" s="7" t="n"/>
      <c r="AA676">
        <f>IF($D676="","",IF($AP676=1,0,IF($AO676=1,Settings!$C$6,Settings!$C$7))*100)</f>
        <v/>
      </c>
      <c r="AB676" s="7">
        <f>IF($D676="","",X676*AA676/100)</f>
        <v/>
      </c>
      <c r="AC676" s="7">
        <f>IF($D676="","",X676-AB676)</f>
        <v/>
      </c>
      <c r="AD676" s="7">
        <f>IF($D676="","",AC676-P676)</f>
        <v/>
      </c>
      <c r="AH676" s="7" t="n"/>
      <c r="AK676" s="11" t="n"/>
      <c r="AM676">
        <f>IF($D676="","",IF(COUNTIF($D$2:$D676,$D676)=1,1,0))</f>
        <v/>
      </c>
      <c r="AN676">
        <f>IF($AM676=1,SUMPRODUCT(--($AQ$2:$AQ$1001&lt;$AQ676))+1,"")</f>
        <v/>
      </c>
      <c r="AO676">
        <f>IF($D676="","",IF(OR($T676=TRUE(),$T676="TRUE"),1,0))</f>
        <v/>
      </c>
      <c r="AP676">
        <f>IF($D676="","",IF($Z676="Yes",1,0))</f>
        <v/>
      </c>
      <c r="AQ676">
        <f>IF($AM676=1,IFERROR(IF(VALUE($D676)&lt;100000000,VALUE($D676),1000000000),IFERROR(IF(VALUE(MID($D676,2,20))&lt;100000000,VALUE(MID($D676,2,20)),1000000000),1000000000))+ROW()/100000,"")</f>
        <v/>
      </c>
    </row>
    <row r="677">
      <c r="F677" s="11" t="n"/>
      <c r="P677" s="7">
        <f>IF($D677="","",O677*X677/100)</f>
        <v/>
      </c>
      <c r="Q677" s="7" t="n"/>
      <c r="W677" s="7" t="n"/>
      <c r="X677" s="7" t="n"/>
      <c r="AA677">
        <f>IF($D677="","",IF($AP677=1,0,IF($AO677=1,Settings!$C$6,Settings!$C$7))*100)</f>
        <v/>
      </c>
      <c r="AB677" s="7">
        <f>IF($D677="","",X677*AA677/100)</f>
        <v/>
      </c>
      <c r="AC677" s="7">
        <f>IF($D677="","",X677-AB677)</f>
        <v/>
      </c>
      <c r="AD677" s="7">
        <f>IF($D677="","",AC677-P677)</f>
        <v/>
      </c>
      <c r="AH677" s="7" t="n"/>
      <c r="AK677" s="11" t="n"/>
      <c r="AM677">
        <f>IF($D677="","",IF(COUNTIF($D$2:$D677,$D677)=1,1,0))</f>
        <v/>
      </c>
      <c r="AN677">
        <f>IF($AM677=1,SUMPRODUCT(--($AQ$2:$AQ$1001&lt;$AQ677))+1,"")</f>
        <v/>
      </c>
      <c r="AO677">
        <f>IF($D677="","",IF(OR($T677=TRUE(),$T677="TRUE"),1,0))</f>
        <v/>
      </c>
      <c r="AP677">
        <f>IF($D677="","",IF($Z677="Yes",1,0))</f>
        <v/>
      </c>
      <c r="AQ677">
        <f>IF($AM677=1,IFERROR(IF(VALUE($D677)&lt;100000000,VALUE($D677),1000000000),IFERROR(IF(VALUE(MID($D677,2,20))&lt;100000000,VALUE(MID($D677,2,20)),1000000000),1000000000))+ROW()/100000,"")</f>
        <v/>
      </c>
    </row>
    <row r="678">
      <c r="F678" s="11" t="n"/>
      <c r="P678" s="7">
        <f>IF($D678="","",O678*X678/100)</f>
        <v/>
      </c>
      <c r="Q678" s="7" t="n"/>
      <c r="W678" s="7" t="n"/>
      <c r="X678" s="7" t="n"/>
      <c r="AA678">
        <f>IF($D678="","",IF($AP678=1,0,IF($AO678=1,Settings!$C$6,Settings!$C$7))*100)</f>
        <v/>
      </c>
      <c r="AB678" s="7">
        <f>IF($D678="","",X678*AA678/100)</f>
        <v/>
      </c>
      <c r="AC678" s="7">
        <f>IF($D678="","",X678-AB678)</f>
        <v/>
      </c>
      <c r="AD678" s="7">
        <f>IF($D678="","",AC678-P678)</f>
        <v/>
      </c>
      <c r="AH678" s="7" t="n"/>
      <c r="AK678" s="11" t="n"/>
      <c r="AM678">
        <f>IF($D678="","",IF(COUNTIF($D$2:$D678,$D678)=1,1,0))</f>
        <v/>
      </c>
      <c r="AN678">
        <f>IF($AM678=1,SUMPRODUCT(--($AQ$2:$AQ$1001&lt;$AQ678))+1,"")</f>
        <v/>
      </c>
      <c r="AO678">
        <f>IF($D678="","",IF(OR($T678=TRUE(),$T678="TRUE"),1,0))</f>
        <v/>
      </c>
      <c r="AP678">
        <f>IF($D678="","",IF($Z678="Yes",1,0))</f>
        <v/>
      </c>
      <c r="AQ678">
        <f>IF($AM678=1,IFERROR(IF(VALUE($D678)&lt;100000000,VALUE($D678),1000000000),IFERROR(IF(VALUE(MID($D678,2,20))&lt;100000000,VALUE(MID($D678,2,20)),1000000000),1000000000))+ROW()/100000,"")</f>
        <v/>
      </c>
    </row>
    <row r="679">
      <c r="F679" s="11" t="n"/>
      <c r="P679" s="7">
        <f>IF($D679="","",O679*X679/100)</f>
        <v/>
      </c>
      <c r="Q679" s="7" t="n"/>
      <c r="W679" s="7" t="n"/>
      <c r="X679" s="7" t="n"/>
      <c r="AA679">
        <f>IF($D679="","",IF($AP679=1,0,IF($AO679=1,Settings!$C$6,Settings!$C$7))*100)</f>
        <v/>
      </c>
      <c r="AB679" s="7">
        <f>IF($D679="","",X679*AA679/100)</f>
        <v/>
      </c>
      <c r="AC679" s="7">
        <f>IF($D679="","",X679-AB679)</f>
        <v/>
      </c>
      <c r="AD679" s="7">
        <f>IF($D679="","",AC679-P679)</f>
        <v/>
      </c>
      <c r="AH679" s="7" t="n"/>
      <c r="AK679" s="11" t="n"/>
      <c r="AM679">
        <f>IF($D679="","",IF(COUNTIF($D$2:$D679,$D679)=1,1,0))</f>
        <v/>
      </c>
      <c r="AN679">
        <f>IF($AM679=1,SUMPRODUCT(--($AQ$2:$AQ$1001&lt;$AQ679))+1,"")</f>
        <v/>
      </c>
      <c r="AO679">
        <f>IF($D679="","",IF(OR($T679=TRUE(),$T679="TRUE"),1,0))</f>
        <v/>
      </c>
      <c r="AP679">
        <f>IF($D679="","",IF($Z679="Yes",1,0))</f>
        <v/>
      </c>
      <c r="AQ679">
        <f>IF($AM679=1,IFERROR(IF(VALUE($D679)&lt;100000000,VALUE($D679),1000000000),IFERROR(IF(VALUE(MID($D679,2,20))&lt;100000000,VALUE(MID($D679,2,20)),1000000000),1000000000))+ROW()/100000,"")</f>
        <v/>
      </c>
    </row>
    <row r="680">
      <c r="F680" s="11" t="n"/>
      <c r="P680" s="7">
        <f>IF($D680="","",O680*X680/100)</f>
        <v/>
      </c>
      <c r="Q680" s="7" t="n"/>
      <c r="W680" s="7" t="n"/>
      <c r="X680" s="7" t="n"/>
      <c r="AA680">
        <f>IF($D680="","",IF($AP680=1,0,IF($AO680=1,Settings!$C$6,Settings!$C$7))*100)</f>
        <v/>
      </c>
      <c r="AB680" s="7">
        <f>IF($D680="","",X680*AA680/100)</f>
        <v/>
      </c>
      <c r="AC680" s="7">
        <f>IF($D680="","",X680-AB680)</f>
        <v/>
      </c>
      <c r="AD680" s="7">
        <f>IF($D680="","",AC680-P680)</f>
        <v/>
      </c>
      <c r="AH680" s="7" t="n"/>
      <c r="AK680" s="11" t="n"/>
      <c r="AM680">
        <f>IF($D680="","",IF(COUNTIF($D$2:$D680,$D680)=1,1,0))</f>
        <v/>
      </c>
      <c r="AN680">
        <f>IF($AM680=1,SUMPRODUCT(--($AQ$2:$AQ$1001&lt;$AQ680))+1,"")</f>
        <v/>
      </c>
      <c r="AO680">
        <f>IF($D680="","",IF(OR($T680=TRUE(),$T680="TRUE"),1,0))</f>
        <v/>
      </c>
      <c r="AP680">
        <f>IF($D680="","",IF($Z680="Yes",1,0))</f>
        <v/>
      </c>
      <c r="AQ680">
        <f>IF($AM680=1,IFERROR(IF(VALUE($D680)&lt;100000000,VALUE($D680),1000000000),IFERROR(IF(VALUE(MID($D680,2,20))&lt;100000000,VALUE(MID($D680,2,20)),1000000000),1000000000))+ROW()/100000,"")</f>
        <v/>
      </c>
    </row>
    <row r="681">
      <c r="F681" s="11" t="n"/>
      <c r="P681" s="7">
        <f>IF($D681="","",O681*X681/100)</f>
        <v/>
      </c>
      <c r="Q681" s="7" t="n"/>
      <c r="W681" s="7" t="n"/>
      <c r="X681" s="7" t="n"/>
      <c r="AA681">
        <f>IF($D681="","",IF($AP681=1,0,IF($AO681=1,Settings!$C$6,Settings!$C$7))*100)</f>
        <v/>
      </c>
      <c r="AB681" s="7">
        <f>IF($D681="","",X681*AA681/100)</f>
        <v/>
      </c>
      <c r="AC681" s="7">
        <f>IF($D681="","",X681-AB681)</f>
        <v/>
      </c>
      <c r="AD681" s="7">
        <f>IF($D681="","",AC681-P681)</f>
        <v/>
      </c>
      <c r="AH681" s="7" t="n"/>
      <c r="AK681" s="11" t="n"/>
      <c r="AM681">
        <f>IF($D681="","",IF(COUNTIF($D$2:$D681,$D681)=1,1,0))</f>
        <v/>
      </c>
      <c r="AN681">
        <f>IF($AM681=1,SUMPRODUCT(--($AQ$2:$AQ$1001&lt;$AQ681))+1,"")</f>
        <v/>
      </c>
      <c r="AO681">
        <f>IF($D681="","",IF(OR($T681=TRUE(),$T681="TRUE"),1,0))</f>
        <v/>
      </c>
      <c r="AP681">
        <f>IF($D681="","",IF($Z681="Yes",1,0))</f>
        <v/>
      </c>
      <c r="AQ681">
        <f>IF($AM681=1,IFERROR(IF(VALUE($D681)&lt;100000000,VALUE($D681),1000000000),IFERROR(IF(VALUE(MID($D681,2,20))&lt;100000000,VALUE(MID($D681,2,20)),1000000000),1000000000))+ROW()/100000,"")</f>
        <v/>
      </c>
    </row>
    <row r="682">
      <c r="F682" s="11" t="n"/>
      <c r="P682" s="7">
        <f>IF($D682="","",O682*X682/100)</f>
        <v/>
      </c>
      <c r="Q682" s="7" t="n"/>
      <c r="W682" s="7" t="n"/>
      <c r="X682" s="7" t="n"/>
      <c r="AA682">
        <f>IF($D682="","",IF($AP682=1,0,IF($AO682=1,Settings!$C$6,Settings!$C$7))*100)</f>
        <v/>
      </c>
      <c r="AB682" s="7">
        <f>IF($D682="","",X682*AA682/100)</f>
        <v/>
      </c>
      <c r="AC682" s="7">
        <f>IF($D682="","",X682-AB682)</f>
        <v/>
      </c>
      <c r="AD682" s="7">
        <f>IF($D682="","",AC682-P682)</f>
        <v/>
      </c>
      <c r="AH682" s="7" t="n"/>
      <c r="AK682" s="11" t="n"/>
      <c r="AM682">
        <f>IF($D682="","",IF(COUNTIF($D$2:$D682,$D682)=1,1,0))</f>
        <v/>
      </c>
      <c r="AN682">
        <f>IF($AM682=1,SUMPRODUCT(--($AQ$2:$AQ$1001&lt;$AQ682))+1,"")</f>
        <v/>
      </c>
      <c r="AO682">
        <f>IF($D682="","",IF(OR($T682=TRUE(),$T682="TRUE"),1,0))</f>
        <v/>
      </c>
      <c r="AP682">
        <f>IF($D682="","",IF($Z682="Yes",1,0))</f>
        <v/>
      </c>
      <c r="AQ682">
        <f>IF($AM682=1,IFERROR(IF(VALUE($D682)&lt;100000000,VALUE($D682),1000000000),IFERROR(IF(VALUE(MID($D682,2,20))&lt;100000000,VALUE(MID($D682,2,20)),1000000000),1000000000))+ROW()/100000,"")</f>
        <v/>
      </c>
    </row>
    <row r="683">
      <c r="F683" s="11" t="n"/>
      <c r="P683" s="7">
        <f>IF($D683="","",O683*X683/100)</f>
        <v/>
      </c>
      <c r="Q683" s="7" t="n"/>
      <c r="W683" s="7" t="n"/>
      <c r="X683" s="7" t="n"/>
      <c r="AA683">
        <f>IF($D683="","",IF($AP683=1,0,IF($AO683=1,Settings!$C$6,Settings!$C$7))*100)</f>
        <v/>
      </c>
      <c r="AB683" s="7">
        <f>IF($D683="","",X683*AA683/100)</f>
        <v/>
      </c>
      <c r="AC683" s="7">
        <f>IF($D683="","",X683-AB683)</f>
        <v/>
      </c>
      <c r="AD683" s="7">
        <f>IF($D683="","",AC683-P683)</f>
        <v/>
      </c>
      <c r="AH683" s="7" t="n"/>
      <c r="AK683" s="11" t="n"/>
      <c r="AM683">
        <f>IF($D683="","",IF(COUNTIF($D$2:$D683,$D683)=1,1,0))</f>
        <v/>
      </c>
      <c r="AN683">
        <f>IF($AM683=1,SUMPRODUCT(--($AQ$2:$AQ$1001&lt;$AQ683))+1,"")</f>
        <v/>
      </c>
      <c r="AO683">
        <f>IF($D683="","",IF(OR($T683=TRUE(),$T683="TRUE"),1,0))</f>
        <v/>
      </c>
      <c r="AP683">
        <f>IF($D683="","",IF($Z683="Yes",1,0))</f>
        <v/>
      </c>
      <c r="AQ683">
        <f>IF($AM683=1,IFERROR(IF(VALUE($D683)&lt;100000000,VALUE($D683),1000000000),IFERROR(IF(VALUE(MID($D683,2,20))&lt;100000000,VALUE(MID($D683,2,20)),1000000000),1000000000))+ROW()/100000,"")</f>
        <v/>
      </c>
    </row>
    <row r="684">
      <c r="F684" s="11" t="n"/>
      <c r="P684" s="7">
        <f>IF($D684="","",O684*X684/100)</f>
        <v/>
      </c>
      <c r="Q684" s="7" t="n"/>
      <c r="W684" s="7" t="n"/>
      <c r="X684" s="7" t="n"/>
      <c r="AA684">
        <f>IF($D684="","",IF($AP684=1,0,IF($AO684=1,Settings!$C$6,Settings!$C$7))*100)</f>
        <v/>
      </c>
      <c r="AB684" s="7">
        <f>IF($D684="","",X684*AA684/100)</f>
        <v/>
      </c>
      <c r="AC684" s="7">
        <f>IF($D684="","",X684-AB684)</f>
        <v/>
      </c>
      <c r="AD684" s="7">
        <f>IF($D684="","",AC684-P684)</f>
        <v/>
      </c>
      <c r="AH684" s="7" t="n"/>
      <c r="AK684" s="11" t="n"/>
      <c r="AM684">
        <f>IF($D684="","",IF(COUNTIF($D$2:$D684,$D684)=1,1,0))</f>
        <v/>
      </c>
      <c r="AN684">
        <f>IF($AM684=1,SUMPRODUCT(--($AQ$2:$AQ$1001&lt;$AQ684))+1,"")</f>
        <v/>
      </c>
      <c r="AO684">
        <f>IF($D684="","",IF(OR($T684=TRUE(),$T684="TRUE"),1,0))</f>
        <v/>
      </c>
      <c r="AP684">
        <f>IF($D684="","",IF($Z684="Yes",1,0))</f>
        <v/>
      </c>
      <c r="AQ684">
        <f>IF($AM684=1,IFERROR(IF(VALUE($D684)&lt;100000000,VALUE($D684),1000000000),IFERROR(IF(VALUE(MID($D684,2,20))&lt;100000000,VALUE(MID($D684,2,20)),1000000000),1000000000))+ROW()/100000,"")</f>
        <v/>
      </c>
    </row>
    <row r="685">
      <c r="F685" s="11" t="n"/>
      <c r="P685" s="7">
        <f>IF($D685="","",O685*X685/100)</f>
        <v/>
      </c>
      <c r="Q685" s="7" t="n"/>
      <c r="W685" s="7" t="n"/>
      <c r="X685" s="7" t="n"/>
      <c r="AA685">
        <f>IF($D685="","",IF($AP685=1,0,IF($AO685=1,Settings!$C$6,Settings!$C$7))*100)</f>
        <v/>
      </c>
      <c r="AB685" s="7">
        <f>IF($D685="","",X685*AA685/100)</f>
        <v/>
      </c>
      <c r="AC685" s="7">
        <f>IF($D685="","",X685-AB685)</f>
        <v/>
      </c>
      <c r="AD685" s="7">
        <f>IF($D685="","",AC685-P685)</f>
        <v/>
      </c>
      <c r="AH685" s="7" t="n"/>
      <c r="AK685" s="11" t="n"/>
      <c r="AM685">
        <f>IF($D685="","",IF(COUNTIF($D$2:$D685,$D685)=1,1,0))</f>
        <v/>
      </c>
      <c r="AN685">
        <f>IF($AM685=1,SUMPRODUCT(--($AQ$2:$AQ$1001&lt;$AQ685))+1,"")</f>
        <v/>
      </c>
      <c r="AO685">
        <f>IF($D685="","",IF(OR($T685=TRUE(),$T685="TRUE"),1,0))</f>
        <v/>
      </c>
      <c r="AP685">
        <f>IF($D685="","",IF($Z685="Yes",1,0))</f>
        <v/>
      </c>
      <c r="AQ685">
        <f>IF($AM685=1,IFERROR(IF(VALUE($D685)&lt;100000000,VALUE($D685),1000000000),IFERROR(IF(VALUE(MID($D685,2,20))&lt;100000000,VALUE(MID($D685,2,20)),1000000000),1000000000))+ROW()/100000,"")</f>
        <v/>
      </c>
    </row>
    <row r="686">
      <c r="F686" s="11" t="n"/>
      <c r="P686" s="7">
        <f>IF($D686="","",O686*X686/100)</f>
        <v/>
      </c>
      <c r="Q686" s="7" t="n"/>
      <c r="W686" s="7" t="n"/>
      <c r="X686" s="7" t="n"/>
      <c r="AA686">
        <f>IF($D686="","",IF($AP686=1,0,IF($AO686=1,Settings!$C$6,Settings!$C$7))*100)</f>
        <v/>
      </c>
      <c r="AB686" s="7">
        <f>IF($D686="","",X686*AA686/100)</f>
        <v/>
      </c>
      <c r="AC686" s="7">
        <f>IF($D686="","",X686-AB686)</f>
        <v/>
      </c>
      <c r="AD686" s="7">
        <f>IF($D686="","",AC686-P686)</f>
        <v/>
      </c>
      <c r="AH686" s="7" t="n"/>
      <c r="AK686" s="11" t="n"/>
      <c r="AM686">
        <f>IF($D686="","",IF(COUNTIF($D$2:$D686,$D686)=1,1,0))</f>
        <v/>
      </c>
      <c r="AN686">
        <f>IF($AM686=1,SUMPRODUCT(--($AQ$2:$AQ$1001&lt;$AQ686))+1,"")</f>
        <v/>
      </c>
      <c r="AO686">
        <f>IF($D686="","",IF(OR($T686=TRUE(),$T686="TRUE"),1,0))</f>
        <v/>
      </c>
      <c r="AP686">
        <f>IF($D686="","",IF($Z686="Yes",1,0))</f>
        <v/>
      </c>
      <c r="AQ686">
        <f>IF($AM686=1,IFERROR(IF(VALUE($D686)&lt;100000000,VALUE($D686),1000000000),IFERROR(IF(VALUE(MID($D686,2,20))&lt;100000000,VALUE(MID($D686,2,20)),1000000000),1000000000))+ROW()/100000,"")</f>
        <v/>
      </c>
    </row>
    <row r="687">
      <c r="F687" s="11" t="n"/>
      <c r="P687" s="7">
        <f>IF($D687="","",O687*X687/100)</f>
        <v/>
      </c>
      <c r="Q687" s="7" t="n"/>
      <c r="W687" s="7" t="n"/>
      <c r="X687" s="7" t="n"/>
      <c r="AA687">
        <f>IF($D687="","",IF($AP687=1,0,IF($AO687=1,Settings!$C$6,Settings!$C$7))*100)</f>
        <v/>
      </c>
      <c r="AB687" s="7">
        <f>IF($D687="","",X687*AA687/100)</f>
        <v/>
      </c>
      <c r="AC687" s="7">
        <f>IF($D687="","",X687-AB687)</f>
        <v/>
      </c>
      <c r="AD687" s="7">
        <f>IF($D687="","",AC687-P687)</f>
        <v/>
      </c>
      <c r="AH687" s="7" t="n"/>
      <c r="AK687" s="11" t="n"/>
      <c r="AM687">
        <f>IF($D687="","",IF(COUNTIF($D$2:$D687,$D687)=1,1,0))</f>
        <v/>
      </c>
      <c r="AN687">
        <f>IF($AM687=1,SUMPRODUCT(--($AQ$2:$AQ$1001&lt;$AQ687))+1,"")</f>
        <v/>
      </c>
      <c r="AO687">
        <f>IF($D687="","",IF(OR($T687=TRUE(),$T687="TRUE"),1,0))</f>
        <v/>
      </c>
      <c r="AP687">
        <f>IF($D687="","",IF($Z687="Yes",1,0))</f>
        <v/>
      </c>
      <c r="AQ687">
        <f>IF($AM687=1,IFERROR(IF(VALUE($D687)&lt;100000000,VALUE($D687),1000000000),IFERROR(IF(VALUE(MID($D687,2,20))&lt;100000000,VALUE(MID($D687,2,20)),1000000000),1000000000))+ROW()/100000,"")</f>
        <v/>
      </c>
    </row>
    <row r="688">
      <c r="F688" s="11" t="n"/>
      <c r="P688" s="7">
        <f>IF($D688="","",O688*X688/100)</f>
        <v/>
      </c>
      <c r="Q688" s="7" t="n"/>
      <c r="W688" s="7" t="n"/>
      <c r="X688" s="7" t="n"/>
      <c r="AA688">
        <f>IF($D688="","",IF($AP688=1,0,IF($AO688=1,Settings!$C$6,Settings!$C$7))*100)</f>
        <v/>
      </c>
      <c r="AB688" s="7">
        <f>IF($D688="","",X688*AA688/100)</f>
        <v/>
      </c>
      <c r="AC688" s="7">
        <f>IF($D688="","",X688-AB688)</f>
        <v/>
      </c>
      <c r="AD688" s="7">
        <f>IF($D688="","",AC688-P688)</f>
        <v/>
      </c>
      <c r="AH688" s="7" t="n"/>
      <c r="AK688" s="11" t="n"/>
      <c r="AM688">
        <f>IF($D688="","",IF(COUNTIF($D$2:$D688,$D688)=1,1,0))</f>
        <v/>
      </c>
      <c r="AN688">
        <f>IF($AM688=1,SUMPRODUCT(--($AQ$2:$AQ$1001&lt;$AQ688))+1,"")</f>
        <v/>
      </c>
      <c r="AO688">
        <f>IF($D688="","",IF(OR($T688=TRUE(),$T688="TRUE"),1,0))</f>
        <v/>
      </c>
      <c r="AP688">
        <f>IF($D688="","",IF($Z688="Yes",1,0))</f>
        <v/>
      </c>
      <c r="AQ688">
        <f>IF($AM688=1,IFERROR(IF(VALUE($D688)&lt;100000000,VALUE($D688),1000000000),IFERROR(IF(VALUE(MID($D688,2,20))&lt;100000000,VALUE(MID($D688,2,20)),1000000000),1000000000))+ROW()/100000,"")</f>
        <v/>
      </c>
    </row>
    <row r="689">
      <c r="F689" s="11" t="n"/>
      <c r="P689" s="7">
        <f>IF($D689="","",O689*X689/100)</f>
        <v/>
      </c>
      <c r="Q689" s="7" t="n"/>
      <c r="W689" s="7" t="n"/>
      <c r="X689" s="7" t="n"/>
      <c r="AA689">
        <f>IF($D689="","",IF($AP689=1,0,IF($AO689=1,Settings!$C$6,Settings!$C$7))*100)</f>
        <v/>
      </c>
      <c r="AB689" s="7">
        <f>IF($D689="","",X689*AA689/100)</f>
        <v/>
      </c>
      <c r="AC689" s="7">
        <f>IF($D689="","",X689-AB689)</f>
        <v/>
      </c>
      <c r="AD689" s="7">
        <f>IF($D689="","",AC689-P689)</f>
        <v/>
      </c>
      <c r="AH689" s="7" t="n"/>
      <c r="AK689" s="11" t="n"/>
      <c r="AM689">
        <f>IF($D689="","",IF(COUNTIF($D$2:$D689,$D689)=1,1,0))</f>
        <v/>
      </c>
      <c r="AN689">
        <f>IF($AM689=1,SUMPRODUCT(--($AQ$2:$AQ$1001&lt;$AQ689))+1,"")</f>
        <v/>
      </c>
      <c r="AO689">
        <f>IF($D689="","",IF(OR($T689=TRUE(),$T689="TRUE"),1,0))</f>
        <v/>
      </c>
      <c r="AP689">
        <f>IF($D689="","",IF($Z689="Yes",1,0))</f>
        <v/>
      </c>
      <c r="AQ689">
        <f>IF($AM689=1,IFERROR(IF(VALUE($D689)&lt;100000000,VALUE($D689),1000000000),IFERROR(IF(VALUE(MID($D689,2,20))&lt;100000000,VALUE(MID($D689,2,20)),1000000000),1000000000))+ROW()/100000,"")</f>
        <v/>
      </c>
    </row>
    <row r="690">
      <c r="F690" s="11" t="n"/>
      <c r="P690" s="7">
        <f>IF($D690="","",O690*X690/100)</f>
        <v/>
      </c>
      <c r="Q690" s="7" t="n"/>
      <c r="W690" s="7" t="n"/>
      <c r="X690" s="7" t="n"/>
      <c r="AA690">
        <f>IF($D690="","",IF($AP690=1,0,IF($AO690=1,Settings!$C$6,Settings!$C$7))*100)</f>
        <v/>
      </c>
      <c r="AB690" s="7">
        <f>IF($D690="","",X690*AA690/100)</f>
        <v/>
      </c>
      <c r="AC690" s="7">
        <f>IF($D690="","",X690-AB690)</f>
        <v/>
      </c>
      <c r="AD690" s="7">
        <f>IF($D690="","",AC690-P690)</f>
        <v/>
      </c>
      <c r="AH690" s="7" t="n"/>
      <c r="AK690" s="11" t="n"/>
      <c r="AM690">
        <f>IF($D690="","",IF(COUNTIF($D$2:$D690,$D690)=1,1,0))</f>
        <v/>
      </c>
      <c r="AN690">
        <f>IF($AM690=1,SUMPRODUCT(--($AQ$2:$AQ$1001&lt;$AQ690))+1,"")</f>
        <v/>
      </c>
      <c r="AO690">
        <f>IF($D690="","",IF(OR($T690=TRUE(),$T690="TRUE"),1,0))</f>
        <v/>
      </c>
      <c r="AP690">
        <f>IF($D690="","",IF($Z690="Yes",1,0))</f>
        <v/>
      </c>
      <c r="AQ690">
        <f>IF($AM690=1,IFERROR(IF(VALUE($D690)&lt;100000000,VALUE($D690),1000000000),IFERROR(IF(VALUE(MID($D690,2,20))&lt;100000000,VALUE(MID($D690,2,20)),1000000000),1000000000))+ROW()/100000,"")</f>
        <v/>
      </c>
    </row>
    <row r="691">
      <c r="F691" s="11" t="n"/>
      <c r="P691" s="7">
        <f>IF($D691="","",O691*X691/100)</f>
        <v/>
      </c>
      <c r="Q691" s="7" t="n"/>
      <c r="W691" s="7" t="n"/>
      <c r="X691" s="7" t="n"/>
      <c r="AA691">
        <f>IF($D691="","",IF($AP691=1,0,IF($AO691=1,Settings!$C$6,Settings!$C$7))*100)</f>
        <v/>
      </c>
      <c r="AB691" s="7">
        <f>IF($D691="","",X691*AA691/100)</f>
        <v/>
      </c>
      <c r="AC691" s="7">
        <f>IF($D691="","",X691-AB691)</f>
        <v/>
      </c>
      <c r="AD691" s="7">
        <f>IF($D691="","",AC691-P691)</f>
        <v/>
      </c>
      <c r="AH691" s="7" t="n"/>
      <c r="AK691" s="11" t="n"/>
      <c r="AM691">
        <f>IF($D691="","",IF(COUNTIF($D$2:$D691,$D691)=1,1,0))</f>
        <v/>
      </c>
      <c r="AN691">
        <f>IF($AM691=1,SUMPRODUCT(--($AQ$2:$AQ$1001&lt;$AQ691))+1,"")</f>
        <v/>
      </c>
      <c r="AO691">
        <f>IF($D691="","",IF(OR($T691=TRUE(),$T691="TRUE"),1,0))</f>
        <v/>
      </c>
      <c r="AP691">
        <f>IF($D691="","",IF($Z691="Yes",1,0))</f>
        <v/>
      </c>
      <c r="AQ691">
        <f>IF($AM691=1,IFERROR(IF(VALUE($D691)&lt;100000000,VALUE($D691),1000000000),IFERROR(IF(VALUE(MID($D691,2,20))&lt;100000000,VALUE(MID($D691,2,20)),1000000000),1000000000))+ROW()/100000,"")</f>
        <v/>
      </c>
    </row>
    <row r="692">
      <c r="F692" s="11" t="n"/>
      <c r="P692" s="7">
        <f>IF($D692="","",O692*X692/100)</f>
        <v/>
      </c>
      <c r="Q692" s="7" t="n"/>
      <c r="W692" s="7" t="n"/>
      <c r="X692" s="7" t="n"/>
      <c r="AA692">
        <f>IF($D692="","",IF($AP692=1,0,IF($AO692=1,Settings!$C$6,Settings!$C$7))*100)</f>
        <v/>
      </c>
      <c r="AB692" s="7">
        <f>IF($D692="","",X692*AA692/100)</f>
        <v/>
      </c>
      <c r="AC692" s="7">
        <f>IF($D692="","",X692-AB692)</f>
        <v/>
      </c>
      <c r="AD692" s="7">
        <f>IF($D692="","",AC692-P692)</f>
        <v/>
      </c>
      <c r="AH692" s="7" t="n"/>
      <c r="AK692" s="11" t="n"/>
      <c r="AM692">
        <f>IF($D692="","",IF(COUNTIF($D$2:$D692,$D692)=1,1,0))</f>
        <v/>
      </c>
      <c r="AN692">
        <f>IF($AM692=1,SUMPRODUCT(--($AQ$2:$AQ$1001&lt;$AQ692))+1,"")</f>
        <v/>
      </c>
      <c r="AO692">
        <f>IF($D692="","",IF(OR($T692=TRUE(),$T692="TRUE"),1,0))</f>
        <v/>
      </c>
      <c r="AP692">
        <f>IF($D692="","",IF($Z692="Yes",1,0))</f>
        <v/>
      </c>
      <c r="AQ692">
        <f>IF($AM692=1,IFERROR(IF(VALUE($D692)&lt;100000000,VALUE($D692),1000000000),IFERROR(IF(VALUE(MID($D692,2,20))&lt;100000000,VALUE(MID($D692,2,20)),1000000000),1000000000))+ROW()/100000,"")</f>
        <v/>
      </c>
    </row>
    <row r="693">
      <c r="F693" s="11" t="n"/>
      <c r="P693" s="7">
        <f>IF($D693="","",O693*X693/100)</f>
        <v/>
      </c>
      <c r="Q693" s="7" t="n"/>
      <c r="W693" s="7" t="n"/>
      <c r="X693" s="7" t="n"/>
      <c r="AA693">
        <f>IF($D693="","",IF($AP693=1,0,IF($AO693=1,Settings!$C$6,Settings!$C$7))*100)</f>
        <v/>
      </c>
      <c r="AB693" s="7">
        <f>IF($D693="","",X693*AA693/100)</f>
        <v/>
      </c>
      <c r="AC693" s="7">
        <f>IF($D693="","",X693-AB693)</f>
        <v/>
      </c>
      <c r="AD693" s="7">
        <f>IF($D693="","",AC693-P693)</f>
        <v/>
      </c>
      <c r="AH693" s="7" t="n"/>
      <c r="AK693" s="11" t="n"/>
      <c r="AM693">
        <f>IF($D693="","",IF(COUNTIF($D$2:$D693,$D693)=1,1,0))</f>
        <v/>
      </c>
      <c r="AN693">
        <f>IF($AM693=1,SUMPRODUCT(--($AQ$2:$AQ$1001&lt;$AQ693))+1,"")</f>
        <v/>
      </c>
      <c r="AO693">
        <f>IF($D693="","",IF(OR($T693=TRUE(),$T693="TRUE"),1,0))</f>
        <v/>
      </c>
      <c r="AP693">
        <f>IF($D693="","",IF($Z693="Yes",1,0))</f>
        <v/>
      </c>
      <c r="AQ693">
        <f>IF($AM693=1,IFERROR(IF(VALUE($D693)&lt;100000000,VALUE($D693),1000000000),IFERROR(IF(VALUE(MID($D693,2,20))&lt;100000000,VALUE(MID($D693,2,20)),1000000000),1000000000))+ROW()/100000,"")</f>
        <v/>
      </c>
    </row>
    <row r="694">
      <c r="F694" s="11" t="n"/>
      <c r="P694" s="7">
        <f>IF($D694="","",O694*X694/100)</f>
        <v/>
      </c>
      <c r="Q694" s="7" t="n"/>
      <c r="W694" s="7" t="n"/>
      <c r="X694" s="7" t="n"/>
      <c r="AA694">
        <f>IF($D694="","",IF($AP694=1,0,IF($AO694=1,Settings!$C$6,Settings!$C$7))*100)</f>
        <v/>
      </c>
      <c r="AB694" s="7">
        <f>IF($D694="","",X694*AA694/100)</f>
        <v/>
      </c>
      <c r="AC694" s="7">
        <f>IF($D694="","",X694-AB694)</f>
        <v/>
      </c>
      <c r="AD694" s="7">
        <f>IF($D694="","",AC694-P694)</f>
        <v/>
      </c>
      <c r="AH694" s="7" t="n"/>
      <c r="AK694" s="11" t="n"/>
      <c r="AM694">
        <f>IF($D694="","",IF(COUNTIF($D$2:$D694,$D694)=1,1,0))</f>
        <v/>
      </c>
      <c r="AN694">
        <f>IF($AM694=1,SUMPRODUCT(--($AQ$2:$AQ$1001&lt;$AQ694))+1,"")</f>
        <v/>
      </c>
      <c r="AO694">
        <f>IF($D694="","",IF(OR($T694=TRUE(),$T694="TRUE"),1,0))</f>
        <v/>
      </c>
      <c r="AP694">
        <f>IF($D694="","",IF($Z694="Yes",1,0))</f>
        <v/>
      </c>
      <c r="AQ694">
        <f>IF($AM694=1,IFERROR(IF(VALUE($D694)&lt;100000000,VALUE($D694),1000000000),IFERROR(IF(VALUE(MID($D694,2,20))&lt;100000000,VALUE(MID($D694,2,20)),1000000000),1000000000))+ROW()/100000,"")</f>
        <v/>
      </c>
    </row>
    <row r="695">
      <c r="F695" s="11" t="n"/>
      <c r="P695" s="7">
        <f>IF($D695="","",O695*X695/100)</f>
        <v/>
      </c>
      <c r="Q695" s="7" t="n"/>
      <c r="W695" s="7" t="n"/>
      <c r="X695" s="7" t="n"/>
      <c r="AA695">
        <f>IF($D695="","",IF($AP695=1,0,IF($AO695=1,Settings!$C$6,Settings!$C$7))*100)</f>
        <v/>
      </c>
      <c r="AB695" s="7">
        <f>IF($D695="","",X695*AA695/100)</f>
        <v/>
      </c>
      <c r="AC695" s="7">
        <f>IF($D695="","",X695-AB695)</f>
        <v/>
      </c>
      <c r="AD695" s="7">
        <f>IF($D695="","",AC695-P695)</f>
        <v/>
      </c>
      <c r="AH695" s="7" t="n"/>
      <c r="AK695" s="11" t="n"/>
      <c r="AM695">
        <f>IF($D695="","",IF(COUNTIF($D$2:$D695,$D695)=1,1,0))</f>
        <v/>
      </c>
      <c r="AN695">
        <f>IF($AM695=1,SUMPRODUCT(--($AQ$2:$AQ$1001&lt;$AQ695))+1,"")</f>
        <v/>
      </c>
      <c r="AO695">
        <f>IF($D695="","",IF(OR($T695=TRUE(),$T695="TRUE"),1,0))</f>
        <v/>
      </c>
      <c r="AP695">
        <f>IF($D695="","",IF($Z695="Yes",1,0))</f>
        <v/>
      </c>
      <c r="AQ695">
        <f>IF($AM695=1,IFERROR(IF(VALUE($D695)&lt;100000000,VALUE($D695),1000000000),IFERROR(IF(VALUE(MID($D695,2,20))&lt;100000000,VALUE(MID($D695,2,20)),1000000000),1000000000))+ROW()/100000,"")</f>
        <v/>
      </c>
    </row>
    <row r="696">
      <c r="F696" s="11" t="n"/>
      <c r="P696" s="7">
        <f>IF($D696="","",O696*X696/100)</f>
        <v/>
      </c>
      <c r="Q696" s="7" t="n"/>
      <c r="W696" s="7" t="n"/>
      <c r="X696" s="7" t="n"/>
      <c r="AA696">
        <f>IF($D696="","",IF($AP696=1,0,IF($AO696=1,Settings!$C$6,Settings!$C$7))*100)</f>
        <v/>
      </c>
      <c r="AB696" s="7">
        <f>IF($D696="","",X696*AA696/100)</f>
        <v/>
      </c>
      <c r="AC696" s="7">
        <f>IF($D696="","",X696-AB696)</f>
        <v/>
      </c>
      <c r="AD696" s="7">
        <f>IF($D696="","",AC696-P696)</f>
        <v/>
      </c>
      <c r="AH696" s="7" t="n"/>
      <c r="AK696" s="11" t="n"/>
      <c r="AM696">
        <f>IF($D696="","",IF(COUNTIF($D$2:$D696,$D696)=1,1,0))</f>
        <v/>
      </c>
      <c r="AN696">
        <f>IF($AM696=1,SUMPRODUCT(--($AQ$2:$AQ$1001&lt;$AQ696))+1,"")</f>
        <v/>
      </c>
      <c r="AO696">
        <f>IF($D696="","",IF(OR($T696=TRUE(),$T696="TRUE"),1,0))</f>
        <v/>
      </c>
      <c r="AP696">
        <f>IF($D696="","",IF($Z696="Yes",1,0))</f>
        <v/>
      </c>
      <c r="AQ696">
        <f>IF($AM696=1,IFERROR(IF(VALUE($D696)&lt;100000000,VALUE($D696),1000000000),IFERROR(IF(VALUE(MID($D696,2,20))&lt;100000000,VALUE(MID($D696,2,20)),1000000000),1000000000))+ROW()/100000,"")</f>
        <v/>
      </c>
    </row>
    <row r="697">
      <c r="F697" s="11" t="n"/>
      <c r="P697" s="7">
        <f>IF($D697="","",O697*X697/100)</f>
        <v/>
      </c>
      <c r="Q697" s="7" t="n"/>
      <c r="W697" s="7" t="n"/>
      <c r="X697" s="7" t="n"/>
      <c r="AA697">
        <f>IF($D697="","",IF($AP697=1,0,IF($AO697=1,Settings!$C$6,Settings!$C$7))*100)</f>
        <v/>
      </c>
      <c r="AB697" s="7">
        <f>IF($D697="","",X697*AA697/100)</f>
        <v/>
      </c>
      <c r="AC697" s="7">
        <f>IF($D697="","",X697-AB697)</f>
        <v/>
      </c>
      <c r="AD697" s="7">
        <f>IF($D697="","",AC697-P697)</f>
        <v/>
      </c>
      <c r="AH697" s="7" t="n"/>
      <c r="AK697" s="11" t="n"/>
      <c r="AM697">
        <f>IF($D697="","",IF(COUNTIF($D$2:$D697,$D697)=1,1,0))</f>
        <v/>
      </c>
      <c r="AN697">
        <f>IF($AM697=1,SUMPRODUCT(--($AQ$2:$AQ$1001&lt;$AQ697))+1,"")</f>
        <v/>
      </c>
      <c r="AO697">
        <f>IF($D697="","",IF(OR($T697=TRUE(),$T697="TRUE"),1,0))</f>
        <v/>
      </c>
      <c r="AP697">
        <f>IF($D697="","",IF($Z697="Yes",1,0))</f>
        <v/>
      </c>
      <c r="AQ697">
        <f>IF($AM697=1,IFERROR(IF(VALUE($D697)&lt;100000000,VALUE($D697),1000000000),IFERROR(IF(VALUE(MID($D697,2,20))&lt;100000000,VALUE(MID($D697,2,20)),1000000000),1000000000))+ROW()/100000,"")</f>
        <v/>
      </c>
    </row>
    <row r="698">
      <c r="F698" s="11" t="n"/>
      <c r="P698" s="7">
        <f>IF($D698="","",O698*X698/100)</f>
        <v/>
      </c>
      <c r="Q698" s="7" t="n"/>
      <c r="W698" s="7" t="n"/>
      <c r="X698" s="7" t="n"/>
      <c r="AA698">
        <f>IF($D698="","",IF($AP698=1,0,IF($AO698=1,Settings!$C$6,Settings!$C$7))*100)</f>
        <v/>
      </c>
      <c r="AB698" s="7">
        <f>IF($D698="","",X698*AA698/100)</f>
        <v/>
      </c>
      <c r="AC698" s="7">
        <f>IF($D698="","",X698-AB698)</f>
        <v/>
      </c>
      <c r="AD698" s="7">
        <f>IF($D698="","",AC698-P698)</f>
        <v/>
      </c>
      <c r="AH698" s="7" t="n"/>
      <c r="AK698" s="11" t="n"/>
      <c r="AM698">
        <f>IF($D698="","",IF(COUNTIF($D$2:$D698,$D698)=1,1,0))</f>
        <v/>
      </c>
      <c r="AN698">
        <f>IF($AM698=1,SUMPRODUCT(--($AQ$2:$AQ$1001&lt;$AQ698))+1,"")</f>
        <v/>
      </c>
      <c r="AO698">
        <f>IF($D698="","",IF(OR($T698=TRUE(),$T698="TRUE"),1,0))</f>
        <v/>
      </c>
      <c r="AP698">
        <f>IF($D698="","",IF($Z698="Yes",1,0))</f>
        <v/>
      </c>
      <c r="AQ698">
        <f>IF($AM698=1,IFERROR(IF(VALUE($D698)&lt;100000000,VALUE($D698),1000000000),IFERROR(IF(VALUE(MID($D698,2,20))&lt;100000000,VALUE(MID($D698,2,20)),1000000000),1000000000))+ROW()/100000,"")</f>
        <v/>
      </c>
    </row>
    <row r="699">
      <c r="F699" s="11" t="n"/>
      <c r="P699" s="7">
        <f>IF($D699="","",O699*X699/100)</f>
        <v/>
      </c>
      <c r="Q699" s="7" t="n"/>
      <c r="W699" s="7" t="n"/>
      <c r="X699" s="7" t="n"/>
      <c r="AA699">
        <f>IF($D699="","",IF($AP699=1,0,IF($AO699=1,Settings!$C$6,Settings!$C$7))*100)</f>
        <v/>
      </c>
      <c r="AB699" s="7">
        <f>IF($D699="","",X699*AA699/100)</f>
        <v/>
      </c>
      <c r="AC699" s="7">
        <f>IF($D699="","",X699-AB699)</f>
        <v/>
      </c>
      <c r="AD699" s="7">
        <f>IF($D699="","",AC699-P699)</f>
        <v/>
      </c>
      <c r="AH699" s="7" t="n"/>
      <c r="AK699" s="11" t="n"/>
      <c r="AM699">
        <f>IF($D699="","",IF(COUNTIF($D$2:$D699,$D699)=1,1,0))</f>
        <v/>
      </c>
      <c r="AN699">
        <f>IF($AM699=1,SUMPRODUCT(--($AQ$2:$AQ$1001&lt;$AQ699))+1,"")</f>
        <v/>
      </c>
      <c r="AO699">
        <f>IF($D699="","",IF(OR($T699=TRUE(),$T699="TRUE"),1,0))</f>
        <v/>
      </c>
      <c r="AP699">
        <f>IF($D699="","",IF($Z699="Yes",1,0))</f>
        <v/>
      </c>
      <c r="AQ699">
        <f>IF($AM699=1,IFERROR(IF(VALUE($D699)&lt;100000000,VALUE($D699),1000000000),IFERROR(IF(VALUE(MID($D699,2,20))&lt;100000000,VALUE(MID($D699,2,20)),1000000000),1000000000))+ROW()/100000,"")</f>
        <v/>
      </c>
    </row>
    <row r="700">
      <c r="F700" s="11" t="n"/>
      <c r="P700" s="7">
        <f>IF($D700="","",O700*X700/100)</f>
        <v/>
      </c>
      <c r="Q700" s="7" t="n"/>
      <c r="W700" s="7" t="n"/>
      <c r="X700" s="7" t="n"/>
      <c r="AA700">
        <f>IF($D700="","",IF($AP700=1,0,IF($AO700=1,Settings!$C$6,Settings!$C$7))*100)</f>
        <v/>
      </c>
      <c r="AB700" s="7">
        <f>IF($D700="","",X700*AA700/100)</f>
        <v/>
      </c>
      <c r="AC700" s="7">
        <f>IF($D700="","",X700-AB700)</f>
        <v/>
      </c>
      <c r="AD700" s="7">
        <f>IF($D700="","",AC700-P700)</f>
        <v/>
      </c>
      <c r="AH700" s="7" t="n"/>
      <c r="AK700" s="11" t="n"/>
      <c r="AM700">
        <f>IF($D700="","",IF(COUNTIF($D$2:$D700,$D700)=1,1,0))</f>
        <v/>
      </c>
      <c r="AN700">
        <f>IF($AM700=1,SUMPRODUCT(--($AQ$2:$AQ$1001&lt;$AQ700))+1,"")</f>
        <v/>
      </c>
      <c r="AO700">
        <f>IF($D700="","",IF(OR($T700=TRUE(),$T700="TRUE"),1,0))</f>
        <v/>
      </c>
      <c r="AP700">
        <f>IF($D700="","",IF($Z700="Yes",1,0))</f>
        <v/>
      </c>
      <c r="AQ700">
        <f>IF($AM700=1,IFERROR(IF(VALUE($D700)&lt;100000000,VALUE($D700),1000000000),IFERROR(IF(VALUE(MID($D700,2,20))&lt;100000000,VALUE(MID($D700,2,20)),1000000000),1000000000))+ROW()/100000,"")</f>
        <v/>
      </c>
    </row>
    <row r="701">
      <c r="F701" s="11" t="n"/>
      <c r="P701" s="7">
        <f>IF($D701="","",O701*X701/100)</f>
        <v/>
      </c>
      <c r="Q701" s="7" t="n"/>
      <c r="W701" s="7" t="n"/>
      <c r="X701" s="7" t="n"/>
      <c r="AA701">
        <f>IF($D701="","",IF($AP701=1,0,IF($AO701=1,Settings!$C$6,Settings!$C$7))*100)</f>
        <v/>
      </c>
      <c r="AB701" s="7">
        <f>IF($D701="","",X701*AA701/100)</f>
        <v/>
      </c>
      <c r="AC701" s="7">
        <f>IF($D701="","",X701-AB701)</f>
        <v/>
      </c>
      <c r="AD701" s="7">
        <f>IF($D701="","",AC701-P701)</f>
        <v/>
      </c>
      <c r="AH701" s="7" t="n"/>
      <c r="AK701" s="11" t="n"/>
      <c r="AM701">
        <f>IF($D701="","",IF(COUNTIF($D$2:$D701,$D701)=1,1,0))</f>
        <v/>
      </c>
      <c r="AN701">
        <f>IF($AM701=1,SUMPRODUCT(--($AQ$2:$AQ$1001&lt;$AQ701))+1,"")</f>
        <v/>
      </c>
      <c r="AO701">
        <f>IF($D701="","",IF(OR($T701=TRUE(),$T701="TRUE"),1,0))</f>
        <v/>
      </c>
      <c r="AP701">
        <f>IF($D701="","",IF($Z701="Yes",1,0))</f>
        <v/>
      </c>
      <c r="AQ701">
        <f>IF($AM701=1,IFERROR(IF(VALUE($D701)&lt;100000000,VALUE($D701),1000000000),IFERROR(IF(VALUE(MID($D701,2,20))&lt;100000000,VALUE(MID($D701,2,20)),1000000000),1000000000))+ROW()/100000,"")</f>
        <v/>
      </c>
    </row>
    <row r="702">
      <c r="F702" s="11" t="n"/>
      <c r="P702" s="7">
        <f>IF($D702="","",O702*X702/100)</f>
        <v/>
      </c>
      <c r="Q702" s="7" t="n"/>
      <c r="W702" s="7" t="n"/>
      <c r="X702" s="7" t="n"/>
      <c r="AA702">
        <f>IF($D702="","",IF($AP702=1,0,IF($AO702=1,Settings!$C$6,Settings!$C$7))*100)</f>
        <v/>
      </c>
      <c r="AB702" s="7">
        <f>IF($D702="","",X702*AA702/100)</f>
        <v/>
      </c>
      <c r="AC702" s="7">
        <f>IF($D702="","",X702-AB702)</f>
        <v/>
      </c>
      <c r="AD702" s="7">
        <f>IF($D702="","",AC702-P702)</f>
        <v/>
      </c>
      <c r="AH702" s="7" t="n"/>
      <c r="AK702" s="11" t="n"/>
      <c r="AM702">
        <f>IF($D702="","",IF(COUNTIF($D$2:$D702,$D702)=1,1,0))</f>
        <v/>
      </c>
      <c r="AN702">
        <f>IF($AM702=1,SUMPRODUCT(--($AQ$2:$AQ$1001&lt;$AQ702))+1,"")</f>
        <v/>
      </c>
      <c r="AO702">
        <f>IF($D702="","",IF(OR($T702=TRUE(),$T702="TRUE"),1,0))</f>
        <v/>
      </c>
      <c r="AP702">
        <f>IF($D702="","",IF($Z702="Yes",1,0))</f>
        <v/>
      </c>
      <c r="AQ702">
        <f>IF($AM702=1,IFERROR(IF(VALUE($D702)&lt;100000000,VALUE($D702),1000000000),IFERROR(IF(VALUE(MID($D702,2,20))&lt;100000000,VALUE(MID($D702,2,20)),1000000000),1000000000))+ROW()/100000,"")</f>
        <v/>
      </c>
    </row>
    <row r="703">
      <c r="F703" s="11" t="n"/>
      <c r="P703" s="7">
        <f>IF($D703="","",O703*X703/100)</f>
        <v/>
      </c>
      <c r="Q703" s="7" t="n"/>
      <c r="W703" s="7" t="n"/>
      <c r="X703" s="7" t="n"/>
      <c r="AA703">
        <f>IF($D703="","",IF($AP703=1,0,IF($AO703=1,Settings!$C$6,Settings!$C$7))*100)</f>
        <v/>
      </c>
      <c r="AB703" s="7">
        <f>IF($D703="","",X703*AA703/100)</f>
        <v/>
      </c>
      <c r="AC703" s="7">
        <f>IF($D703="","",X703-AB703)</f>
        <v/>
      </c>
      <c r="AD703" s="7">
        <f>IF($D703="","",AC703-P703)</f>
        <v/>
      </c>
      <c r="AH703" s="7" t="n"/>
      <c r="AK703" s="11" t="n"/>
      <c r="AM703">
        <f>IF($D703="","",IF(COUNTIF($D$2:$D703,$D703)=1,1,0))</f>
        <v/>
      </c>
      <c r="AN703">
        <f>IF($AM703=1,SUMPRODUCT(--($AQ$2:$AQ$1001&lt;$AQ703))+1,"")</f>
        <v/>
      </c>
      <c r="AO703">
        <f>IF($D703="","",IF(OR($T703=TRUE(),$T703="TRUE"),1,0))</f>
        <v/>
      </c>
      <c r="AP703">
        <f>IF($D703="","",IF($Z703="Yes",1,0))</f>
        <v/>
      </c>
      <c r="AQ703">
        <f>IF($AM703=1,IFERROR(IF(VALUE($D703)&lt;100000000,VALUE($D703),1000000000),IFERROR(IF(VALUE(MID($D703,2,20))&lt;100000000,VALUE(MID($D703,2,20)),1000000000),1000000000))+ROW()/100000,"")</f>
        <v/>
      </c>
    </row>
    <row r="704">
      <c r="F704" s="11" t="n"/>
      <c r="P704" s="7">
        <f>IF($D704="","",O704*X704/100)</f>
        <v/>
      </c>
      <c r="Q704" s="7" t="n"/>
      <c r="W704" s="7" t="n"/>
      <c r="X704" s="7" t="n"/>
      <c r="AA704">
        <f>IF($D704="","",IF($AP704=1,0,IF($AO704=1,Settings!$C$6,Settings!$C$7))*100)</f>
        <v/>
      </c>
      <c r="AB704" s="7">
        <f>IF($D704="","",X704*AA704/100)</f>
        <v/>
      </c>
      <c r="AC704" s="7">
        <f>IF($D704="","",X704-AB704)</f>
        <v/>
      </c>
      <c r="AD704" s="7">
        <f>IF($D704="","",AC704-P704)</f>
        <v/>
      </c>
      <c r="AH704" s="7" t="n"/>
      <c r="AK704" s="11" t="n"/>
      <c r="AM704">
        <f>IF($D704="","",IF(COUNTIF($D$2:$D704,$D704)=1,1,0))</f>
        <v/>
      </c>
      <c r="AN704">
        <f>IF($AM704=1,SUMPRODUCT(--($AQ$2:$AQ$1001&lt;$AQ704))+1,"")</f>
        <v/>
      </c>
      <c r="AO704">
        <f>IF($D704="","",IF(OR($T704=TRUE(),$T704="TRUE"),1,0))</f>
        <v/>
      </c>
      <c r="AP704">
        <f>IF($D704="","",IF($Z704="Yes",1,0))</f>
        <v/>
      </c>
      <c r="AQ704">
        <f>IF($AM704=1,IFERROR(IF(VALUE($D704)&lt;100000000,VALUE($D704),1000000000),IFERROR(IF(VALUE(MID($D704,2,20))&lt;100000000,VALUE(MID($D704,2,20)),1000000000),1000000000))+ROW()/100000,"")</f>
        <v/>
      </c>
    </row>
    <row r="705">
      <c r="F705" s="11" t="n"/>
      <c r="P705" s="7">
        <f>IF($D705="","",O705*X705/100)</f>
        <v/>
      </c>
      <c r="Q705" s="7" t="n"/>
      <c r="W705" s="7" t="n"/>
      <c r="X705" s="7" t="n"/>
      <c r="AA705">
        <f>IF($D705="","",IF($AP705=1,0,IF($AO705=1,Settings!$C$6,Settings!$C$7))*100)</f>
        <v/>
      </c>
      <c r="AB705" s="7">
        <f>IF($D705="","",X705*AA705/100)</f>
        <v/>
      </c>
      <c r="AC705" s="7">
        <f>IF($D705="","",X705-AB705)</f>
        <v/>
      </c>
      <c r="AD705" s="7">
        <f>IF($D705="","",AC705-P705)</f>
        <v/>
      </c>
      <c r="AH705" s="7" t="n"/>
      <c r="AK705" s="11" t="n"/>
      <c r="AM705">
        <f>IF($D705="","",IF(COUNTIF($D$2:$D705,$D705)=1,1,0))</f>
        <v/>
      </c>
      <c r="AN705">
        <f>IF($AM705=1,SUMPRODUCT(--($AQ$2:$AQ$1001&lt;$AQ705))+1,"")</f>
        <v/>
      </c>
      <c r="AO705">
        <f>IF($D705="","",IF(OR($T705=TRUE(),$T705="TRUE"),1,0))</f>
        <v/>
      </c>
      <c r="AP705">
        <f>IF($D705="","",IF($Z705="Yes",1,0))</f>
        <v/>
      </c>
      <c r="AQ705">
        <f>IF($AM705=1,IFERROR(IF(VALUE($D705)&lt;100000000,VALUE($D705),1000000000),IFERROR(IF(VALUE(MID($D705,2,20))&lt;100000000,VALUE(MID($D705,2,20)),1000000000),1000000000))+ROW()/100000,"")</f>
        <v/>
      </c>
    </row>
    <row r="706">
      <c r="F706" s="11" t="n"/>
      <c r="P706" s="7">
        <f>IF($D706="","",O706*X706/100)</f>
        <v/>
      </c>
      <c r="Q706" s="7" t="n"/>
      <c r="W706" s="7" t="n"/>
      <c r="X706" s="7" t="n"/>
      <c r="AA706">
        <f>IF($D706="","",IF($AP706=1,0,IF($AO706=1,Settings!$C$6,Settings!$C$7))*100)</f>
        <v/>
      </c>
      <c r="AB706" s="7">
        <f>IF($D706="","",X706*AA706/100)</f>
        <v/>
      </c>
      <c r="AC706" s="7">
        <f>IF($D706="","",X706-AB706)</f>
        <v/>
      </c>
      <c r="AD706" s="7">
        <f>IF($D706="","",AC706-P706)</f>
        <v/>
      </c>
      <c r="AH706" s="7" t="n"/>
      <c r="AK706" s="11" t="n"/>
      <c r="AM706">
        <f>IF($D706="","",IF(COUNTIF($D$2:$D706,$D706)=1,1,0))</f>
        <v/>
      </c>
      <c r="AN706">
        <f>IF($AM706=1,SUMPRODUCT(--($AQ$2:$AQ$1001&lt;$AQ706))+1,"")</f>
        <v/>
      </c>
      <c r="AO706">
        <f>IF($D706="","",IF(OR($T706=TRUE(),$T706="TRUE"),1,0))</f>
        <v/>
      </c>
      <c r="AP706">
        <f>IF($D706="","",IF($Z706="Yes",1,0))</f>
        <v/>
      </c>
      <c r="AQ706">
        <f>IF($AM706=1,IFERROR(IF(VALUE($D706)&lt;100000000,VALUE($D706),1000000000),IFERROR(IF(VALUE(MID($D706,2,20))&lt;100000000,VALUE(MID($D706,2,20)),1000000000),1000000000))+ROW()/100000,"")</f>
        <v/>
      </c>
    </row>
    <row r="707">
      <c r="F707" s="11" t="n"/>
      <c r="P707" s="7">
        <f>IF($D707="","",O707*X707/100)</f>
        <v/>
      </c>
      <c r="Q707" s="7" t="n"/>
      <c r="W707" s="7" t="n"/>
      <c r="X707" s="7" t="n"/>
      <c r="AA707">
        <f>IF($D707="","",IF($AP707=1,0,IF($AO707=1,Settings!$C$6,Settings!$C$7))*100)</f>
        <v/>
      </c>
      <c r="AB707" s="7">
        <f>IF($D707="","",X707*AA707/100)</f>
        <v/>
      </c>
      <c r="AC707" s="7">
        <f>IF($D707="","",X707-AB707)</f>
        <v/>
      </c>
      <c r="AD707" s="7">
        <f>IF($D707="","",AC707-P707)</f>
        <v/>
      </c>
      <c r="AH707" s="7" t="n"/>
      <c r="AK707" s="11" t="n"/>
      <c r="AM707">
        <f>IF($D707="","",IF(COUNTIF($D$2:$D707,$D707)=1,1,0))</f>
        <v/>
      </c>
      <c r="AN707">
        <f>IF($AM707=1,SUMPRODUCT(--($AQ$2:$AQ$1001&lt;$AQ707))+1,"")</f>
        <v/>
      </c>
      <c r="AO707">
        <f>IF($D707="","",IF(OR($T707=TRUE(),$T707="TRUE"),1,0))</f>
        <v/>
      </c>
      <c r="AP707">
        <f>IF($D707="","",IF($Z707="Yes",1,0))</f>
        <v/>
      </c>
      <c r="AQ707">
        <f>IF($AM707=1,IFERROR(IF(VALUE($D707)&lt;100000000,VALUE($D707),1000000000),IFERROR(IF(VALUE(MID($D707,2,20))&lt;100000000,VALUE(MID($D707,2,20)),1000000000),1000000000))+ROW()/100000,"")</f>
        <v/>
      </c>
    </row>
    <row r="708">
      <c r="F708" s="11" t="n"/>
      <c r="P708" s="7">
        <f>IF($D708="","",O708*X708/100)</f>
        <v/>
      </c>
      <c r="Q708" s="7" t="n"/>
      <c r="W708" s="7" t="n"/>
      <c r="X708" s="7" t="n"/>
      <c r="AA708">
        <f>IF($D708="","",IF($AP708=1,0,IF($AO708=1,Settings!$C$6,Settings!$C$7))*100)</f>
        <v/>
      </c>
      <c r="AB708" s="7">
        <f>IF($D708="","",X708*AA708/100)</f>
        <v/>
      </c>
      <c r="AC708" s="7">
        <f>IF($D708="","",X708-AB708)</f>
        <v/>
      </c>
      <c r="AD708" s="7">
        <f>IF($D708="","",AC708-P708)</f>
        <v/>
      </c>
      <c r="AH708" s="7" t="n"/>
      <c r="AK708" s="11" t="n"/>
      <c r="AM708">
        <f>IF($D708="","",IF(COUNTIF($D$2:$D708,$D708)=1,1,0))</f>
        <v/>
      </c>
      <c r="AN708">
        <f>IF($AM708=1,SUMPRODUCT(--($AQ$2:$AQ$1001&lt;$AQ708))+1,"")</f>
        <v/>
      </c>
      <c r="AO708">
        <f>IF($D708="","",IF(OR($T708=TRUE(),$T708="TRUE"),1,0))</f>
        <v/>
      </c>
      <c r="AP708">
        <f>IF($D708="","",IF($Z708="Yes",1,0))</f>
        <v/>
      </c>
      <c r="AQ708">
        <f>IF($AM708=1,IFERROR(IF(VALUE($D708)&lt;100000000,VALUE($D708),1000000000),IFERROR(IF(VALUE(MID($D708,2,20))&lt;100000000,VALUE(MID($D708,2,20)),1000000000),1000000000))+ROW()/100000,"")</f>
        <v/>
      </c>
    </row>
    <row r="709">
      <c r="F709" s="11" t="n"/>
      <c r="P709" s="7">
        <f>IF($D709="","",O709*X709/100)</f>
        <v/>
      </c>
      <c r="Q709" s="7" t="n"/>
      <c r="W709" s="7" t="n"/>
      <c r="X709" s="7" t="n"/>
      <c r="AA709">
        <f>IF($D709="","",IF($AP709=1,0,IF($AO709=1,Settings!$C$6,Settings!$C$7))*100)</f>
        <v/>
      </c>
      <c r="AB709" s="7">
        <f>IF($D709="","",X709*AA709/100)</f>
        <v/>
      </c>
      <c r="AC709" s="7">
        <f>IF($D709="","",X709-AB709)</f>
        <v/>
      </c>
      <c r="AD709" s="7">
        <f>IF($D709="","",AC709-P709)</f>
        <v/>
      </c>
      <c r="AH709" s="7" t="n"/>
      <c r="AK709" s="11" t="n"/>
      <c r="AM709">
        <f>IF($D709="","",IF(COUNTIF($D$2:$D709,$D709)=1,1,0))</f>
        <v/>
      </c>
      <c r="AN709">
        <f>IF($AM709=1,SUMPRODUCT(--($AQ$2:$AQ$1001&lt;$AQ709))+1,"")</f>
        <v/>
      </c>
      <c r="AO709">
        <f>IF($D709="","",IF(OR($T709=TRUE(),$T709="TRUE"),1,0))</f>
        <v/>
      </c>
      <c r="AP709">
        <f>IF($D709="","",IF($Z709="Yes",1,0))</f>
        <v/>
      </c>
      <c r="AQ709">
        <f>IF($AM709=1,IFERROR(IF(VALUE($D709)&lt;100000000,VALUE($D709),1000000000),IFERROR(IF(VALUE(MID($D709,2,20))&lt;100000000,VALUE(MID($D709,2,20)),1000000000),1000000000))+ROW()/100000,"")</f>
        <v/>
      </c>
    </row>
    <row r="710">
      <c r="F710" s="11" t="n"/>
      <c r="P710" s="7">
        <f>IF($D710="","",O710*X710/100)</f>
        <v/>
      </c>
      <c r="Q710" s="7" t="n"/>
      <c r="W710" s="7" t="n"/>
      <c r="X710" s="7" t="n"/>
      <c r="AA710">
        <f>IF($D710="","",IF($AP710=1,0,IF($AO710=1,Settings!$C$6,Settings!$C$7))*100)</f>
        <v/>
      </c>
      <c r="AB710" s="7">
        <f>IF($D710="","",X710*AA710/100)</f>
        <v/>
      </c>
      <c r="AC710" s="7">
        <f>IF($D710="","",X710-AB710)</f>
        <v/>
      </c>
      <c r="AD710" s="7">
        <f>IF($D710="","",AC710-P710)</f>
        <v/>
      </c>
      <c r="AH710" s="7" t="n"/>
      <c r="AK710" s="11" t="n"/>
      <c r="AM710">
        <f>IF($D710="","",IF(COUNTIF($D$2:$D710,$D710)=1,1,0))</f>
        <v/>
      </c>
      <c r="AN710">
        <f>IF($AM710=1,SUMPRODUCT(--($AQ$2:$AQ$1001&lt;$AQ710))+1,"")</f>
        <v/>
      </c>
      <c r="AO710">
        <f>IF($D710="","",IF(OR($T710=TRUE(),$T710="TRUE"),1,0))</f>
        <v/>
      </c>
      <c r="AP710">
        <f>IF($D710="","",IF($Z710="Yes",1,0))</f>
        <v/>
      </c>
      <c r="AQ710">
        <f>IF($AM710=1,IFERROR(IF(VALUE($D710)&lt;100000000,VALUE($D710),1000000000),IFERROR(IF(VALUE(MID($D710,2,20))&lt;100000000,VALUE(MID($D710,2,20)),1000000000),1000000000))+ROW()/100000,"")</f>
        <v/>
      </c>
    </row>
    <row r="711">
      <c r="F711" s="11" t="n"/>
      <c r="P711" s="7">
        <f>IF($D711="","",O711*X711/100)</f>
        <v/>
      </c>
      <c r="Q711" s="7" t="n"/>
      <c r="W711" s="7" t="n"/>
      <c r="X711" s="7" t="n"/>
      <c r="AA711">
        <f>IF($D711="","",IF($AP711=1,0,IF($AO711=1,Settings!$C$6,Settings!$C$7))*100)</f>
        <v/>
      </c>
      <c r="AB711" s="7">
        <f>IF($D711="","",X711*AA711/100)</f>
        <v/>
      </c>
      <c r="AC711" s="7">
        <f>IF($D711="","",X711-AB711)</f>
        <v/>
      </c>
      <c r="AD711" s="7">
        <f>IF($D711="","",AC711-P711)</f>
        <v/>
      </c>
      <c r="AH711" s="7" t="n"/>
      <c r="AK711" s="11" t="n"/>
      <c r="AM711">
        <f>IF($D711="","",IF(COUNTIF($D$2:$D711,$D711)=1,1,0))</f>
        <v/>
      </c>
      <c r="AN711">
        <f>IF($AM711=1,SUMPRODUCT(--($AQ$2:$AQ$1001&lt;$AQ711))+1,"")</f>
        <v/>
      </c>
      <c r="AO711">
        <f>IF($D711="","",IF(OR($T711=TRUE(),$T711="TRUE"),1,0))</f>
        <v/>
      </c>
      <c r="AP711">
        <f>IF($D711="","",IF($Z711="Yes",1,0))</f>
        <v/>
      </c>
      <c r="AQ711">
        <f>IF($AM711=1,IFERROR(IF(VALUE($D711)&lt;100000000,VALUE($D711),1000000000),IFERROR(IF(VALUE(MID($D711,2,20))&lt;100000000,VALUE(MID($D711,2,20)),1000000000),1000000000))+ROW()/100000,"")</f>
        <v/>
      </c>
    </row>
    <row r="712">
      <c r="F712" s="11" t="n"/>
      <c r="P712" s="7">
        <f>IF($D712="","",O712*X712/100)</f>
        <v/>
      </c>
      <c r="Q712" s="7" t="n"/>
      <c r="W712" s="7" t="n"/>
      <c r="X712" s="7" t="n"/>
      <c r="AA712">
        <f>IF($D712="","",IF($AP712=1,0,IF($AO712=1,Settings!$C$6,Settings!$C$7))*100)</f>
        <v/>
      </c>
      <c r="AB712" s="7">
        <f>IF($D712="","",X712*AA712/100)</f>
        <v/>
      </c>
      <c r="AC712" s="7">
        <f>IF($D712="","",X712-AB712)</f>
        <v/>
      </c>
      <c r="AD712" s="7">
        <f>IF($D712="","",AC712-P712)</f>
        <v/>
      </c>
      <c r="AH712" s="7" t="n"/>
      <c r="AK712" s="11" t="n"/>
      <c r="AM712">
        <f>IF($D712="","",IF(COUNTIF($D$2:$D712,$D712)=1,1,0))</f>
        <v/>
      </c>
      <c r="AN712">
        <f>IF($AM712=1,SUMPRODUCT(--($AQ$2:$AQ$1001&lt;$AQ712))+1,"")</f>
        <v/>
      </c>
      <c r="AO712">
        <f>IF($D712="","",IF(OR($T712=TRUE(),$T712="TRUE"),1,0))</f>
        <v/>
      </c>
      <c r="AP712">
        <f>IF($D712="","",IF($Z712="Yes",1,0))</f>
        <v/>
      </c>
      <c r="AQ712">
        <f>IF($AM712=1,IFERROR(IF(VALUE($D712)&lt;100000000,VALUE($D712),1000000000),IFERROR(IF(VALUE(MID($D712,2,20))&lt;100000000,VALUE(MID($D712,2,20)),1000000000),1000000000))+ROW()/100000,"")</f>
        <v/>
      </c>
    </row>
    <row r="713">
      <c r="F713" s="11" t="n"/>
      <c r="P713" s="7">
        <f>IF($D713="","",O713*X713/100)</f>
        <v/>
      </c>
      <c r="Q713" s="7" t="n"/>
      <c r="W713" s="7" t="n"/>
      <c r="X713" s="7" t="n"/>
      <c r="AA713">
        <f>IF($D713="","",IF($AP713=1,0,IF($AO713=1,Settings!$C$6,Settings!$C$7))*100)</f>
        <v/>
      </c>
      <c r="AB713" s="7">
        <f>IF($D713="","",X713*AA713/100)</f>
        <v/>
      </c>
      <c r="AC713" s="7">
        <f>IF($D713="","",X713-AB713)</f>
        <v/>
      </c>
      <c r="AD713" s="7">
        <f>IF($D713="","",AC713-P713)</f>
        <v/>
      </c>
      <c r="AH713" s="7" t="n"/>
      <c r="AK713" s="11" t="n"/>
      <c r="AM713">
        <f>IF($D713="","",IF(COUNTIF($D$2:$D713,$D713)=1,1,0))</f>
        <v/>
      </c>
      <c r="AN713">
        <f>IF($AM713=1,SUMPRODUCT(--($AQ$2:$AQ$1001&lt;$AQ713))+1,"")</f>
        <v/>
      </c>
      <c r="AO713">
        <f>IF($D713="","",IF(OR($T713=TRUE(),$T713="TRUE"),1,0))</f>
        <v/>
      </c>
      <c r="AP713">
        <f>IF($D713="","",IF($Z713="Yes",1,0))</f>
        <v/>
      </c>
      <c r="AQ713">
        <f>IF($AM713=1,IFERROR(IF(VALUE($D713)&lt;100000000,VALUE($D713),1000000000),IFERROR(IF(VALUE(MID($D713,2,20))&lt;100000000,VALUE(MID($D713,2,20)),1000000000),1000000000))+ROW()/100000,"")</f>
        <v/>
      </c>
    </row>
    <row r="714">
      <c r="F714" s="11" t="n"/>
      <c r="P714" s="7">
        <f>IF($D714="","",O714*X714/100)</f>
        <v/>
      </c>
      <c r="Q714" s="7" t="n"/>
      <c r="W714" s="7" t="n"/>
      <c r="X714" s="7" t="n"/>
      <c r="AA714">
        <f>IF($D714="","",IF($AP714=1,0,IF($AO714=1,Settings!$C$6,Settings!$C$7))*100)</f>
        <v/>
      </c>
      <c r="AB714" s="7">
        <f>IF($D714="","",X714*AA714/100)</f>
        <v/>
      </c>
      <c r="AC714" s="7">
        <f>IF($D714="","",X714-AB714)</f>
        <v/>
      </c>
      <c r="AD714" s="7">
        <f>IF($D714="","",AC714-P714)</f>
        <v/>
      </c>
      <c r="AH714" s="7" t="n"/>
      <c r="AK714" s="11" t="n"/>
      <c r="AM714">
        <f>IF($D714="","",IF(COUNTIF($D$2:$D714,$D714)=1,1,0))</f>
        <v/>
      </c>
      <c r="AN714">
        <f>IF($AM714=1,SUMPRODUCT(--($AQ$2:$AQ$1001&lt;$AQ714))+1,"")</f>
        <v/>
      </c>
      <c r="AO714">
        <f>IF($D714="","",IF(OR($T714=TRUE(),$T714="TRUE"),1,0))</f>
        <v/>
      </c>
      <c r="AP714">
        <f>IF($D714="","",IF($Z714="Yes",1,0))</f>
        <v/>
      </c>
      <c r="AQ714">
        <f>IF($AM714=1,IFERROR(IF(VALUE($D714)&lt;100000000,VALUE($D714),1000000000),IFERROR(IF(VALUE(MID($D714,2,20))&lt;100000000,VALUE(MID($D714,2,20)),1000000000),1000000000))+ROW()/100000,"")</f>
        <v/>
      </c>
    </row>
    <row r="715">
      <c r="F715" s="11" t="n"/>
      <c r="P715" s="7">
        <f>IF($D715="","",O715*X715/100)</f>
        <v/>
      </c>
      <c r="Q715" s="7" t="n"/>
      <c r="W715" s="7" t="n"/>
      <c r="X715" s="7" t="n"/>
      <c r="AA715">
        <f>IF($D715="","",IF($AP715=1,0,IF($AO715=1,Settings!$C$6,Settings!$C$7))*100)</f>
        <v/>
      </c>
      <c r="AB715" s="7">
        <f>IF($D715="","",X715*AA715/100)</f>
        <v/>
      </c>
      <c r="AC715" s="7">
        <f>IF($D715="","",X715-AB715)</f>
        <v/>
      </c>
      <c r="AD715" s="7">
        <f>IF($D715="","",AC715-P715)</f>
        <v/>
      </c>
      <c r="AH715" s="7" t="n"/>
      <c r="AK715" s="11" t="n"/>
      <c r="AM715">
        <f>IF($D715="","",IF(COUNTIF($D$2:$D715,$D715)=1,1,0))</f>
        <v/>
      </c>
      <c r="AN715">
        <f>IF($AM715=1,SUMPRODUCT(--($AQ$2:$AQ$1001&lt;$AQ715))+1,"")</f>
        <v/>
      </c>
      <c r="AO715">
        <f>IF($D715="","",IF(OR($T715=TRUE(),$T715="TRUE"),1,0))</f>
        <v/>
      </c>
      <c r="AP715">
        <f>IF($D715="","",IF($Z715="Yes",1,0))</f>
        <v/>
      </c>
      <c r="AQ715">
        <f>IF($AM715=1,IFERROR(IF(VALUE($D715)&lt;100000000,VALUE($D715),1000000000),IFERROR(IF(VALUE(MID($D715,2,20))&lt;100000000,VALUE(MID($D715,2,20)),1000000000),1000000000))+ROW()/100000,"")</f>
        <v/>
      </c>
    </row>
    <row r="716">
      <c r="F716" s="11" t="n"/>
      <c r="P716" s="7">
        <f>IF($D716="","",O716*X716/100)</f>
        <v/>
      </c>
      <c r="Q716" s="7" t="n"/>
      <c r="W716" s="7" t="n"/>
      <c r="X716" s="7" t="n"/>
      <c r="AA716">
        <f>IF($D716="","",IF($AP716=1,0,IF($AO716=1,Settings!$C$6,Settings!$C$7))*100)</f>
        <v/>
      </c>
      <c r="AB716" s="7">
        <f>IF($D716="","",X716*AA716/100)</f>
        <v/>
      </c>
      <c r="AC716" s="7">
        <f>IF($D716="","",X716-AB716)</f>
        <v/>
      </c>
      <c r="AD716" s="7">
        <f>IF($D716="","",AC716-P716)</f>
        <v/>
      </c>
      <c r="AH716" s="7" t="n"/>
      <c r="AK716" s="11" t="n"/>
      <c r="AM716">
        <f>IF($D716="","",IF(COUNTIF($D$2:$D716,$D716)=1,1,0))</f>
        <v/>
      </c>
      <c r="AN716">
        <f>IF($AM716=1,SUMPRODUCT(--($AQ$2:$AQ$1001&lt;$AQ716))+1,"")</f>
        <v/>
      </c>
      <c r="AO716">
        <f>IF($D716="","",IF(OR($T716=TRUE(),$T716="TRUE"),1,0))</f>
        <v/>
      </c>
      <c r="AP716">
        <f>IF($D716="","",IF($Z716="Yes",1,0))</f>
        <v/>
      </c>
      <c r="AQ716">
        <f>IF($AM716=1,IFERROR(IF(VALUE($D716)&lt;100000000,VALUE($D716),1000000000),IFERROR(IF(VALUE(MID($D716,2,20))&lt;100000000,VALUE(MID($D716,2,20)),1000000000),1000000000))+ROW()/100000,"")</f>
        <v/>
      </c>
    </row>
    <row r="717">
      <c r="F717" s="11" t="n"/>
      <c r="P717" s="7">
        <f>IF($D717="","",O717*X717/100)</f>
        <v/>
      </c>
      <c r="Q717" s="7" t="n"/>
      <c r="W717" s="7" t="n"/>
      <c r="X717" s="7" t="n"/>
      <c r="AA717">
        <f>IF($D717="","",IF($AP717=1,0,IF($AO717=1,Settings!$C$6,Settings!$C$7))*100)</f>
        <v/>
      </c>
      <c r="AB717" s="7">
        <f>IF($D717="","",X717*AA717/100)</f>
        <v/>
      </c>
      <c r="AC717" s="7">
        <f>IF($D717="","",X717-AB717)</f>
        <v/>
      </c>
      <c r="AD717" s="7">
        <f>IF($D717="","",AC717-P717)</f>
        <v/>
      </c>
      <c r="AH717" s="7" t="n"/>
      <c r="AK717" s="11" t="n"/>
      <c r="AM717">
        <f>IF($D717="","",IF(COUNTIF($D$2:$D717,$D717)=1,1,0))</f>
        <v/>
      </c>
      <c r="AN717">
        <f>IF($AM717=1,SUMPRODUCT(--($AQ$2:$AQ$1001&lt;$AQ717))+1,"")</f>
        <v/>
      </c>
      <c r="AO717">
        <f>IF($D717="","",IF(OR($T717=TRUE(),$T717="TRUE"),1,0))</f>
        <v/>
      </c>
      <c r="AP717">
        <f>IF($D717="","",IF($Z717="Yes",1,0))</f>
        <v/>
      </c>
      <c r="AQ717">
        <f>IF($AM717=1,IFERROR(IF(VALUE($D717)&lt;100000000,VALUE($D717),1000000000),IFERROR(IF(VALUE(MID($D717,2,20))&lt;100000000,VALUE(MID($D717,2,20)),1000000000),1000000000))+ROW()/100000,"")</f>
        <v/>
      </c>
    </row>
    <row r="718">
      <c r="F718" s="11" t="n"/>
      <c r="P718" s="7">
        <f>IF($D718="","",O718*X718/100)</f>
        <v/>
      </c>
      <c r="Q718" s="7" t="n"/>
      <c r="W718" s="7" t="n"/>
      <c r="X718" s="7" t="n"/>
      <c r="AA718">
        <f>IF($D718="","",IF($AP718=1,0,IF($AO718=1,Settings!$C$6,Settings!$C$7))*100)</f>
        <v/>
      </c>
      <c r="AB718" s="7">
        <f>IF($D718="","",X718*AA718/100)</f>
        <v/>
      </c>
      <c r="AC718" s="7">
        <f>IF($D718="","",X718-AB718)</f>
        <v/>
      </c>
      <c r="AD718" s="7">
        <f>IF($D718="","",AC718-P718)</f>
        <v/>
      </c>
      <c r="AH718" s="7" t="n"/>
      <c r="AK718" s="11" t="n"/>
      <c r="AM718">
        <f>IF($D718="","",IF(COUNTIF($D$2:$D718,$D718)=1,1,0))</f>
        <v/>
      </c>
      <c r="AN718">
        <f>IF($AM718=1,SUMPRODUCT(--($AQ$2:$AQ$1001&lt;$AQ718))+1,"")</f>
        <v/>
      </c>
      <c r="AO718">
        <f>IF($D718="","",IF(OR($T718=TRUE(),$T718="TRUE"),1,0))</f>
        <v/>
      </c>
      <c r="AP718">
        <f>IF($D718="","",IF($Z718="Yes",1,0))</f>
        <v/>
      </c>
      <c r="AQ718">
        <f>IF($AM718=1,IFERROR(IF(VALUE($D718)&lt;100000000,VALUE($D718),1000000000),IFERROR(IF(VALUE(MID($D718,2,20))&lt;100000000,VALUE(MID($D718,2,20)),1000000000),1000000000))+ROW()/100000,"")</f>
        <v/>
      </c>
    </row>
    <row r="719">
      <c r="F719" s="11" t="n"/>
      <c r="P719" s="7">
        <f>IF($D719="","",O719*X719/100)</f>
        <v/>
      </c>
      <c r="Q719" s="7" t="n"/>
      <c r="W719" s="7" t="n"/>
      <c r="X719" s="7" t="n"/>
      <c r="AA719">
        <f>IF($D719="","",IF($AP719=1,0,IF($AO719=1,Settings!$C$6,Settings!$C$7))*100)</f>
        <v/>
      </c>
      <c r="AB719" s="7">
        <f>IF($D719="","",X719*AA719/100)</f>
        <v/>
      </c>
      <c r="AC719" s="7">
        <f>IF($D719="","",X719-AB719)</f>
        <v/>
      </c>
      <c r="AD719" s="7">
        <f>IF($D719="","",AC719-P719)</f>
        <v/>
      </c>
      <c r="AH719" s="7" t="n"/>
      <c r="AK719" s="11" t="n"/>
      <c r="AM719">
        <f>IF($D719="","",IF(COUNTIF($D$2:$D719,$D719)=1,1,0))</f>
        <v/>
      </c>
      <c r="AN719">
        <f>IF($AM719=1,SUMPRODUCT(--($AQ$2:$AQ$1001&lt;$AQ719))+1,"")</f>
        <v/>
      </c>
      <c r="AO719">
        <f>IF($D719="","",IF(OR($T719=TRUE(),$T719="TRUE"),1,0))</f>
        <v/>
      </c>
      <c r="AP719">
        <f>IF($D719="","",IF($Z719="Yes",1,0))</f>
        <v/>
      </c>
      <c r="AQ719">
        <f>IF($AM719=1,IFERROR(IF(VALUE($D719)&lt;100000000,VALUE($D719),1000000000),IFERROR(IF(VALUE(MID($D719,2,20))&lt;100000000,VALUE(MID($D719,2,20)),1000000000),1000000000))+ROW()/100000,"")</f>
        <v/>
      </c>
    </row>
    <row r="720">
      <c r="F720" s="11" t="n"/>
      <c r="P720" s="7">
        <f>IF($D720="","",O720*X720/100)</f>
        <v/>
      </c>
      <c r="Q720" s="7" t="n"/>
      <c r="W720" s="7" t="n"/>
      <c r="X720" s="7" t="n"/>
      <c r="AA720">
        <f>IF($D720="","",IF($AP720=1,0,IF($AO720=1,Settings!$C$6,Settings!$C$7))*100)</f>
        <v/>
      </c>
      <c r="AB720" s="7">
        <f>IF($D720="","",X720*AA720/100)</f>
        <v/>
      </c>
      <c r="AC720" s="7">
        <f>IF($D720="","",X720-AB720)</f>
        <v/>
      </c>
      <c r="AD720" s="7">
        <f>IF($D720="","",AC720-P720)</f>
        <v/>
      </c>
      <c r="AH720" s="7" t="n"/>
      <c r="AK720" s="11" t="n"/>
      <c r="AM720">
        <f>IF($D720="","",IF(COUNTIF($D$2:$D720,$D720)=1,1,0))</f>
        <v/>
      </c>
      <c r="AN720">
        <f>IF($AM720=1,SUMPRODUCT(--($AQ$2:$AQ$1001&lt;$AQ720))+1,"")</f>
        <v/>
      </c>
      <c r="AO720">
        <f>IF($D720="","",IF(OR($T720=TRUE(),$T720="TRUE"),1,0))</f>
        <v/>
      </c>
      <c r="AP720">
        <f>IF($D720="","",IF($Z720="Yes",1,0))</f>
        <v/>
      </c>
      <c r="AQ720">
        <f>IF($AM720=1,IFERROR(IF(VALUE($D720)&lt;100000000,VALUE($D720),1000000000),IFERROR(IF(VALUE(MID($D720,2,20))&lt;100000000,VALUE(MID($D720,2,20)),1000000000),1000000000))+ROW()/100000,"")</f>
        <v/>
      </c>
    </row>
    <row r="721">
      <c r="F721" s="11" t="n"/>
      <c r="P721" s="7">
        <f>IF($D721="","",O721*X721/100)</f>
        <v/>
      </c>
      <c r="Q721" s="7" t="n"/>
      <c r="W721" s="7" t="n"/>
      <c r="X721" s="7" t="n"/>
      <c r="AA721">
        <f>IF($D721="","",IF($AP721=1,0,IF($AO721=1,Settings!$C$6,Settings!$C$7))*100)</f>
        <v/>
      </c>
      <c r="AB721" s="7">
        <f>IF($D721="","",X721*AA721/100)</f>
        <v/>
      </c>
      <c r="AC721" s="7">
        <f>IF($D721="","",X721-AB721)</f>
        <v/>
      </c>
      <c r="AD721" s="7">
        <f>IF($D721="","",AC721-P721)</f>
        <v/>
      </c>
      <c r="AH721" s="7" t="n"/>
      <c r="AK721" s="11" t="n"/>
      <c r="AM721">
        <f>IF($D721="","",IF(COUNTIF($D$2:$D721,$D721)=1,1,0))</f>
        <v/>
      </c>
      <c r="AN721">
        <f>IF($AM721=1,SUMPRODUCT(--($AQ$2:$AQ$1001&lt;$AQ721))+1,"")</f>
        <v/>
      </c>
      <c r="AO721">
        <f>IF($D721="","",IF(OR($T721=TRUE(),$T721="TRUE"),1,0))</f>
        <v/>
      </c>
      <c r="AP721">
        <f>IF($D721="","",IF($Z721="Yes",1,0))</f>
        <v/>
      </c>
      <c r="AQ721">
        <f>IF($AM721=1,IFERROR(IF(VALUE($D721)&lt;100000000,VALUE($D721),1000000000),IFERROR(IF(VALUE(MID($D721,2,20))&lt;100000000,VALUE(MID($D721,2,20)),1000000000),1000000000))+ROW()/100000,"")</f>
        <v/>
      </c>
    </row>
    <row r="722">
      <c r="F722" s="11" t="n"/>
      <c r="P722" s="7">
        <f>IF($D722="","",O722*X722/100)</f>
        <v/>
      </c>
      <c r="Q722" s="7" t="n"/>
      <c r="W722" s="7" t="n"/>
      <c r="X722" s="7" t="n"/>
      <c r="AA722">
        <f>IF($D722="","",IF($AP722=1,0,IF($AO722=1,Settings!$C$6,Settings!$C$7))*100)</f>
        <v/>
      </c>
      <c r="AB722" s="7">
        <f>IF($D722="","",X722*AA722/100)</f>
        <v/>
      </c>
      <c r="AC722" s="7">
        <f>IF($D722="","",X722-AB722)</f>
        <v/>
      </c>
      <c r="AD722" s="7">
        <f>IF($D722="","",AC722-P722)</f>
        <v/>
      </c>
      <c r="AH722" s="7" t="n"/>
      <c r="AK722" s="11" t="n"/>
      <c r="AM722">
        <f>IF($D722="","",IF(COUNTIF($D$2:$D722,$D722)=1,1,0))</f>
        <v/>
      </c>
      <c r="AN722">
        <f>IF($AM722=1,SUMPRODUCT(--($AQ$2:$AQ$1001&lt;$AQ722))+1,"")</f>
        <v/>
      </c>
      <c r="AO722">
        <f>IF($D722="","",IF(OR($T722=TRUE(),$T722="TRUE"),1,0))</f>
        <v/>
      </c>
      <c r="AP722">
        <f>IF($D722="","",IF($Z722="Yes",1,0))</f>
        <v/>
      </c>
      <c r="AQ722">
        <f>IF($AM722=1,IFERROR(IF(VALUE($D722)&lt;100000000,VALUE($D722),1000000000),IFERROR(IF(VALUE(MID($D722,2,20))&lt;100000000,VALUE(MID($D722,2,20)),1000000000),1000000000))+ROW()/100000,"")</f>
        <v/>
      </c>
    </row>
    <row r="723">
      <c r="F723" s="11" t="n"/>
      <c r="P723" s="7">
        <f>IF($D723="","",O723*X723/100)</f>
        <v/>
      </c>
      <c r="Q723" s="7" t="n"/>
      <c r="W723" s="7" t="n"/>
      <c r="X723" s="7" t="n"/>
      <c r="AA723">
        <f>IF($D723="","",IF($AP723=1,0,IF($AO723=1,Settings!$C$6,Settings!$C$7))*100)</f>
        <v/>
      </c>
      <c r="AB723" s="7">
        <f>IF($D723="","",X723*AA723/100)</f>
        <v/>
      </c>
      <c r="AC723" s="7">
        <f>IF($D723="","",X723-AB723)</f>
        <v/>
      </c>
      <c r="AD723" s="7">
        <f>IF($D723="","",AC723-P723)</f>
        <v/>
      </c>
      <c r="AH723" s="7" t="n"/>
      <c r="AK723" s="11" t="n"/>
      <c r="AM723">
        <f>IF($D723="","",IF(COUNTIF($D$2:$D723,$D723)=1,1,0))</f>
        <v/>
      </c>
      <c r="AN723">
        <f>IF($AM723=1,SUMPRODUCT(--($AQ$2:$AQ$1001&lt;$AQ723))+1,"")</f>
        <v/>
      </c>
      <c r="AO723">
        <f>IF($D723="","",IF(OR($T723=TRUE(),$T723="TRUE"),1,0))</f>
        <v/>
      </c>
      <c r="AP723">
        <f>IF($D723="","",IF($Z723="Yes",1,0))</f>
        <v/>
      </c>
      <c r="AQ723">
        <f>IF($AM723=1,IFERROR(IF(VALUE($D723)&lt;100000000,VALUE($D723),1000000000),IFERROR(IF(VALUE(MID($D723,2,20))&lt;100000000,VALUE(MID($D723,2,20)),1000000000),1000000000))+ROW()/100000,"")</f>
        <v/>
      </c>
    </row>
    <row r="724">
      <c r="F724" s="11" t="n"/>
      <c r="P724" s="7">
        <f>IF($D724="","",O724*X724/100)</f>
        <v/>
      </c>
      <c r="Q724" s="7" t="n"/>
      <c r="W724" s="7" t="n"/>
      <c r="X724" s="7" t="n"/>
      <c r="AA724">
        <f>IF($D724="","",IF($AP724=1,0,IF($AO724=1,Settings!$C$6,Settings!$C$7))*100)</f>
        <v/>
      </c>
      <c r="AB724" s="7">
        <f>IF($D724="","",X724*AA724/100)</f>
        <v/>
      </c>
      <c r="AC724" s="7">
        <f>IF($D724="","",X724-AB724)</f>
        <v/>
      </c>
      <c r="AD724" s="7">
        <f>IF($D724="","",AC724-P724)</f>
        <v/>
      </c>
      <c r="AH724" s="7" t="n"/>
      <c r="AK724" s="11" t="n"/>
      <c r="AM724">
        <f>IF($D724="","",IF(COUNTIF($D$2:$D724,$D724)=1,1,0))</f>
        <v/>
      </c>
      <c r="AN724">
        <f>IF($AM724=1,SUMPRODUCT(--($AQ$2:$AQ$1001&lt;$AQ724))+1,"")</f>
        <v/>
      </c>
      <c r="AO724">
        <f>IF($D724="","",IF(OR($T724=TRUE(),$T724="TRUE"),1,0))</f>
        <v/>
      </c>
      <c r="AP724">
        <f>IF($D724="","",IF($Z724="Yes",1,0))</f>
        <v/>
      </c>
      <c r="AQ724">
        <f>IF($AM724=1,IFERROR(IF(VALUE($D724)&lt;100000000,VALUE($D724),1000000000),IFERROR(IF(VALUE(MID($D724,2,20))&lt;100000000,VALUE(MID($D724,2,20)),1000000000),1000000000))+ROW()/100000,"")</f>
        <v/>
      </c>
    </row>
    <row r="725">
      <c r="F725" s="11" t="n"/>
      <c r="P725" s="7">
        <f>IF($D725="","",O725*X725/100)</f>
        <v/>
      </c>
      <c r="Q725" s="7" t="n"/>
      <c r="W725" s="7" t="n"/>
      <c r="X725" s="7" t="n"/>
      <c r="AA725">
        <f>IF($D725="","",IF($AP725=1,0,IF($AO725=1,Settings!$C$6,Settings!$C$7))*100)</f>
        <v/>
      </c>
      <c r="AB725" s="7">
        <f>IF($D725="","",X725*AA725/100)</f>
        <v/>
      </c>
      <c r="AC725" s="7">
        <f>IF($D725="","",X725-AB725)</f>
        <v/>
      </c>
      <c r="AD725" s="7">
        <f>IF($D725="","",AC725-P725)</f>
        <v/>
      </c>
      <c r="AH725" s="7" t="n"/>
      <c r="AK725" s="11" t="n"/>
      <c r="AM725">
        <f>IF($D725="","",IF(COUNTIF($D$2:$D725,$D725)=1,1,0))</f>
        <v/>
      </c>
      <c r="AN725">
        <f>IF($AM725=1,SUMPRODUCT(--($AQ$2:$AQ$1001&lt;$AQ725))+1,"")</f>
        <v/>
      </c>
      <c r="AO725">
        <f>IF($D725="","",IF(OR($T725=TRUE(),$T725="TRUE"),1,0))</f>
        <v/>
      </c>
      <c r="AP725">
        <f>IF($D725="","",IF($Z725="Yes",1,0))</f>
        <v/>
      </c>
      <c r="AQ725">
        <f>IF($AM725=1,IFERROR(IF(VALUE($D725)&lt;100000000,VALUE($D725),1000000000),IFERROR(IF(VALUE(MID($D725,2,20))&lt;100000000,VALUE(MID($D725,2,20)),1000000000),1000000000))+ROW()/100000,"")</f>
        <v/>
      </c>
    </row>
    <row r="726">
      <c r="F726" s="11" t="n"/>
      <c r="P726" s="7">
        <f>IF($D726="","",O726*X726/100)</f>
        <v/>
      </c>
      <c r="Q726" s="7" t="n"/>
      <c r="W726" s="7" t="n"/>
      <c r="X726" s="7" t="n"/>
      <c r="AA726">
        <f>IF($D726="","",IF($AP726=1,0,IF($AO726=1,Settings!$C$6,Settings!$C$7))*100)</f>
        <v/>
      </c>
      <c r="AB726" s="7">
        <f>IF($D726="","",X726*AA726/100)</f>
        <v/>
      </c>
      <c r="AC726" s="7">
        <f>IF($D726="","",X726-AB726)</f>
        <v/>
      </c>
      <c r="AD726" s="7">
        <f>IF($D726="","",AC726-P726)</f>
        <v/>
      </c>
      <c r="AH726" s="7" t="n"/>
      <c r="AK726" s="11" t="n"/>
      <c r="AM726">
        <f>IF($D726="","",IF(COUNTIF($D$2:$D726,$D726)=1,1,0))</f>
        <v/>
      </c>
      <c r="AN726">
        <f>IF($AM726=1,SUMPRODUCT(--($AQ$2:$AQ$1001&lt;$AQ726))+1,"")</f>
        <v/>
      </c>
      <c r="AO726">
        <f>IF($D726="","",IF(OR($T726=TRUE(),$T726="TRUE"),1,0))</f>
        <v/>
      </c>
      <c r="AP726">
        <f>IF($D726="","",IF($Z726="Yes",1,0))</f>
        <v/>
      </c>
      <c r="AQ726">
        <f>IF($AM726=1,IFERROR(IF(VALUE($D726)&lt;100000000,VALUE($D726),1000000000),IFERROR(IF(VALUE(MID($D726,2,20))&lt;100000000,VALUE(MID($D726,2,20)),1000000000),1000000000))+ROW()/100000,"")</f>
        <v/>
      </c>
    </row>
    <row r="727">
      <c r="F727" s="11" t="n"/>
      <c r="P727" s="7">
        <f>IF($D727="","",O727*X727/100)</f>
        <v/>
      </c>
      <c r="Q727" s="7" t="n"/>
      <c r="W727" s="7" t="n"/>
      <c r="X727" s="7" t="n"/>
      <c r="AA727">
        <f>IF($D727="","",IF($AP727=1,0,IF($AO727=1,Settings!$C$6,Settings!$C$7))*100)</f>
        <v/>
      </c>
      <c r="AB727" s="7">
        <f>IF($D727="","",X727*AA727/100)</f>
        <v/>
      </c>
      <c r="AC727" s="7">
        <f>IF($D727="","",X727-AB727)</f>
        <v/>
      </c>
      <c r="AD727" s="7">
        <f>IF($D727="","",AC727-P727)</f>
        <v/>
      </c>
      <c r="AH727" s="7" t="n"/>
      <c r="AK727" s="11" t="n"/>
      <c r="AM727">
        <f>IF($D727="","",IF(COUNTIF($D$2:$D727,$D727)=1,1,0))</f>
        <v/>
      </c>
      <c r="AN727">
        <f>IF($AM727=1,SUMPRODUCT(--($AQ$2:$AQ$1001&lt;$AQ727))+1,"")</f>
        <v/>
      </c>
      <c r="AO727">
        <f>IF($D727="","",IF(OR($T727=TRUE(),$T727="TRUE"),1,0))</f>
        <v/>
      </c>
      <c r="AP727">
        <f>IF($D727="","",IF($Z727="Yes",1,0))</f>
        <v/>
      </c>
      <c r="AQ727">
        <f>IF($AM727=1,IFERROR(IF(VALUE($D727)&lt;100000000,VALUE($D727),1000000000),IFERROR(IF(VALUE(MID($D727,2,20))&lt;100000000,VALUE(MID($D727,2,20)),1000000000),1000000000))+ROW()/100000,"")</f>
        <v/>
      </c>
    </row>
    <row r="728">
      <c r="F728" s="11" t="n"/>
      <c r="P728" s="7">
        <f>IF($D728="","",O728*X728/100)</f>
        <v/>
      </c>
      <c r="Q728" s="7" t="n"/>
      <c r="W728" s="7" t="n"/>
      <c r="X728" s="7" t="n"/>
      <c r="AA728">
        <f>IF($D728="","",IF($AP728=1,0,IF($AO728=1,Settings!$C$6,Settings!$C$7))*100)</f>
        <v/>
      </c>
      <c r="AB728" s="7">
        <f>IF($D728="","",X728*AA728/100)</f>
        <v/>
      </c>
      <c r="AC728" s="7">
        <f>IF($D728="","",X728-AB728)</f>
        <v/>
      </c>
      <c r="AD728" s="7">
        <f>IF($D728="","",AC728-P728)</f>
        <v/>
      </c>
      <c r="AH728" s="7" t="n"/>
      <c r="AK728" s="11" t="n"/>
      <c r="AM728">
        <f>IF($D728="","",IF(COUNTIF($D$2:$D728,$D728)=1,1,0))</f>
        <v/>
      </c>
      <c r="AN728">
        <f>IF($AM728=1,SUMPRODUCT(--($AQ$2:$AQ$1001&lt;$AQ728))+1,"")</f>
        <v/>
      </c>
      <c r="AO728">
        <f>IF($D728="","",IF(OR($T728=TRUE(),$T728="TRUE"),1,0))</f>
        <v/>
      </c>
      <c r="AP728">
        <f>IF($D728="","",IF($Z728="Yes",1,0))</f>
        <v/>
      </c>
      <c r="AQ728">
        <f>IF($AM728=1,IFERROR(IF(VALUE($D728)&lt;100000000,VALUE($D728),1000000000),IFERROR(IF(VALUE(MID($D728,2,20))&lt;100000000,VALUE(MID($D728,2,20)),1000000000),1000000000))+ROW()/100000,"")</f>
        <v/>
      </c>
    </row>
    <row r="729">
      <c r="F729" s="11" t="n"/>
      <c r="P729" s="7">
        <f>IF($D729="","",O729*X729/100)</f>
        <v/>
      </c>
      <c r="Q729" s="7" t="n"/>
      <c r="W729" s="7" t="n"/>
      <c r="X729" s="7" t="n"/>
      <c r="AA729">
        <f>IF($D729="","",IF($AP729=1,0,IF($AO729=1,Settings!$C$6,Settings!$C$7))*100)</f>
        <v/>
      </c>
      <c r="AB729" s="7">
        <f>IF($D729="","",X729*AA729/100)</f>
        <v/>
      </c>
      <c r="AC729" s="7">
        <f>IF($D729="","",X729-AB729)</f>
        <v/>
      </c>
      <c r="AD729" s="7">
        <f>IF($D729="","",AC729-P729)</f>
        <v/>
      </c>
      <c r="AH729" s="7" t="n"/>
      <c r="AK729" s="11" t="n"/>
      <c r="AM729">
        <f>IF($D729="","",IF(COUNTIF($D$2:$D729,$D729)=1,1,0))</f>
        <v/>
      </c>
      <c r="AN729">
        <f>IF($AM729=1,SUMPRODUCT(--($AQ$2:$AQ$1001&lt;$AQ729))+1,"")</f>
        <v/>
      </c>
      <c r="AO729">
        <f>IF($D729="","",IF(OR($T729=TRUE(),$T729="TRUE"),1,0))</f>
        <v/>
      </c>
      <c r="AP729">
        <f>IF($D729="","",IF($Z729="Yes",1,0))</f>
        <v/>
      </c>
      <c r="AQ729">
        <f>IF($AM729=1,IFERROR(IF(VALUE($D729)&lt;100000000,VALUE($D729),1000000000),IFERROR(IF(VALUE(MID($D729,2,20))&lt;100000000,VALUE(MID($D729,2,20)),1000000000),1000000000))+ROW()/100000,"")</f>
        <v/>
      </c>
    </row>
    <row r="730">
      <c r="F730" s="11" t="n"/>
      <c r="P730" s="7">
        <f>IF($D730="","",O730*X730/100)</f>
        <v/>
      </c>
      <c r="Q730" s="7" t="n"/>
      <c r="W730" s="7" t="n"/>
      <c r="X730" s="7" t="n"/>
      <c r="AA730">
        <f>IF($D730="","",IF($AP730=1,0,IF($AO730=1,Settings!$C$6,Settings!$C$7))*100)</f>
        <v/>
      </c>
      <c r="AB730" s="7">
        <f>IF($D730="","",X730*AA730/100)</f>
        <v/>
      </c>
      <c r="AC730" s="7">
        <f>IF($D730="","",X730-AB730)</f>
        <v/>
      </c>
      <c r="AD730" s="7">
        <f>IF($D730="","",AC730-P730)</f>
        <v/>
      </c>
      <c r="AH730" s="7" t="n"/>
      <c r="AK730" s="11" t="n"/>
      <c r="AM730">
        <f>IF($D730="","",IF(COUNTIF($D$2:$D730,$D730)=1,1,0))</f>
        <v/>
      </c>
      <c r="AN730">
        <f>IF($AM730=1,SUMPRODUCT(--($AQ$2:$AQ$1001&lt;$AQ730))+1,"")</f>
        <v/>
      </c>
      <c r="AO730">
        <f>IF($D730="","",IF(OR($T730=TRUE(),$T730="TRUE"),1,0))</f>
        <v/>
      </c>
      <c r="AP730">
        <f>IF($D730="","",IF($Z730="Yes",1,0))</f>
        <v/>
      </c>
      <c r="AQ730">
        <f>IF($AM730=1,IFERROR(IF(VALUE($D730)&lt;100000000,VALUE($D730),1000000000),IFERROR(IF(VALUE(MID($D730,2,20))&lt;100000000,VALUE(MID($D730,2,20)),1000000000),1000000000))+ROW()/100000,"")</f>
        <v/>
      </c>
    </row>
    <row r="731">
      <c r="F731" s="11" t="n"/>
      <c r="P731" s="7">
        <f>IF($D731="","",O731*X731/100)</f>
        <v/>
      </c>
      <c r="Q731" s="7" t="n"/>
      <c r="W731" s="7" t="n"/>
      <c r="X731" s="7" t="n"/>
      <c r="AA731">
        <f>IF($D731="","",IF($AP731=1,0,IF($AO731=1,Settings!$C$6,Settings!$C$7))*100)</f>
        <v/>
      </c>
      <c r="AB731" s="7">
        <f>IF($D731="","",X731*AA731/100)</f>
        <v/>
      </c>
      <c r="AC731" s="7">
        <f>IF($D731="","",X731-AB731)</f>
        <v/>
      </c>
      <c r="AD731" s="7">
        <f>IF($D731="","",AC731-P731)</f>
        <v/>
      </c>
      <c r="AH731" s="7" t="n"/>
      <c r="AK731" s="11" t="n"/>
      <c r="AM731">
        <f>IF($D731="","",IF(COUNTIF($D$2:$D731,$D731)=1,1,0))</f>
        <v/>
      </c>
      <c r="AN731">
        <f>IF($AM731=1,SUMPRODUCT(--($AQ$2:$AQ$1001&lt;$AQ731))+1,"")</f>
        <v/>
      </c>
      <c r="AO731">
        <f>IF($D731="","",IF(OR($T731=TRUE(),$T731="TRUE"),1,0))</f>
        <v/>
      </c>
      <c r="AP731">
        <f>IF($D731="","",IF($Z731="Yes",1,0))</f>
        <v/>
      </c>
      <c r="AQ731">
        <f>IF($AM731=1,IFERROR(IF(VALUE($D731)&lt;100000000,VALUE($D731),1000000000),IFERROR(IF(VALUE(MID($D731,2,20))&lt;100000000,VALUE(MID($D731,2,20)),1000000000),1000000000))+ROW()/100000,"")</f>
        <v/>
      </c>
    </row>
    <row r="732">
      <c r="F732" s="11" t="n"/>
      <c r="P732" s="7">
        <f>IF($D732="","",O732*X732/100)</f>
        <v/>
      </c>
      <c r="Q732" s="7" t="n"/>
      <c r="W732" s="7" t="n"/>
      <c r="X732" s="7" t="n"/>
      <c r="AA732">
        <f>IF($D732="","",IF($AP732=1,0,IF($AO732=1,Settings!$C$6,Settings!$C$7))*100)</f>
        <v/>
      </c>
      <c r="AB732" s="7">
        <f>IF($D732="","",X732*AA732/100)</f>
        <v/>
      </c>
      <c r="AC732" s="7">
        <f>IF($D732="","",X732-AB732)</f>
        <v/>
      </c>
      <c r="AD732" s="7">
        <f>IF($D732="","",AC732-P732)</f>
        <v/>
      </c>
      <c r="AH732" s="7" t="n"/>
      <c r="AK732" s="11" t="n"/>
      <c r="AM732">
        <f>IF($D732="","",IF(COUNTIF($D$2:$D732,$D732)=1,1,0))</f>
        <v/>
      </c>
      <c r="AN732">
        <f>IF($AM732=1,SUMPRODUCT(--($AQ$2:$AQ$1001&lt;$AQ732))+1,"")</f>
        <v/>
      </c>
      <c r="AO732">
        <f>IF($D732="","",IF(OR($T732=TRUE(),$T732="TRUE"),1,0))</f>
        <v/>
      </c>
      <c r="AP732">
        <f>IF($D732="","",IF($Z732="Yes",1,0))</f>
        <v/>
      </c>
      <c r="AQ732">
        <f>IF($AM732=1,IFERROR(IF(VALUE($D732)&lt;100000000,VALUE($D732),1000000000),IFERROR(IF(VALUE(MID($D732,2,20))&lt;100000000,VALUE(MID($D732,2,20)),1000000000),1000000000))+ROW()/100000,"")</f>
        <v/>
      </c>
    </row>
    <row r="733">
      <c r="F733" s="11" t="n"/>
      <c r="P733" s="7">
        <f>IF($D733="","",O733*X733/100)</f>
        <v/>
      </c>
      <c r="Q733" s="7" t="n"/>
      <c r="W733" s="7" t="n"/>
      <c r="X733" s="7" t="n"/>
      <c r="AA733">
        <f>IF($D733="","",IF($AP733=1,0,IF($AO733=1,Settings!$C$6,Settings!$C$7))*100)</f>
        <v/>
      </c>
      <c r="AB733" s="7">
        <f>IF($D733="","",X733*AA733/100)</f>
        <v/>
      </c>
      <c r="AC733" s="7">
        <f>IF($D733="","",X733-AB733)</f>
        <v/>
      </c>
      <c r="AD733" s="7">
        <f>IF($D733="","",AC733-P733)</f>
        <v/>
      </c>
      <c r="AH733" s="7" t="n"/>
      <c r="AK733" s="11" t="n"/>
      <c r="AM733">
        <f>IF($D733="","",IF(COUNTIF($D$2:$D733,$D733)=1,1,0))</f>
        <v/>
      </c>
      <c r="AN733">
        <f>IF($AM733=1,SUMPRODUCT(--($AQ$2:$AQ$1001&lt;$AQ733))+1,"")</f>
        <v/>
      </c>
      <c r="AO733">
        <f>IF($D733="","",IF(OR($T733=TRUE(),$T733="TRUE"),1,0))</f>
        <v/>
      </c>
      <c r="AP733">
        <f>IF($D733="","",IF($Z733="Yes",1,0))</f>
        <v/>
      </c>
      <c r="AQ733">
        <f>IF($AM733=1,IFERROR(IF(VALUE($D733)&lt;100000000,VALUE($D733),1000000000),IFERROR(IF(VALUE(MID($D733,2,20))&lt;100000000,VALUE(MID($D733,2,20)),1000000000),1000000000))+ROW()/100000,"")</f>
        <v/>
      </c>
    </row>
    <row r="734">
      <c r="F734" s="11" t="n"/>
      <c r="P734" s="7">
        <f>IF($D734="","",O734*X734/100)</f>
        <v/>
      </c>
      <c r="Q734" s="7" t="n"/>
      <c r="W734" s="7" t="n"/>
      <c r="X734" s="7" t="n"/>
      <c r="AA734">
        <f>IF($D734="","",IF($AP734=1,0,IF($AO734=1,Settings!$C$6,Settings!$C$7))*100)</f>
        <v/>
      </c>
      <c r="AB734" s="7">
        <f>IF($D734="","",X734*AA734/100)</f>
        <v/>
      </c>
      <c r="AC734" s="7">
        <f>IF($D734="","",X734-AB734)</f>
        <v/>
      </c>
      <c r="AD734" s="7">
        <f>IF($D734="","",AC734-P734)</f>
        <v/>
      </c>
      <c r="AH734" s="7" t="n"/>
      <c r="AK734" s="11" t="n"/>
      <c r="AM734">
        <f>IF($D734="","",IF(COUNTIF($D$2:$D734,$D734)=1,1,0))</f>
        <v/>
      </c>
      <c r="AN734">
        <f>IF($AM734=1,SUMPRODUCT(--($AQ$2:$AQ$1001&lt;$AQ734))+1,"")</f>
        <v/>
      </c>
      <c r="AO734">
        <f>IF($D734="","",IF(OR($T734=TRUE(),$T734="TRUE"),1,0))</f>
        <v/>
      </c>
      <c r="AP734">
        <f>IF($D734="","",IF($Z734="Yes",1,0))</f>
        <v/>
      </c>
      <c r="AQ734">
        <f>IF($AM734=1,IFERROR(IF(VALUE($D734)&lt;100000000,VALUE($D734),1000000000),IFERROR(IF(VALUE(MID($D734,2,20))&lt;100000000,VALUE(MID($D734,2,20)),1000000000),1000000000))+ROW()/100000,"")</f>
        <v/>
      </c>
    </row>
    <row r="735">
      <c r="F735" s="11" t="n"/>
      <c r="P735" s="7">
        <f>IF($D735="","",O735*X735/100)</f>
        <v/>
      </c>
      <c r="Q735" s="7" t="n"/>
      <c r="W735" s="7" t="n"/>
      <c r="X735" s="7" t="n"/>
      <c r="AA735">
        <f>IF($D735="","",IF($AP735=1,0,IF($AO735=1,Settings!$C$6,Settings!$C$7))*100)</f>
        <v/>
      </c>
      <c r="AB735" s="7">
        <f>IF($D735="","",X735*AA735/100)</f>
        <v/>
      </c>
      <c r="AC735" s="7">
        <f>IF($D735="","",X735-AB735)</f>
        <v/>
      </c>
      <c r="AD735" s="7">
        <f>IF($D735="","",AC735-P735)</f>
        <v/>
      </c>
      <c r="AH735" s="7" t="n"/>
      <c r="AK735" s="11" t="n"/>
      <c r="AM735">
        <f>IF($D735="","",IF(COUNTIF($D$2:$D735,$D735)=1,1,0))</f>
        <v/>
      </c>
      <c r="AN735">
        <f>IF($AM735=1,SUMPRODUCT(--($AQ$2:$AQ$1001&lt;$AQ735))+1,"")</f>
        <v/>
      </c>
      <c r="AO735">
        <f>IF($D735="","",IF(OR($T735=TRUE(),$T735="TRUE"),1,0))</f>
        <v/>
      </c>
      <c r="AP735">
        <f>IF($D735="","",IF($Z735="Yes",1,0))</f>
        <v/>
      </c>
      <c r="AQ735">
        <f>IF($AM735=1,IFERROR(IF(VALUE($D735)&lt;100000000,VALUE($D735),1000000000),IFERROR(IF(VALUE(MID($D735,2,20))&lt;100000000,VALUE(MID($D735,2,20)),1000000000),1000000000))+ROW()/100000,"")</f>
        <v/>
      </c>
    </row>
    <row r="736">
      <c r="F736" s="11" t="n"/>
      <c r="P736" s="7">
        <f>IF($D736="","",O736*X736/100)</f>
        <v/>
      </c>
      <c r="Q736" s="7" t="n"/>
      <c r="W736" s="7" t="n"/>
      <c r="X736" s="7" t="n"/>
      <c r="AA736">
        <f>IF($D736="","",IF($AP736=1,0,IF($AO736=1,Settings!$C$6,Settings!$C$7))*100)</f>
        <v/>
      </c>
      <c r="AB736" s="7">
        <f>IF($D736="","",X736*AA736/100)</f>
        <v/>
      </c>
      <c r="AC736" s="7">
        <f>IF($D736="","",X736-AB736)</f>
        <v/>
      </c>
      <c r="AD736" s="7">
        <f>IF($D736="","",AC736-P736)</f>
        <v/>
      </c>
      <c r="AH736" s="7" t="n"/>
      <c r="AK736" s="11" t="n"/>
      <c r="AM736">
        <f>IF($D736="","",IF(COUNTIF($D$2:$D736,$D736)=1,1,0))</f>
        <v/>
      </c>
      <c r="AN736">
        <f>IF($AM736=1,SUMPRODUCT(--($AQ$2:$AQ$1001&lt;$AQ736))+1,"")</f>
        <v/>
      </c>
      <c r="AO736">
        <f>IF($D736="","",IF(OR($T736=TRUE(),$T736="TRUE"),1,0))</f>
        <v/>
      </c>
      <c r="AP736">
        <f>IF($D736="","",IF($Z736="Yes",1,0))</f>
        <v/>
      </c>
      <c r="AQ736">
        <f>IF($AM736=1,IFERROR(IF(VALUE($D736)&lt;100000000,VALUE($D736),1000000000),IFERROR(IF(VALUE(MID($D736,2,20))&lt;100000000,VALUE(MID($D736,2,20)),1000000000),1000000000))+ROW()/100000,"")</f>
        <v/>
      </c>
    </row>
    <row r="737">
      <c r="F737" s="11" t="n"/>
      <c r="P737" s="7">
        <f>IF($D737="","",O737*X737/100)</f>
        <v/>
      </c>
      <c r="Q737" s="7" t="n"/>
      <c r="W737" s="7" t="n"/>
      <c r="X737" s="7" t="n"/>
      <c r="AA737">
        <f>IF($D737="","",IF($AP737=1,0,IF($AO737=1,Settings!$C$6,Settings!$C$7))*100)</f>
        <v/>
      </c>
      <c r="AB737" s="7">
        <f>IF($D737="","",X737*AA737/100)</f>
        <v/>
      </c>
      <c r="AC737" s="7">
        <f>IF($D737="","",X737-AB737)</f>
        <v/>
      </c>
      <c r="AD737" s="7">
        <f>IF($D737="","",AC737-P737)</f>
        <v/>
      </c>
      <c r="AH737" s="7" t="n"/>
      <c r="AK737" s="11" t="n"/>
      <c r="AM737">
        <f>IF($D737="","",IF(COUNTIF($D$2:$D737,$D737)=1,1,0))</f>
        <v/>
      </c>
      <c r="AN737">
        <f>IF($AM737=1,SUMPRODUCT(--($AQ$2:$AQ$1001&lt;$AQ737))+1,"")</f>
        <v/>
      </c>
      <c r="AO737">
        <f>IF($D737="","",IF(OR($T737=TRUE(),$T737="TRUE"),1,0))</f>
        <v/>
      </c>
      <c r="AP737">
        <f>IF($D737="","",IF($Z737="Yes",1,0))</f>
        <v/>
      </c>
      <c r="AQ737">
        <f>IF($AM737=1,IFERROR(IF(VALUE($D737)&lt;100000000,VALUE($D737),1000000000),IFERROR(IF(VALUE(MID($D737,2,20))&lt;100000000,VALUE(MID($D737,2,20)),1000000000),1000000000))+ROW()/100000,"")</f>
        <v/>
      </c>
    </row>
    <row r="738">
      <c r="F738" s="11" t="n"/>
      <c r="P738" s="7">
        <f>IF($D738="","",O738*X738/100)</f>
        <v/>
      </c>
      <c r="Q738" s="7" t="n"/>
      <c r="W738" s="7" t="n"/>
      <c r="X738" s="7" t="n"/>
      <c r="AA738">
        <f>IF($D738="","",IF($AP738=1,0,IF($AO738=1,Settings!$C$6,Settings!$C$7))*100)</f>
        <v/>
      </c>
      <c r="AB738" s="7">
        <f>IF($D738="","",X738*AA738/100)</f>
        <v/>
      </c>
      <c r="AC738" s="7">
        <f>IF($D738="","",X738-AB738)</f>
        <v/>
      </c>
      <c r="AD738" s="7">
        <f>IF($D738="","",AC738-P738)</f>
        <v/>
      </c>
      <c r="AH738" s="7" t="n"/>
      <c r="AK738" s="11" t="n"/>
      <c r="AM738">
        <f>IF($D738="","",IF(COUNTIF($D$2:$D738,$D738)=1,1,0))</f>
        <v/>
      </c>
      <c r="AN738">
        <f>IF($AM738=1,SUMPRODUCT(--($AQ$2:$AQ$1001&lt;$AQ738))+1,"")</f>
        <v/>
      </c>
      <c r="AO738">
        <f>IF($D738="","",IF(OR($T738=TRUE(),$T738="TRUE"),1,0))</f>
        <v/>
      </c>
      <c r="AP738">
        <f>IF($D738="","",IF($Z738="Yes",1,0))</f>
        <v/>
      </c>
      <c r="AQ738">
        <f>IF($AM738=1,IFERROR(IF(VALUE($D738)&lt;100000000,VALUE($D738),1000000000),IFERROR(IF(VALUE(MID($D738,2,20))&lt;100000000,VALUE(MID($D738,2,20)),1000000000),1000000000))+ROW()/100000,"")</f>
        <v/>
      </c>
    </row>
    <row r="739">
      <c r="F739" s="11" t="n"/>
      <c r="P739" s="7">
        <f>IF($D739="","",O739*X739/100)</f>
        <v/>
      </c>
      <c r="Q739" s="7" t="n"/>
      <c r="W739" s="7" t="n"/>
      <c r="X739" s="7" t="n"/>
      <c r="AA739">
        <f>IF($D739="","",IF($AP739=1,0,IF($AO739=1,Settings!$C$6,Settings!$C$7))*100)</f>
        <v/>
      </c>
      <c r="AB739" s="7">
        <f>IF($D739="","",X739*AA739/100)</f>
        <v/>
      </c>
      <c r="AC739" s="7">
        <f>IF($D739="","",X739-AB739)</f>
        <v/>
      </c>
      <c r="AD739" s="7">
        <f>IF($D739="","",AC739-P739)</f>
        <v/>
      </c>
      <c r="AH739" s="7" t="n"/>
      <c r="AK739" s="11" t="n"/>
      <c r="AM739">
        <f>IF($D739="","",IF(COUNTIF($D$2:$D739,$D739)=1,1,0))</f>
        <v/>
      </c>
      <c r="AN739">
        <f>IF($AM739=1,SUMPRODUCT(--($AQ$2:$AQ$1001&lt;$AQ739))+1,"")</f>
        <v/>
      </c>
      <c r="AO739">
        <f>IF($D739="","",IF(OR($T739=TRUE(),$T739="TRUE"),1,0))</f>
        <v/>
      </c>
      <c r="AP739">
        <f>IF($D739="","",IF($Z739="Yes",1,0))</f>
        <v/>
      </c>
      <c r="AQ739">
        <f>IF($AM739=1,IFERROR(IF(VALUE($D739)&lt;100000000,VALUE($D739),1000000000),IFERROR(IF(VALUE(MID($D739,2,20))&lt;100000000,VALUE(MID($D739,2,20)),1000000000),1000000000))+ROW()/100000,"")</f>
        <v/>
      </c>
    </row>
    <row r="740">
      <c r="F740" s="11" t="n"/>
      <c r="P740" s="7">
        <f>IF($D740="","",O740*X740/100)</f>
        <v/>
      </c>
      <c r="Q740" s="7" t="n"/>
      <c r="W740" s="7" t="n"/>
      <c r="X740" s="7" t="n"/>
      <c r="AA740">
        <f>IF($D740="","",IF($AP740=1,0,IF($AO740=1,Settings!$C$6,Settings!$C$7))*100)</f>
        <v/>
      </c>
      <c r="AB740" s="7">
        <f>IF($D740="","",X740*AA740/100)</f>
        <v/>
      </c>
      <c r="AC740" s="7">
        <f>IF($D740="","",X740-AB740)</f>
        <v/>
      </c>
      <c r="AD740" s="7">
        <f>IF($D740="","",AC740-P740)</f>
        <v/>
      </c>
      <c r="AH740" s="7" t="n"/>
      <c r="AK740" s="11" t="n"/>
      <c r="AM740">
        <f>IF($D740="","",IF(COUNTIF($D$2:$D740,$D740)=1,1,0))</f>
        <v/>
      </c>
      <c r="AN740">
        <f>IF($AM740=1,SUMPRODUCT(--($AQ$2:$AQ$1001&lt;$AQ740))+1,"")</f>
        <v/>
      </c>
      <c r="AO740">
        <f>IF($D740="","",IF(OR($T740=TRUE(),$T740="TRUE"),1,0))</f>
        <v/>
      </c>
      <c r="AP740">
        <f>IF($D740="","",IF($Z740="Yes",1,0))</f>
        <v/>
      </c>
      <c r="AQ740">
        <f>IF($AM740=1,IFERROR(IF(VALUE($D740)&lt;100000000,VALUE($D740),1000000000),IFERROR(IF(VALUE(MID($D740,2,20))&lt;100000000,VALUE(MID($D740,2,20)),1000000000),1000000000))+ROW()/100000,"")</f>
        <v/>
      </c>
    </row>
    <row r="741">
      <c r="F741" s="11" t="n"/>
      <c r="P741" s="7">
        <f>IF($D741="","",O741*X741/100)</f>
        <v/>
      </c>
      <c r="Q741" s="7" t="n"/>
      <c r="W741" s="7" t="n"/>
      <c r="X741" s="7" t="n"/>
      <c r="AA741">
        <f>IF($D741="","",IF($AP741=1,0,IF($AO741=1,Settings!$C$6,Settings!$C$7))*100)</f>
        <v/>
      </c>
      <c r="AB741" s="7">
        <f>IF($D741="","",X741*AA741/100)</f>
        <v/>
      </c>
      <c r="AC741" s="7">
        <f>IF($D741="","",X741-AB741)</f>
        <v/>
      </c>
      <c r="AD741" s="7">
        <f>IF($D741="","",AC741-P741)</f>
        <v/>
      </c>
      <c r="AH741" s="7" t="n"/>
      <c r="AK741" s="11" t="n"/>
      <c r="AM741">
        <f>IF($D741="","",IF(COUNTIF($D$2:$D741,$D741)=1,1,0))</f>
        <v/>
      </c>
      <c r="AN741">
        <f>IF($AM741=1,SUMPRODUCT(--($AQ$2:$AQ$1001&lt;$AQ741))+1,"")</f>
        <v/>
      </c>
      <c r="AO741">
        <f>IF($D741="","",IF(OR($T741=TRUE(),$T741="TRUE"),1,0))</f>
        <v/>
      </c>
      <c r="AP741">
        <f>IF($D741="","",IF($Z741="Yes",1,0))</f>
        <v/>
      </c>
      <c r="AQ741">
        <f>IF($AM741=1,IFERROR(IF(VALUE($D741)&lt;100000000,VALUE($D741),1000000000),IFERROR(IF(VALUE(MID($D741,2,20))&lt;100000000,VALUE(MID($D741,2,20)),1000000000),1000000000))+ROW()/100000,"")</f>
        <v/>
      </c>
    </row>
    <row r="742">
      <c r="F742" s="11" t="n"/>
      <c r="P742" s="7">
        <f>IF($D742="","",O742*X742/100)</f>
        <v/>
      </c>
      <c r="Q742" s="7" t="n"/>
      <c r="W742" s="7" t="n"/>
      <c r="X742" s="7" t="n"/>
      <c r="AA742">
        <f>IF($D742="","",IF($AP742=1,0,IF($AO742=1,Settings!$C$6,Settings!$C$7))*100)</f>
        <v/>
      </c>
      <c r="AB742" s="7">
        <f>IF($D742="","",X742*AA742/100)</f>
        <v/>
      </c>
      <c r="AC742" s="7">
        <f>IF($D742="","",X742-AB742)</f>
        <v/>
      </c>
      <c r="AD742" s="7">
        <f>IF($D742="","",AC742-P742)</f>
        <v/>
      </c>
      <c r="AH742" s="7" t="n"/>
      <c r="AK742" s="11" t="n"/>
      <c r="AM742">
        <f>IF($D742="","",IF(COUNTIF($D$2:$D742,$D742)=1,1,0))</f>
        <v/>
      </c>
      <c r="AN742">
        <f>IF($AM742=1,SUMPRODUCT(--($AQ$2:$AQ$1001&lt;$AQ742))+1,"")</f>
        <v/>
      </c>
      <c r="AO742">
        <f>IF($D742="","",IF(OR($T742=TRUE(),$T742="TRUE"),1,0))</f>
        <v/>
      </c>
      <c r="AP742">
        <f>IF($D742="","",IF($Z742="Yes",1,0))</f>
        <v/>
      </c>
      <c r="AQ742">
        <f>IF($AM742=1,IFERROR(IF(VALUE($D742)&lt;100000000,VALUE($D742),1000000000),IFERROR(IF(VALUE(MID($D742,2,20))&lt;100000000,VALUE(MID($D742,2,20)),1000000000),1000000000))+ROW()/100000,"")</f>
        <v/>
      </c>
    </row>
    <row r="743">
      <c r="F743" s="11" t="n"/>
      <c r="P743" s="7">
        <f>IF($D743="","",O743*X743/100)</f>
        <v/>
      </c>
      <c r="Q743" s="7" t="n"/>
      <c r="W743" s="7" t="n"/>
      <c r="X743" s="7" t="n"/>
      <c r="AA743">
        <f>IF($D743="","",IF($AP743=1,0,IF($AO743=1,Settings!$C$6,Settings!$C$7))*100)</f>
        <v/>
      </c>
      <c r="AB743" s="7">
        <f>IF($D743="","",X743*AA743/100)</f>
        <v/>
      </c>
      <c r="AC743" s="7">
        <f>IF($D743="","",X743-AB743)</f>
        <v/>
      </c>
      <c r="AD743" s="7">
        <f>IF($D743="","",AC743-P743)</f>
        <v/>
      </c>
      <c r="AH743" s="7" t="n"/>
      <c r="AK743" s="11" t="n"/>
      <c r="AM743">
        <f>IF($D743="","",IF(COUNTIF($D$2:$D743,$D743)=1,1,0))</f>
        <v/>
      </c>
      <c r="AN743">
        <f>IF($AM743=1,SUMPRODUCT(--($AQ$2:$AQ$1001&lt;$AQ743))+1,"")</f>
        <v/>
      </c>
      <c r="AO743">
        <f>IF($D743="","",IF(OR($T743=TRUE(),$T743="TRUE"),1,0))</f>
        <v/>
      </c>
      <c r="AP743">
        <f>IF($D743="","",IF($Z743="Yes",1,0))</f>
        <v/>
      </c>
      <c r="AQ743">
        <f>IF($AM743=1,IFERROR(IF(VALUE($D743)&lt;100000000,VALUE($D743),1000000000),IFERROR(IF(VALUE(MID($D743,2,20))&lt;100000000,VALUE(MID($D743,2,20)),1000000000),1000000000))+ROW()/100000,"")</f>
        <v/>
      </c>
    </row>
    <row r="744">
      <c r="F744" s="11" t="n"/>
      <c r="P744" s="7">
        <f>IF($D744="","",O744*X744/100)</f>
        <v/>
      </c>
      <c r="Q744" s="7" t="n"/>
      <c r="W744" s="7" t="n"/>
      <c r="X744" s="7" t="n"/>
      <c r="AA744">
        <f>IF($D744="","",IF($AP744=1,0,IF($AO744=1,Settings!$C$6,Settings!$C$7))*100)</f>
        <v/>
      </c>
      <c r="AB744" s="7">
        <f>IF($D744="","",X744*AA744/100)</f>
        <v/>
      </c>
      <c r="AC744" s="7">
        <f>IF($D744="","",X744-AB744)</f>
        <v/>
      </c>
      <c r="AD744" s="7">
        <f>IF($D744="","",AC744-P744)</f>
        <v/>
      </c>
      <c r="AH744" s="7" t="n"/>
      <c r="AK744" s="11" t="n"/>
      <c r="AM744">
        <f>IF($D744="","",IF(COUNTIF($D$2:$D744,$D744)=1,1,0))</f>
        <v/>
      </c>
      <c r="AN744">
        <f>IF($AM744=1,SUMPRODUCT(--($AQ$2:$AQ$1001&lt;$AQ744))+1,"")</f>
        <v/>
      </c>
      <c r="AO744">
        <f>IF($D744="","",IF(OR($T744=TRUE(),$T744="TRUE"),1,0))</f>
        <v/>
      </c>
      <c r="AP744">
        <f>IF($D744="","",IF($Z744="Yes",1,0))</f>
        <v/>
      </c>
      <c r="AQ744">
        <f>IF($AM744=1,IFERROR(IF(VALUE($D744)&lt;100000000,VALUE($D744),1000000000),IFERROR(IF(VALUE(MID($D744,2,20))&lt;100000000,VALUE(MID($D744,2,20)),1000000000),1000000000))+ROW()/100000,"")</f>
        <v/>
      </c>
    </row>
    <row r="745">
      <c r="F745" s="11" t="n"/>
      <c r="P745" s="7">
        <f>IF($D745="","",O745*X745/100)</f>
        <v/>
      </c>
      <c r="Q745" s="7" t="n"/>
      <c r="W745" s="7" t="n"/>
      <c r="X745" s="7" t="n"/>
      <c r="AA745">
        <f>IF($D745="","",IF($AP745=1,0,IF($AO745=1,Settings!$C$6,Settings!$C$7))*100)</f>
        <v/>
      </c>
      <c r="AB745" s="7">
        <f>IF($D745="","",X745*AA745/100)</f>
        <v/>
      </c>
      <c r="AC745" s="7">
        <f>IF($D745="","",X745-AB745)</f>
        <v/>
      </c>
      <c r="AD745" s="7">
        <f>IF($D745="","",AC745-P745)</f>
        <v/>
      </c>
      <c r="AH745" s="7" t="n"/>
      <c r="AK745" s="11" t="n"/>
      <c r="AM745">
        <f>IF($D745="","",IF(COUNTIF($D$2:$D745,$D745)=1,1,0))</f>
        <v/>
      </c>
      <c r="AN745">
        <f>IF($AM745=1,SUMPRODUCT(--($AQ$2:$AQ$1001&lt;$AQ745))+1,"")</f>
        <v/>
      </c>
      <c r="AO745">
        <f>IF($D745="","",IF(OR($T745=TRUE(),$T745="TRUE"),1,0))</f>
        <v/>
      </c>
      <c r="AP745">
        <f>IF($D745="","",IF($Z745="Yes",1,0))</f>
        <v/>
      </c>
      <c r="AQ745">
        <f>IF($AM745=1,IFERROR(IF(VALUE($D745)&lt;100000000,VALUE($D745),1000000000),IFERROR(IF(VALUE(MID($D745,2,20))&lt;100000000,VALUE(MID($D745,2,20)),1000000000),1000000000))+ROW()/100000,"")</f>
        <v/>
      </c>
    </row>
    <row r="746">
      <c r="F746" s="11" t="n"/>
      <c r="P746" s="7">
        <f>IF($D746="","",O746*X746/100)</f>
        <v/>
      </c>
      <c r="Q746" s="7" t="n"/>
      <c r="W746" s="7" t="n"/>
      <c r="X746" s="7" t="n"/>
      <c r="AA746">
        <f>IF($D746="","",IF($AP746=1,0,IF($AO746=1,Settings!$C$6,Settings!$C$7))*100)</f>
        <v/>
      </c>
      <c r="AB746" s="7">
        <f>IF($D746="","",X746*AA746/100)</f>
        <v/>
      </c>
      <c r="AC746" s="7">
        <f>IF($D746="","",X746-AB746)</f>
        <v/>
      </c>
      <c r="AD746" s="7">
        <f>IF($D746="","",AC746-P746)</f>
        <v/>
      </c>
      <c r="AH746" s="7" t="n"/>
      <c r="AK746" s="11" t="n"/>
      <c r="AM746">
        <f>IF($D746="","",IF(COUNTIF($D$2:$D746,$D746)=1,1,0))</f>
        <v/>
      </c>
      <c r="AN746">
        <f>IF($AM746=1,SUMPRODUCT(--($AQ$2:$AQ$1001&lt;$AQ746))+1,"")</f>
        <v/>
      </c>
      <c r="AO746">
        <f>IF($D746="","",IF(OR($T746=TRUE(),$T746="TRUE"),1,0))</f>
        <v/>
      </c>
      <c r="AP746">
        <f>IF($D746="","",IF($Z746="Yes",1,0))</f>
        <v/>
      </c>
      <c r="AQ746">
        <f>IF($AM746=1,IFERROR(IF(VALUE($D746)&lt;100000000,VALUE($D746),1000000000),IFERROR(IF(VALUE(MID($D746,2,20))&lt;100000000,VALUE(MID($D746,2,20)),1000000000),1000000000))+ROW()/100000,"")</f>
        <v/>
      </c>
    </row>
    <row r="747">
      <c r="F747" s="11" t="n"/>
      <c r="P747" s="7">
        <f>IF($D747="","",O747*X747/100)</f>
        <v/>
      </c>
      <c r="Q747" s="7" t="n"/>
      <c r="W747" s="7" t="n"/>
      <c r="X747" s="7" t="n"/>
      <c r="AA747">
        <f>IF($D747="","",IF($AP747=1,0,IF($AO747=1,Settings!$C$6,Settings!$C$7))*100)</f>
        <v/>
      </c>
      <c r="AB747" s="7">
        <f>IF($D747="","",X747*AA747/100)</f>
        <v/>
      </c>
      <c r="AC747" s="7">
        <f>IF($D747="","",X747-AB747)</f>
        <v/>
      </c>
      <c r="AD747" s="7">
        <f>IF($D747="","",AC747-P747)</f>
        <v/>
      </c>
      <c r="AH747" s="7" t="n"/>
      <c r="AK747" s="11" t="n"/>
      <c r="AM747">
        <f>IF($D747="","",IF(COUNTIF($D$2:$D747,$D747)=1,1,0))</f>
        <v/>
      </c>
      <c r="AN747">
        <f>IF($AM747=1,SUMPRODUCT(--($AQ$2:$AQ$1001&lt;$AQ747))+1,"")</f>
        <v/>
      </c>
      <c r="AO747">
        <f>IF($D747="","",IF(OR($T747=TRUE(),$T747="TRUE"),1,0))</f>
        <v/>
      </c>
      <c r="AP747">
        <f>IF($D747="","",IF($Z747="Yes",1,0))</f>
        <v/>
      </c>
      <c r="AQ747">
        <f>IF($AM747=1,IFERROR(IF(VALUE($D747)&lt;100000000,VALUE($D747),1000000000),IFERROR(IF(VALUE(MID($D747,2,20))&lt;100000000,VALUE(MID($D747,2,20)),1000000000),1000000000))+ROW()/100000,"")</f>
        <v/>
      </c>
    </row>
    <row r="748">
      <c r="F748" s="11" t="n"/>
      <c r="P748" s="7">
        <f>IF($D748="","",O748*X748/100)</f>
        <v/>
      </c>
      <c r="Q748" s="7" t="n"/>
      <c r="W748" s="7" t="n"/>
      <c r="X748" s="7" t="n"/>
      <c r="AA748">
        <f>IF($D748="","",IF($AP748=1,0,IF($AO748=1,Settings!$C$6,Settings!$C$7))*100)</f>
        <v/>
      </c>
      <c r="AB748" s="7">
        <f>IF($D748="","",X748*AA748/100)</f>
        <v/>
      </c>
      <c r="AC748" s="7">
        <f>IF($D748="","",X748-AB748)</f>
        <v/>
      </c>
      <c r="AD748" s="7">
        <f>IF($D748="","",AC748-P748)</f>
        <v/>
      </c>
      <c r="AH748" s="7" t="n"/>
      <c r="AK748" s="11" t="n"/>
      <c r="AM748">
        <f>IF($D748="","",IF(COUNTIF($D$2:$D748,$D748)=1,1,0))</f>
        <v/>
      </c>
      <c r="AN748">
        <f>IF($AM748=1,SUMPRODUCT(--($AQ$2:$AQ$1001&lt;$AQ748))+1,"")</f>
        <v/>
      </c>
      <c r="AO748">
        <f>IF($D748="","",IF(OR($T748=TRUE(),$T748="TRUE"),1,0))</f>
        <v/>
      </c>
      <c r="AP748">
        <f>IF($D748="","",IF($Z748="Yes",1,0))</f>
        <v/>
      </c>
      <c r="AQ748">
        <f>IF($AM748=1,IFERROR(IF(VALUE($D748)&lt;100000000,VALUE($D748),1000000000),IFERROR(IF(VALUE(MID($D748,2,20))&lt;100000000,VALUE(MID($D748,2,20)),1000000000),1000000000))+ROW()/100000,"")</f>
        <v/>
      </c>
    </row>
    <row r="749">
      <c r="F749" s="11" t="n"/>
      <c r="P749" s="7">
        <f>IF($D749="","",O749*X749/100)</f>
        <v/>
      </c>
      <c r="Q749" s="7" t="n"/>
      <c r="W749" s="7" t="n"/>
      <c r="X749" s="7" t="n"/>
      <c r="AA749">
        <f>IF($D749="","",IF($AP749=1,0,IF($AO749=1,Settings!$C$6,Settings!$C$7))*100)</f>
        <v/>
      </c>
      <c r="AB749" s="7">
        <f>IF($D749="","",X749*AA749/100)</f>
        <v/>
      </c>
      <c r="AC749" s="7">
        <f>IF($D749="","",X749-AB749)</f>
        <v/>
      </c>
      <c r="AD749" s="7">
        <f>IF($D749="","",AC749-P749)</f>
        <v/>
      </c>
      <c r="AH749" s="7" t="n"/>
      <c r="AK749" s="11" t="n"/>
      <c r="AM749">
        <f>IF($D749="","",IF(COUNTIF($D$2:$D749,$D749)=1,1,0))</f>
        <v/>
      </c>
      <c r="AN749">
        <f>IF($AM749=1,SUMPRODUCT(--($AQ$2:$AQ$1001&lt;$AQ749))+1,"")</f>
        <v/>
      </c>
      <c r="AO749">
        <f>IF($D749="","",IF(OR($T749=TRUE(),$T749="TRUE"),1,0))</f>
        <v/>
      </c>
      <c r="AP749">
        <f>IF($D749="","",IF($Z749="Yes",1,0))</f>
        <v/>
      </c>
      <c r="AQ749">
        <f>IF($AM749=1,IFERROR(IF(VALUE($D749)&lt;100000000,VALUE($D749),1000000000),IFERROR(IF(VALUE(MID($D749,2,20))&lt;100000000,VALUE(MID($D749,2,20)),1000000000),1000000000))+ROW()/100000,"")</f>
        <v/>
      </c>
    </row>
    <row r="750">
      <c r="F750" s="11" t="n"/>
      <c r="P750" s="7">
        <f>IF($D750="","",O750*X750/100)</f>
        <v/>
      </c>
      <c r="Q750" s="7" t="n"/>
      <c r="W750" s="7" t="n"/>
      <c r="X750" s="7" t="n"/>
      <c r="AA750">
        <f>IF($D750="","",IF($AP750=1,0,IF($AO750=1,Settings!$C$6,Settings!$C$7))*100)</f>
        <v/>
      </c>
      <c r="AB750" s="7">
        <f>IF($D750="","",X750*AA750/100)</f>
        <v/>
      </c>
      <c r="AC750" s="7">
        <f>IF($D750="","",X750-AB750)</f>
        <v/>
      </c>
      <c r="AD750" s="7">
        <f>IF($D750="","",AC750-P750)</f>
        <v/>
      </c>
      <c r="AH750" s="7" t="n"/>
      <c r="AK750" s="11" t="n"/>
      <c r="AM750">
        <f>IF($D750="","",IF(COUNTIF($D$2:$D750,$D750)=1,1,0))</f>
        <v/>
      </c>
      <c r="AN750">
        <f>IF($AM750=1,SUMPRODUCT(--($AQ$2:$AQ$1001&lt;$AQ750))+1,"")</f>
        <v/>
      </c>
      <c r="AO750">
        <f>IF($D750="","",IF(OR($T750=TRUE(),$T750="TRUE"),1,0))</f>
        <v/>
      </c>
      <c r="AP750">
        <f>IF($D750="","",IF($Z750="Yes",1,0))</f>
        <v/>
      </c>
      <c r="AQ750">
        <f>IF($AM750=1,IFERROR(IF(VALUE($D750)&lt;100000000,VALUE($D750),1000000000),IFERROR(IF(VALUE(MID($D750,2,20))&lt;100000000,VALUE(MID($D750,2,20)),1000000000),1000000000))+ROW()/100000,"")</f>
        <v/>
      </c>
    </row>
    <row r="751">
      <c r="F751" s="11" t="n"/>
      <c r="P751" s="7">
        <f>IF($D751="","",O751*X751/100)</f>
        <v/>
      </c>
      <c r="Q751" s="7" t="n"/>
      <c r="W751" s="7" t="n"/>
      <c r="X751" s="7" t="n"/>
      <c r="AA751">
        <f>IF($D751="","",IF($AP751=1,0,IF($AO751=1,Settings!$C$6,Settings!$C$7))*100)</f>
        <v/>
      </c>
      <c r="AB751" s="7">
        <f>IF($D751="","",X751*AA751/100)</f>
        <v/>
      </c>
      <c r="AC751" s="7">
        <f>IF($D751="","",X751-AB751)</f>
        <v/>
      </c>
      <c r="AD751" s="7">
        <f>IF($D751="","",AC751-P751)</f>
        <v/>
      </c>
      <c r="AH751" s="7" t="n"/>
      <c r="AK751" s="11" t="n"/>
      <c r="AM751">
        <f>IF($D751="","",IF(COUNTIF($D$2:$D751,$D751)=1,1,0))</f>
        <v/>
      </c>
      <c r="AN751">
        <f>IF($AM751=1,SUMPRODUCT(--($AQ$2:$AQ$1001&lt;$AQ751))+1,"")</f>
        <v/>
      </c>
      <c r="AO751">
        <f>IF($D751="","",IF(OR($T751=TRUE(),$T751="TRUE"),1,0))</f>
        <v/>
      </c>
      <c r="AP751">
        <f>IF($D751="","",IF($Z751="Yes",1,0))</f>
        <v/>
      </c>
      <c r="AQ751">
        <f>IF($AM751=1,IFERROR(IF(VALUE($D751)&lt;100000000,VALUE($D751),1000000000),IFERROR(IF(VALUE(MID($D751,2,20))&lt;100000000,VALUE(MID($D751,2,20)),1000000000),1000000000))+ROW()/100000,"")</f>
        <v/>
      </c>
    </row>
    <row r="752">
      <c r="F752" s="11" t="n"/>
      <c r="P752" s="7">
        <f>IF($D752="","",O752*X752/100)</f>
        <v/>
      </c>
      <c r="Q752" s="7" t="n"/>
      <c r="W752" s="7" t="n"/>
      <c r="X752" s="7" t="n"/>
      <c r="AA752">
        <f>IF($D752="","",IF($AP752=1,0,IF($AO752=1,Settings!$C$6,Settings!$C$7))*100)</f>
        <v/>
      </c>
      <c r="AB752" s="7">
        <f>IF($D752="","",X752*AA752/100)</f>
        <v/>
      </c>
      <c r="AC752" s="7">
        <f>IF($D752="","",X752-AB752)</f>
        <v/>
      </c>
      <c r="AD752" s="7">
        <f>IF($D752="","",AC752-P752)</f>
        <v/>
      </c>
      <c r="AH752" s="7" t="n"/>
      <c r="AK752" s="11" t="n"/>
      <c r="AM752">
        <f>IF($D752="","",IF(COUNTIF($D$2:$D752,$D752)=1,1,0))</f>
        <v/>
      </c>
      <c r="AN752">
        <f>IF($AM752=1,SUMPRODUCT(--($AQ$2:$AQ$1001&lt;$AQ752))+1,"")</f>
        <v/>
      </c>
      <c r="AO752">
        <f>IF($D752="","",IF(OR($T752=TRUE(),$T752="TRUE"),1,0))</f>
        <v/>
      </c>
      <c r="AP752">
        <f>IF($D752="","",IF($Z752="Yes",1,0))</f>
        <v/>
      </c>
      <c r="AQ752">
        <f>IF($AM752=1,IFERROR(IF(VALUE($D752)&lt;100000000,VALUE($D752),1000000000),IFERROR(IF(VALUE(MID($D752,2,20))&lt;100000000,VALUE(MID($D752,2,20)),1000000000),1000000000))+ROW()/100000,"")</f>
        <v/>
      </c>
    </row>
    <row r="753">
      <c r="F753" s="11" t="n"/>
      <c r="P753" s="7">
        <f>IF($D753="","",O753*X753/100)</f>
        <v/>
      </c>
      <c r="Q753" s="7" t="n"/>
      <c r="W753" s="7" t="n"/>
      <c r="X753" s="7" t="n"/>
      <c r="AA753">
        <f>IF($D753="","",IF($AP753=1,0,IF($AO753=1,Settings!$C$6,Settings!$C$7))*100)</f>
        <v/>
      </c>
      <c r="AB753" s="7">
        <f>IF($D753="","",X753*AA753/100)</f>
        <v/>
      </c>
      <c r="AC753" s="7">
        <f>IF($D753="","",X753-AB753)</f>
        <v/>
      </c>
      <c r="AD753" s="7">
        <f>IF($D753="","",AC753-P753)</f>
        <v/>
      </c>
      <c r="AH753" s="7" t="n"/>
      <c r="AK753" s="11" t="n"/>
      <c r="AM753">
        <f>IF($D753="","",IF(COUNTIF($D$2:$D753,$D753)=1,1,0))</f>
        <v/>
      </c>
      <c r="AN753">
        <f>IF($AM753=1,SUMPRODUCT(--($AQ$2:$AQ$1001&lt;$AQ753))+1,"")</f>
        <v/>
      </c>
      <c r="AO753">
        <f>IF($D753="","",IF(OR($T753=TRUE(),$T753="TRUE"),1,0))</f>
        <v/>
      </c>
      <c r="AP753">
        <f>IF($D753="","",IF($Z753="Yes",1,0))</f>
        <v/>
      </c>
      <c r="AQ753">
        <f>IF($AM753=1,IFERROR(IF(VALUE($D753)&lt;100000000,VALUE($D753),1000000000),IFERROR(IF(VALUE(MID($D753,2,20))&lt;100000000,VALUE(MID($D753,2,20)),1000000000),1000000000))+ROW()/100000,"")</f>
        <v/>
      </c>
    </row>
    <row r="754">
      <c r="F754" s="11" t="n"/>
      <c r="P754" s="7">
        <f>IF($D754="","",O754*X754/100)</f>
        <v/>
      </c>
      <c r="Q754" s="7" t="n"/>
      <c r="W754" s="7" t="n"/>
      <c r="X754" s="7" t="n"/>
      <c r="AA754">
        <f>IF($D754="","",IF($AP754=1,0,IF($AO754=1,Settings!$C$6,Settings!$C$7))*100)</f>
        <v/>
      </c>
      <c r="AB754" s="7">
        <f>IF($D754="","",X754*AA754/100)</f>
        <v/>
      </c>
      <c r="AC754" s="7">
        <f>IF($D754="","",X754-AB754)</f>
        <v/>
      </c>
      <c r="AD754" s="7">
        <f>IF($D754="","",AC754-P754)</f>
        <v/>
      </c>
      <c r="AH754" s="7" t="n"/>
      <c r="AK754" s="11" t="n"/>
      <c r="AM754">
        <f>IF($D754="","",IF(COUNTIF($D$2:$D754,$D754)=1,1,0))</f>
        <v/>
      </c>
      <c r="AN754">
        <f>IF($AM754=1,SUMPRODUCT(--($AQ$2:$AQ$1001&lt;$AQ754))+1,"")</f>
        <v/>
      </c>
      <c r="AO754">
        <f>IF($D754="","",IF(OR($T754=TRUE(),$T754="TRUE"),1,0))</f>
        <v/>
      </c>
      <c r="AP754">
        <f>IF($D754="","",IF($Z754="Yes",1,0))</f>
        <v/>
      </c>
      <c r="AQ754">
        <f>IF($AM754=1,IFERROR(IF(VALUE($D754)&lt;100000000,VALUE($D754),1000000000),IFERROR(IF(VALUE(MID($D754,2,20))&lt;100000000,VALUE(MID($D754,2,20)),1000000000),1000000000))+ROW()/100000,"")</f>
        <v/>
      </c>
    </row>
    <row r="755">
      <c r="F755" s="11" t="n"/>
      <c r="P755" s="7">
        <f>IF($D755="","",O755*X755/100)</f>
        <v/>
      </c>
      <c r="Q755" s="7" t="n"/>
      <c r="W755" s="7" t="n"/>
      <c r="X755" s="7" t="n"/>
      <c r="AA755">
        <f>IF($D755="","",IF($AP755=1,0,IF($AO755=1,Settings!$C$6,Settings!$C$7))*100)</f>
        <v/>
      </c>
      <c r="AB755" s="7">
        <f>IF($D755="","",X755*AA755/100)</f>
        <v/>
      </c>
      <c r="AC755" s="7">
        <f>IF($D755="","",X755-AB755)</f>
        <v/>
      </c>
      <c r="AD755" s="7">
        <f>IF($D755="","",AC755-P755)</f>
        <v/>
      </c>
      <c r="AH755" s="7" t="n"/>
      <c r="AK755" s="11" t="n"/>
      <c r="AM755">
        <f>IF($D755="","",IF(COUNTIF($D$2:$D755,$D755)=1,1,0))</f>
        <v/>
      </c>
      <c r="AN755">
        <f>IF($AM755=1,SUMPRODUCT(--($AQ$2:$AQ$1001&lt;$AQ755))+1,"")</f>
        <v/>
      </c>
      <c r="AO755">
        <f>IF($D755="","",IF(OR($T755=TRUE(),$T755="TRUE"),1,0))</f>
        <v/>
      </c>
      <c r="AP755">
        <f>IF($D755="","",IF($Z755="Yes",1,0))</f>
        <v/>
      </c>
      <c r="AQ755">
        <f>IF($AM755=1,IFERROR(IF(VALUE($D755)&lt;100000000,VALUE($D755),1000000000),IFERROR(IF(VALUE(MID($D755,2,20))&lt;100000000,VALUE(MID($D755,2,20)),1000000000),1000000000))+ROW()/100000,"")</f>
        <v/>
      </c>
    </row>
    <row r="756">
      <c r="F756" s="11" t="n"/>
      <c r="P756" s="7">
        <f>IF($D756="","",O756*X756/100)</f>
        <v/>
      </c>
      <c r="Q756" s="7" t="n"/>
      <c r="W756" s="7" t="n"/>
      <c r="X756" s="7" t="n"/>
      <c r="AA756">
        <f>IF($D756="","",IF($AP756=1,0,IF($AO756=1,Settings!$C$6,Settings!$C$7))*100)</f>
        <v/>
      </c>
      <c r="AB756" s="7">
        <f>IF($D756="","",X756*AA756/100)</f>
        <v/>
      </c>
      <c r="AC756" s="7">
        <f>IF($D756="","",X756-AB756)</f>
        <v/>
      </c>
      <c r="AD756" s="7">
        <f>IF($D756="","",AC756-P756)</f>
        <v/>
      </c>
      <c r="AH756" s="7" t="n"/>
      <c r="AK756" s="11" t="n"/>
      <c r="AM756">
        <f>IF($D756="","",IF(COUNTIF($D$2:$D756,$D756)=1,1,0))</f>
        <v/>
      </c>
      <c r="AN756">
        <f>IF($AM756=1,SUMPRODUCT(--($AQ$2:$AQ$1001&lt;$AQ756))+1,"")</f>
        <v/>
      </c>
      <c r="AO756">
        <f>IF($D756="","",IF(OR($T756=TRUE(),$T756="TRUE"),1,0))</f>
        <v/>
      </c>
      <c r="AP756">
        <f>IF($D756="","",IF($Z756="Yes",1,0))</f>
        <v/>
      </c>
      <c r="AQ756">
        <f>IF($AM756=1,IFERROR(IF(VALUE($D756)&lt;100000000,VALUE($D756),1000000000),IFERROR(IF(VALUE(MID($D756,2,20))&lt;100000000,VALUE(MID($D756,2,20)),1000000000),1000000000))+ROW()/100000,"")</f>
        <v/>
      </c>
    </row>
    <row r="757">
      <c r="F757" s="11" t="n"/>
      <c r="P757" s="7">
        <f>IF($D757="","",O757*X757/100)</f>
        <v/>
      </c>
      <c r="Q757" s="7" t="n"/>
      <c r="W757" s="7" t="n"/>
      <c r="X757" s="7" t="n"/>
      <c r="AA757">
        <f>IF($D757="","",IF($AP757=1,0,IF($AO757=1,Settings!$C$6,Settings!$C$7))*100)</f>
        <v/>
      </c>
      <c r="AB757" s="7">
        <f>IF($D757="","",X757*AA757/100)</f>
        <v/>
      </c>
      <c r="AC757" s="7">
        <f>IF($D757="","",X757-AB757)</f>
        <v/>
      </c>
      <c r="AD757" s="7">
        <f>IF($D757="","",AC757-P757)</f>
        <v/>
      </c>
      <c r="AH757" s="7" t="n"/>
      <c r="AK757" s="11" t="n"/>
      <c r="AM757">
        <f>IF($D757="","",IF(COUNTIF($D$2:$D757,$D757)=1,1,0))</f>
        <v/>
      </c>
      <c r="AN757">
        <f>IF($AM757=1,SUMPRODUCT(--($AQ$2:$AQ$1001&lt;$AQ757))+1,"")</f>
        <v/>
      </c>
      <c r="AO757">
        <f>IF($D757="","",IF(OR($T757=TRUE(),$T757="TRUE"),1,0))</f>
        <v/>
      </c>
      <c r="AP757">
        <f>IF($D757="","",IF($Z757="Yes",1,0))</f>
        <v/>
      </c>
      <c r="AQ757">
        <f>IF($AM757=1,IFERROR(IF(VALUE($D757)&lt;100000000,VALUE($D757),1000000000),IFERROR(IF(VALUE(MID($D757,2,20))&lt;100000000,VALUE(MID($D757,2,20)),1000000000),1000000000))+ROW()/100000,"")</f>
        <v/>
      </c>
    </row>
    <row r="758">
      <c r="F758" s="11" t="n"/>
      <c r="P758" s="7">
        <f>IF($D758="","",O758*X758/100)</f>
        <v/>
      </c>
      <c r="Q758" s="7" t="n"/>
      <c r="W758" s="7" t="n"/>
      <c r="X758" s="7" t="n"/>
      <c r="AA758">
        <f>IF($D758="","",IF($AP758=1,0,IF($AO758=1,Settings!$C$6,Settings!$C$7))*100)</f>
        <v/>
      </c>
      <c r="AB758" s="7">
        <f>IF($D758="","",X758*AA758/100)</f>
        <v/>
      </c>
      <c r="AC758" s="7">
        <f>IF($D758="","",X758-AB758)</f>
        <v/>
      </c>
      <c r="AD758" s="7">
        <f>IF($D758="","",AC758-P758)</f>
        <v/>
      </c>
      <c r="AH758" s="7" t="n"/>
      <c r="AK758" s="11" t="n"/>
      <c r="AM758">
        <f>IF($D758="","",IF(COUNTIF($D$2:$D758,$D758)=1,1,0))</f>
        <v/>
      </c>
      <c r="AN758">
        <f>IF($AM758=1,SUMPRODUCT(--($AQ$2:$AQ$1001&lt;$AQ758))+1,"")</f>
        <v/>
      </c>
      <c r="AO758">
        <f>IF($D758="","",IF(OR($T758=TRUE(),$T758="TRUE"),1,0))</f>
        <v/>
      </c>
      <c r="AP758">
        <f>IF($D758="","",IF($Z758="Yes",1,0))</f>
        <v/>
      </c>
      <c r="AQ758">
        <f>IF($AM758=1,IFERROR(IF(VALUE($D758)&lt;100000000,VALUE($D758),1000000000),IFERROR(IF(VALUE(MID($D758,2,20))&lt;100000000,VALUE(MID($D758,2,20)),1000000000),1000000000))+ROW()/100000,"")</f>
        <v/>
      </c>
    </row>
    <row r="759">
      <c r="F759" s="11" t="n"/>
      <c r="P759" s="7">
        <f>IF($D759="","",O759*X759/100)</f>
        <v/>
      </c>
      <c r="Q759" s="7" t="n"/>
      <c r="W759" s="7" t="n"/>
      <c r="X759" s="7" t="n"/>
      <c r="AA759">
        <f>IF($D759="","",IF($AP759=1,0,IF($AO759=1,Settings!$C$6,Settings!$C$7))*100)</f>
        <v/>
      </c>
      <c r="AB759" s="7">
        <f>IF($D759="","",X759*AA759/100)</f>
        <v/>
      </c>
      <c r="AC759" s="7">
        <f>IF($D759="","",X759-AB759)</f>
        <v/>
      </c>
      <c r="AD759" s="7">
        <f>IF($D759="","",AC759-P759)</f>
        <v/>
      </c>
      <c r="AH759" s="7" t="n"/>
      <c r="AK759" s="11" t="n"/>
      <c r="AM759">
        <f>IF($D759="","",IF(COUNTIF($D$2:$D759,$D759)=1,1,0))</f>
        <v/>
      </c>
      <c r="AN759">
        <f>IF($AM759=1,SUMPRODUCT(--($AQ$2:$AQ$1001&lt;$AQ759))+1,"")</f>
        <v/>
      </c>
      <c r="AO759">
        <f>IF($D759="","",IF(OR($T759=TRUE(),$T759="TRUE"),1,0))</f>
        <v/>
      </c>
      <c r="AP759">
        <f>IF($D759="","",IF($Z759="Yes",1,0))</f>
        <v/>
      </c>
      <c r="AQ759">
        <f>IF($AM759=1,IFERROR(IF(VALUE($D759)&lt;100000000,VALUE($D759),1000000000),IFERROR(IF(VALUE(MID($D759,2,20))&lt;100000000,VALUE(MID($D759,2,20)),1000000000),1000000000))+ROW()/100000,"")</f>
        <v/>
      </c>
    </row>
    <row r="760">
      <c r="F760" s="11" t="n"/>
      <c r="P760" s="7">
        <f>IF($D760="","",O760*X760/100)</f>
        <v/>
      </c>
      <c r="Q760" s="7" t="n"/>
      <c r="W760" s="7" t="n"/>
      <c r="X760" s="7" t="n"/>
      <c r="AA760">
        <f>IF($D760="","",IF($AP760=1,0,IF($AO760=1,Settings!$C$6,Settings!$C$7))*100)</f>
        <v/>
      </c>
      <c r="AB760" s="7">
        <f>IF($D760="","",X760*AA760/100)</f>
        <v/>
      </c>
      <c r="AC760" s="7">
        <f>IF($D760="","",X760-AB760)</f>
        <v/>
      </c>
      <c r="AD760" s="7">
        <f>IF($D760="","",AC760-P760)</f>
        <v/>
      </c>
      <c r="AH760" s="7" t="n"/>
      <c r="AK760" s="11" t="n"/>
      <c r="AM760">
        <f>IF($D760="","",IF(COUNTIF($D$2:$D760,$D760)=1,1,0))</f>
        <v/>
      </c>
      <c r="AN760">
        <f>IF($AM760=1,SUMPRODUCT(--($AQ$2:$AQ$1001&lt;$AQ760))+1,"")</f>
        <v/>
      </c>
      <c r="AO760">
        <f>IF($D760="","",IF(OR($T760=TRUE(),$T760="TRUE"),1,0))</f>
        <v/>
      </c>
      <c r="AP760">
        <f>IF($D760="","",IF($Z760="Yes",1,0))</f>
        <v/>
      </c>
      <c r="AQ760">
        <f>IF($AM760=1,IFERROR(IF(VALUE($D760)&lt;100000000,VALUE($D760),1000000000),IFERROR(IF(VALUE(MID($D760,2,20))&lt;100000000,VALUE(MID($D760,2,20)),1000000000),1000000000))+ROW()/100000,"")</f>
        <v/>
      </c>
    </row>
    <row r="761">
      <c r="F761" s="11" t="n"/>
      <c r="P761" s="7">
        <f>IF($D761="","",O761*X761/100)</f>
        <v/>
      </c>
      <c r="Q761" s="7" t="n"/>
      <c r="W761" s="7" t="n"/>
      <c r="X761" s="7" t="n"/>
      <c r="AA761">
        <f>IF($D761="","",IF($AP761=1,0,IF($AO761=1,Settings!$C$6,Settings!$C$7))*100)</f>
        <v/>
      </c>
      <c r="AB761" s="7">
        <f>IF($D761="","",X761*AA761/100)</f>
        <v/>
      </c>
      <c r="AC761" s="7">
        <f>IF($D761="","",X761-AB761)</f>
        <v/>
      </c>
      <c r="AD761" s="7">
        <f>IF($D761="","",AC761-P761)</f>
        <v/>
      </c>
      <c r="AH761" s="7" t="n"/>
      <c r="AK761" s="11" t="n"/>
      <c r="AM761">
        <f>IF($D761="","",IF(COUNTIF($D$2:$D761,$D761)=1,1,0))</f>
        <v/>
      </c>
      <c r="AN761">
        <f>IF($AM761=1,SUMPRODUCT(--($AQ$2:$AQ$1001&lt;$AQ761))+1,"")</f>
        <v/>
      </c>
      <c r="AO761">
        <f>IF($D761="","",IF(OR($T761=TRUE(),$T761="TRUE"),1,0))</f>
        <v/>
      </c>
      <c r="AP761">
        <f>IF($D761="","",IF($Z761="Yes",1,0))</f>
        <v/>
      </c>
      <c r="AQ761">
        <f>IF($AM761=1,IFERROR(IF(VALUE($D761)&lt;100000000,VALUE($D761),1000000000),IFERROR(IF(VALUE(MID($D761,2,20))&lt;100000000,VALUE(MID($D761,2,20)),1000000000),1000000000))+ROW()/100000,"")</f>
        <v/>
      </c>
    </row>
    <row r="762">
      <c r="F762" s="11" t="n"/>
      <c r="P762" s="7">
        <f>IF($D762="","",O762*X762/100)</f>
        <v/>
      </c>
      <c r="Q762" s="7" t="n"/>
      <c r="W762" s="7" t="n"/>
      <c r="X762" s="7" t="n"/>
      <c r="AA762">
        <f>IF($D762="","",IF($AP762=1,0,IF($AO762=1,Settings!$C$6,Settings!$C$7))*100)</f>
        <v/>
      </c>
      <c r="AB762" s="7">
        <f>IF($D762="","",X762*AA762/100)</f>
        <v/>
      </c>
      <c r="AC762" s="7">
        <f>IF($D762="","",X762-AB762)</f>
        <v/>
      </c>
      <c r="AD762" s="7">
        <f>IF($D762="","",AC762-P762)</f>
        <v/>
      </c>
      <c r="AH762" s="7" t="n"/>
      <c r="AK762" s="11" t="n"/>
      <c r="AM762">
        <f>IF($D762="","",IF(COUNTIF($D$2:$D762,$D762)=1,1,0))</f>
        <v/>
      </c>
      <c r="AN762">
        <f>IF($AM762=1,SUMPRODUCT(--($AQ$2:$AQ$1001&lt;$AQ762))+1,"")</f>
        <v/>
      </c>
      <c r="AO762">
        <f>IF($D762="","",IF(OR($T762=TRUE(),$T762="TRUE"),1,0))</f>
        <v/>
      </c>
      <c r="AP762">
        <f>IF($D762="","",IF($Z762="Yes",1,0))</f>
        <v/>
      </c>
      <c r="AQ762">
        <f>IF($AM762=1,IFERROR(IF(VALUE($D762)&lt;100000000,VALUE($D762),1000000000),IFERROR(IF(VALUE(MID($D762,2,20))&lt;100000000,VALUE(MID($D762,2,20)),1000000000),1000000000))+ROW()/100000,"")</f>
        <v/>
      </c>
    </row>
    <row r="763">
      <c r="F763" s="11" t="n"/>
      <c r="P763" s="7">
        <f>IF($D763="","",O763*X763/100)</f>
        <v/>
      </c>
      <c r="Q763" s="7" t="n"/>
      <c r="W763" s="7" t="n"/>
      <c r="X763" s="7" t="n"/>
      <c r="AA763">
        <f>IF($D763="","",IF($AP763=1,0,IF($AO763=1,Settings!$C$6,Settings!$C$7))*100)</f>
        <v/>
      </c>
      <c r="AB763" s="7">
        <f>IF($D763="","",X763*AA763/100)</f>
        <v/>
      </c>
      <c r="AC763" s="7">
        <f>IF($D763="","",X763-AB763)</f>
        <v/>
      </c>
      <c r="AD763" s="7">
        <f>IF($D763="","",AC763-P763)</f>
        <v/>
      </c>
      <c r="AH763" s="7" t="n"/>
      <c r="AK763" s="11" t="n"/>
      <c r="AM763">
        <f>IF($D763="","",IF(COUNTIF($D$2:$D763,$D763)=1,1,0))</f>
        <v/>
      </c>
      <c r="AN763">
        <f>IF($AM763=1,SUMPRODUCT(--($AQ$2:$AQ$1001&lt;$AQ763))+1,"")</f>
        <v/>
      </c>
      <c r="AO763">
        <f>IF($D763="","",IF(OR($T763=TRUE(),$T763="TRUE"),1,0))</f>
        <v/>
      </c>
      <c r="AP763">
        <f>IF($D763="","",IF($Z763="Yes",1,0))</f>
        <v/>
      </c>
      <c r="AQ763">
        <f>IF($AM763=1,IFERROR(IF(VALUE($D763)&lt;100000000,VALUE($D763),1000000000),IFERROR(IF(VALUE(MID($D763,2,20))&lt;100000000,VALUE(MID($D763,2,20)),1000000000),1000000000))+ROW()/100000,"")</f>
        <v/>
      </c>
    </row>
    <row r="764">
      <c r="F764" s="11" t="n"/>
      <c r="P764" s="7">
        <f>IF($D764="","",O764*X764/100)</f>
        <v/>
      </c>
      <c r="Q764" s="7" t="n"/>
      <c r="W764" s="7" t="n"/>
      <c r="X764" s="7" t="n"/>
      <c r="AA764">
        <f>IF($D764="","",IF($AP764=1,0,IF($AO764=1,Settings!$C$6,Settings!$C$7))*100)</f>
        <v/>
      </c>
      <c r="AB764" s="7">
        <f>IF($D764="","",X764*AA764/100)</f>
        <v/>
      </c>
      <c r="AC764" s="7">
        <f>IF($D764="","",X764-AB764)</f>
        <v/>
      </c>
      <c r="AD764" s="7">
        <f>IF($D764="","",AC764-P764)</f>
        <v/>
      </c>
      <c r="AH764" s="7" t="n"/>
      <c r="AK764" s="11" t="n"/>
      <c r="AM764">
        <f>IF($D764="","",IF(COUNTIF($D$2:$D764,$D764)=1,1,0))</f>
        <v/>
      </c>
      <c r="AN764">
        <f>IF($AM764=1,SUMPRODUCT(--($AQ$2:$AQ$1001&lt;$AQ764))+1,"")</f>
        <v/>
      </c>
      <c r="AO764">
        <f>IF($D764="","",IF(OR($T764=TRUE(),$T764="TRUE"),1,0))</f>
        <v/>
      </c>
      <c r="AP764">
        <f>IF($D764="","",IF($Z764="Yes",1,0))</f>
        <v/>
      </c>
      <c r="AQ764">
        <f>IF($AM764=1,IFERROR(IF(VALUE($D764)&lt;100000000,VALUE($D764),1000000000),IFERROR(IF(VALUE(MID($D764,2,20))&lt;100000000,VALUE(MID($D764,2,20)),1000000000),1000000000))+ROW()/100000,"")</f>
        <v/>
      </c>
    </row>
    <row r="765">
      <c r="F765" s="11" t="n"/>
      <c r="P765" s="7">
        <f>IF($D765="","",O765*X765/100)</f>
        <v/>
      </c>
      <c r="Q765" s="7" t="n"/>
      <c r="W765" s="7" t="n"/>
      <c r="X765" s="7" t="n"/>
      <c r="AA765">
        <f>IF($D765="","",IF($AP765=1,0,IF($AO765=1,Settings!$C$6,Settings!$C$7))*100)</f>
        <v/>
      </c>
      <c r="AB765" s="7">
        <f>IF($D765="","",X765*AA765/100)</f>
        <v/>
      </c>
      <c r="AC765" s="7">
        <f>IF($D765="","",X765-AB765)</f>
        <v/>
      </c>
      <c r="AD765" s="7">
        <f>IF($D765="","",AC765-P765)</f>
        <v/>
      </c>
      <c r="AH765" s="7" t="n"/>
      <c r="AK765" s="11" t="n"/>
      <c r="AM765">
        <f>IF($D765="","",IF(COUNTIF($D$2:$D765,$D765)=1,1,0))</f>
        <v/>
      </c>
      <c r="AN765">
        <f>IF($AM765=1,SUMPRODUCT(--($AQ$2:$AQ$1001&lt;$AQ765))+1,"")</f>
        <v/>
      </c>
      <c r="AO765">
        <f>IF($D765="","",IF(OR($T765=TRUE(),$T765="TRUE"),1,0))</f>
        <v/>
      </c>
      <c r="AP765">
        <f>IF($D765="","",IF($Z765="Yes",1,0))</f>
        <v/>
      </c>
      <c r="AQ765">
        <f>IF($AM765=1,IFERROR(IF(VALUE($D765)&lt;100000000,VALUE($D765),1000000000),IFERROR(IF(VALUE(MID($D765,2,20))&lt;100000000,VALUE(MID($D765,2,20)),1000000000),1000000000))+ROW()/100000,"")</f>
        <v/>
      </c>
    </row>
    <row r="766">
      <c r="F766" s="11" t="n"/>
      <c r="P766" s="7">
        <f>IF($D766="","",O766*X766/100)</f>
        <v/>
      </c>
      <c r="Q766" s="7" t="n"/>
      <c r="W766" s="7" t="n"/>
      <c r="X766" s="7" t="n"/>
      <c r="AA766">
        <f>IF($D766="","",IF($AP766=1,0,IF($AO766=1,Settings!$C$6,Settings!$C$7))*100)</f>
        <v/>
      </c>
      <c r="AB766" s="7">
        <f>IF($D766="","",X766*AA766/100)</f>
        <v/>
      </c>
      <c r="AC766" s="7">
        <f>IF($D766="","",X766-AB766)</f>
        <v/>
      </c>
      <c r="AD766" s="7">
        <f>IF($D766="","",AC766-P766)</f>
        <v/>
      </c>
      <c r="AH766" s="7" t="n"/>
      <c r="AK766" s="11" t="n"/>
      <c r="AM766">
        <f>IF($D766="","",IF(COUNTIF($D$2:$D766,$D766)=1,1,0))</f>
        <v/>
      </c>
      <c r="AN766">
        <f>IF($AM766=1,SUMPRODUCT(--($AQ$2:$AQ$1001&lt;$AQ766))+1,"")</f>
        <v/>
      </c>
      <c r="AO766">
        <f>IF($D766="","",IF(OR($T766=TRUE(),$T766="TRUE"),1,0))</f>
        <v/>
      </c>
      <c r="AP766">
        <f>IF($D766="","",IF($Z766="Yes",1,0))</f>
        <v/>
      </c>
      <c r="AQ766">
        <f>IF($AM766=1,IFERROR(IF(VALUE($D766)&lt;100000000,VALUE($D766),1000000000),IFERROR(IF(VALUE(MID($D766,2,20))&lt;100000000,VALUE(MID($D766,2,20)),1000000000),1000000000))+ROW()/100000,"")</f>
        <v/>
      </c>
    </row>
    <row r="767">
      <c r="F767" s="11" t="n"/>
      <c r="P767" s="7">
        <f>IF($D767="","",O767*X767/100)</f>
        <v/>
      </c>
      <c r="Q767" s="7" t="n"/>
      <c r="W767" s="7" t="n"/>
      <c r="X767" s="7" t="n"/>
      <c r="AA767">
        <f>IF($D767="","",IF($AP767=1,0,IF($AO767=1,Settings!$C$6,Settings!$C$7))*100)</f>
        <v/>
      </c>
      <c r="AB767" s="7">
        <f>IF($D767="","",X767*AA767/100)</f>
        <v/>
      </c>
      <c r="AC767" s="7">
        <f>IF($D767="","",X767-AB767)</f>
        <v/>
      </c>
      <c r="AD767" s="7">
        <f>IF($D767="","",AC767-P767)</f>
        <v/>
      </c>
      <c r="AH767" s="7" t="n"/>
      <c r="AK767" s="11" t="n"/>
      <c r="AM767">
        <f>IF($D767="","",IF(COUNTIF($D$2:$D767,$D767)=1,1,0))</f>
        <v/>
      </c>
      <c r="AN767">
        <f>IF($AM767=1,SUMPRODUCT(--($AQ$2:$AQ$1001&lt;$AQ767))+1,"")</f>
        <v/>
      </c>
      <c r="AO767">
        <f>IF($D767="","",IF(OR($T767=TRUE(),$T767="TRUE"),1,0))</f>
        <v/>
      </c>
      <c r="AP767">
        <f>IF($D767="","",IF($Z767="Yes",1,0))</f>
        <v/>
      </c>
      <c r="AQ767">
        <f>IF($AM767=1,IFERROR(IF(VALUE($D767)&lt;100000000,VALUE($D767),1000000000),IFERROR(IF(VALUE(MID($D767,2,20))&lt;100000000,VALUE(MID($D767,2,20)),1000000000),1000000000))+ROW()/100000,"")</f>
        <v/>
      </c>
    </row>
    <row r="768">
      <c r="F768" s="11" t="n"/>
      <c r="P768" s="7">
        <f>IF($D768="","",O768*X768/100)</f>
        <v/>
      </c>
      <c r="Q768" s="7" t="n"/>
      <c r="W768" s="7" t="n"/>
      <c r="X768" s="7" t="n"/>
      <c r="AA768">
        <f>IF($D768="","",IF($AP768=1,0,IF($AO768=1,Settings!$C$6,Settings!$C$7))*100)</f>
        <v/>
      </c>
      <c r="AB768" s="7">
        <f>IF($D768="","",X768*AA768/100)</f>
        <v/>
      </c>
      <c r="AC768" s="7">
        <f>IF($D768="","",X768-AB768)</f>
        <v/>
      </c>
      <c r="AD768" s="7">
        <f>IF($D768="","",AC768-P768)</f>
        <v/>
      </c>
      <c r="AH768" s="7" t="n"/>
      <c r="AK768" s="11" t="n"/>
      <c r="AM768">
        <f>IF($D768="","",IF(COUNTIF($D$2:$D768,$D768)=1,1,0))</f>
        <v/>
      </c>
      <c r="AN768">
        <f>IF($AM768=1,SUMPRODUCT(--($AQ$2:$AQ$1001&lt;$AQ768))+1,"")</f>
        <v/>
      </c>
      <c r="AO768">
        <f>IF($D768="","",IF(OR($T768=TRUE(),$T768="TRUE"),1,0))</f>
        <v/>
      </c>
      <c r="AP768">
        <f>IF($D768="","",IF($Z768="Yes",1,0))</f>
        <v/>
      </c>
      <c r="AQ768">
        <f>IF($AM768=1,IFERROR(IF(VALUE($D768)&lt;100000000,VALUE($D768),1000000000),IFERROR(IF(VALUE(MID($D768,2,20))&lt;100000000,VALUE(MID($D768,2,20)),1000000000),1000000000))+ROW()/100000,"")</f>
        <v/>
      </c>
    </row>
    <row r="769">
      <c r="F769" s="11" t="n"/>
      <c r="P769" s="7">
        <f>IF($D769="","",O769*X769/100)</f>
        <v/>
      </c>
      <c r="Q769" s="7" t="n"/>
      <c r="W769" s="7" t="n"/>
      <c r="X769" s="7" t="n"/>
      <c r="AA769">
        <f>IF($D769="","",IF($AP769=1,0,IF($AO769=1,Settings!$C$6,Settings!$C$7))*100)</f>
        <v/>
      </c>
      <c r="AB769" s="7">
        <f>IF($D769="","",X769*AA769/100)</f>
        <v/>
      </c>
      <c r="AC769" s="7">
        <f>IF($D769="","",X769-AB769)</f>
        <v/>
      </c>
      <c r="AD769" s="7">
        <f>IF($D769="","",AC769-P769)</f>
        <v/>
      </c>
      <c r="AH769" s="7" t="n"/>
      <c r="AK769" s="11" t="n"/>
      <c r="AM769">
        <f>IF($D769="","",IF(COUNTIF($D$2:$D769,$D769)=1,1,0))</f>
        <v/>
      </c>
      <c r="AN769">
        <f>IF($AM769=1,SUMPRODUCT(--($AQ$2:$AQ$1001&lt;$AQ769))+1,"")</f>
        <v/>
      </c>
      <c r="AO769">
        <f>IF($D769="","",IF(OR($T769=TRUE(),$T769="TRUE"),1,0))</f>
        <v/>
      </c>
      <c r="AP769">
        <f>IF($D769="","",IF($Z769="Yes",1,0))</f>
        <v/>
      </c>
      <c r="AQ769">
        <f>IF($AM769=1,IFERROR(IF(VALUE($D769)&lt;100000000,VALUE($D769),1000000000),IFERROR(IF(VALUE(MID($D769,2,20))&lt;100000000,VALUE(MID($D769,2,20)),1000000000),1000000000))+ROW()/100000,"")</f>
        <v/>
      </c>
    </row>
    <row r="770">
      <c r="F770" s="11" t="n"/>
      <c r="P770" s="7">
        <f>IF($D770="","",O770*X770/100)</f>
        <v/>
      </c>
      <c r="Q770" s="7" t="n"/>
      <c r="W770" s="7" t="n"/>
      <c r="X770" s="7" t="n"/>
      <c r="AA770">
        <f>IF($D770="","",IF($AP770=1,0,IF($AO770=1,Settings!$C$6,Settings!$C$7))*100)</f>
        <v/>
      </c>
      <c r="AB770" s="7">
        <f>IF($D770="","",X770*AA770/100)</f>
        <v/>
      </c>
      <c r="AC770" s="7">
        <f>IF($D770="","",X770-AB770)</f>
        <v/>
      </c>
      <c r="AD770" s="7">
        <f>IF($D770="","",AC770-P770)</f>
        <v/>
      </c>
      <c r="AH770" s="7" t="n"/>
      <c r="AK770" s="11" t="n"/>
      <c r="AM770">
        <f>IF($D770="","",IF(COUNTIF($D$2:$D770,$D770)=1,1,0))</f>
        <v/>
      </c>
      <c r="AN770">
        <f>IF($AM770=1,SUMPRODUCT(--($AQ$2:$AQ$1001&lt;$AQ770))+1,"")</f>
        <v/>
      </c>
      <c r="AO770">
        <f>IF($D770="","",IF(OR($T770=TRUE(),$T770="TRUE"),1,0))</f>
        <v/>
      </c>
      <c r="AP770">
        <f>IF($D770="","",IF($Z770="Yes",1,0))</f>
        <v/>
      </c>
      <c r="AQ770">
        <f>IF($AM770=1,IFERROR(IF(VALUE($D770)&lt;100000000,VALUE($D770),1000000000),IFERROR(IF(VALUE(MID($D770,2,20))&lt;100000000,VALUE(MID($D770,2,20)),1000000000),1000000000))+ROW()/100000,"")</f>
        <v/>
      </c>
    </row>
    <row r="771">
      <c r="F771" s="11" t="n"/>
      <c r="P771" s="7">
        <f>IF($D771="","",O771*X771/100)</f>
        <v/>
      </c>
      <c r="Q771" s="7" t="n"/>
      <c r="W771" s="7" t="n"/>
      <c r="X771" s="7" t="n"/>
      <c r="AA771">
        <f>IF($D771="","",IF($AP771=1,0,IF($AO771=1,Settings!$C$6,Settings!$C$7))*100)</f>
        <v/>
      </c>
      <c r="AB771" s="7">
        <f>IF($D771="","",X771*AA771/100)</f>
        <v/>
      </c>
      <c r="AC771" s="7">
        <f>IF($D771="","",X771-AB771)</f>
        <v/>
      </c>
      <c r="AD771" s="7">
        <f>IF($D771="","",AC771-P771)</f>
        <v/>
      </c>
      <c r="AH771" s="7" t="n"/>
      <c r="AK771" s="11" t="n"/>
      <c r="AM771">
        <f>IF($D771="","",IF(COUNTIF($D$2:$D771,$D771)=1,1,0))</f>
        <v/>
      </c>
      <c r="AN771">
        <f>IF($AM771=1,SUMPRODUCT(--($AQ$2:$AQ$1001&lt;$AQ771))+1,"")</f>
        <v/>
      </c>
      <c r="AO771">
        <f>IF($D771="","",IF(OR($T771=TRUE(),$T771="TRUE"),1,0))</f>
        <v/>
      </c>
      <c r="AP771">
        <f>IF($D771="","",IF($Z771="Yes",1,0))</f>
        <v/>
      </c>
      <c r="AQ771">
        <f>IF($AM771=1,IFERROR(IF(VALUE($D771)&lt;100000000,VALUE($D771),1000000000),IFERROR(IF(VALUE(MID($D771,2,20))&lt;100000000,VALUE(MID($D771,2,20)),1000000000),1000000000))+ROW()/100000,"")</f>
        <v/>
      </c>
    </row>
    <row r="772">
      <c r="F772" s="11" t="n"/>
      <c r="P772" s="7">
        <f>IF($D772="","",O772*X772/100)</f>
        <v/>
      </c>
      <c r="Q772" s="7" t="n"/>
      <c r="W772" s="7" t="n"/>
      <c r="X772" s="7" t="n"/>
      <c r="AA772">
        <f>IF($D772="","",IF($AP772=1,0,IF($AO772=1,Settings!$C$6,Settings!$C$7))*100)</f>
        <v/>
      </c>
      <c r="AB772" s="7">
        <f>IF($D772="","",X772*AA772/100)</f>
        <v/>
      </c>
      <c r="AC772" s="7">
        <f>IF($D772="","",X772-AB772)</f>
        <v/>
      </c>
      <c r="AD772" s="7">
        <f>IF($D772="","",AC772-P772)</f>
        <v/>
      </c>
      <c r="AH772" s="7" t="n"/>
      <c r="AK772" s="11" t="n"/>
      <c r="AM772">
        <f>IF($D772="","",IF(COUNTIF($D$2:$D772,$D772)=1,1,0))</f>
        <v/>
      </c>
      <c r="AN772">
        <f>IF($AM772=1,SUMPRODUCT(--($AQ$2:$AQ$1001&lt;$AQ772))+1,"")</f>
        <v/>
      </c>
      <c r="AO772">
        <f>IF($D772="","",IF(OR($T772=TRUE(),$T772="TRUE"),1,0))</f>
        <v/>
      </c>
      <c r="AP772">
        <f>IF($D772="","",IF($Z772="Yes",1,0))</f>
        <v/>
      </c>
      <c r="AQ772">
        <f>IF($AM772=1,IFERROR(IF(VALUE($D772)&lt;100000000,VALUE($D772),1000000000),IFERROR(IF(VALUE(MID($D772,2,20))&lt;100000000,VALUE(MID($D772,2,20)),1000000000),1000000000))+ROW()/100000,"")</f>
        <v/>
      </c>
    </row>
    <row r="773">
      <c r="F773" s="11" t="n"/>
      <c r="P773" s="7">
        <f>IF($D773="","",O773*X773/100)</f>
        <v/>
      </c>
      <c r="Q773" s="7" t="n"/>
      <c r="W773" s="7" t="n"/>
      <c r="X773" s="7" t="n"/>
      <c r="AA773">
        <f>IF($D773="","",IF($AP773=1,0,IF($AO773=1,Settings!$C$6,Settings!$C$7))*100)</f>
        <v/>
      </c>
      <c r="AB773" s="7">
        <f>IF($D773="","",X773*AA773/100)</f>
        <v/>
      </c>
      <c r="AC773" s="7">
        <f>IF($D773="","",X773-AB773)</f>
        <v/>
      </c>
      <c r="AD773" s="7">
        <f>IF($D773="","",AC773-P773)</f>
        <v/>
      </c>
      <c r="AH773" s="7" t="n"/>
      <c r="AK773" s="11" t="n"/>
      <c r="AM773">
        <f>IF($D773="","",IF(COUNTIF($D$2:$D773,$D773)=1,1,0))</f>
        <v/>
      </c>
      <c r="AN773">
        <f>IF($AM773=1,SUMPRODUCT(--($AQ$2:$AQ$1001&lt;$AQ773))+1,"")</f>
        <v/>
      </c>
      <c r="AO773">
        <f>IF($D773="","",IF(OR($T773=TRUE(),$T773="TRUE"),1,0))</f>
        <v/>
      </c>
      <c r="AP773">
        <f>IF($D773="","",IF($Z773="Yes",1,0))</f>
        <v/>
      </c>
      <c r="AQ773">
        <f>IF($AM773=1,IFERROR(IF(VALUE($D773)&lt;100000000,VALUE($D773),1000000000),IFERROR(IF(VALUE(MID($D773,2,20))&lt;100000000,VALUE(MID($D773,2,20)),1000000000),1000000000))+ROW()/100000,"")</f>
        <v/>
      </c>
    </row>
    <row r="774">
      <c r="F774" s="11" t="n"/>
      <c r="P774" s="7">
        <f>IF($D774="","",O774*X774/100)</f>
        <v/>
      </c>
      <c r="Q774" s="7" t="n"/>
      <c r="W774" s="7" t="n"/>
      <c r="X774" s="7" t="n"/>
      <c r="AA774">
        <f>IF($D774="","",IF($AP774=1,0,IF($AO774=1,Settings!$C$6,Settings!$C$7))*100)</f>
        <v/>
      </c>
      <c r="AB774" s="7">
        <f>IF($D774="","",X774*AA774/100)</f>
        <v/>
      </c>
      <c r="AC774" s="7">
        <f>IF($D774="","",X774-AB774)</f>
        <v/>
      </c>
      <c r="AD774" s="7">
        <f>IF($D774="","",AC774-P774)</f>
        <v/>
      </c>
      <c r="AH774" s="7" t="n"/>
      <c r="AK774" s="11" t="n"/>
      <c r="AM774">
        <f>IF($D774="","",IF(COUNTIF($D$2:$D774,$D774)=1,1,0))</f>
        <v/>
      </c>
      <c r="AN774">
        <f>IF($AM774=1,SUMPRODUCT(--($AQ$2:$AQ$1001&lt;$AQ774))+1,"")</f>
        <v/>
      </c>
      <c r="AO774">
        <f>IF($D774="","",IF(OR($T774=TRUE(),$T774="TRUE"),1,0))</f>
        <v/>
      </c>
      <c r="AP774">
        <f>IF($D774="","",IF($Z774="Yes",1,0))</f>
        <v/>
      </c>
      <c r="AQ774">
        <f>IF($AM774=1,IFERROR(IF(VALUE($D774)&lt;100000000,VALUE($D774),1000000000),IFERROR(IF(VALUE(MID($D774,2,20))&lt;100000000,VALUE(MID($D774,2,20)),1000000000),1000000000))+ROW()/100000,"")</f>
        <v/>
      </c>
    </row>
    <row r="775">
      <c r="F775" s="11" t="n"/>
      <c r="P775" s="7">
        <f>IF($D775="","",O775*X775/100)</f>
        <v/>
      </c>
      <c r="Q775" s="7" t="n"/>
      <c r="W775" s="7" t="n"/>
      <c r="X775" s="7" t="n"/>
      <c r="AA775">
        <f>IF($D775="","",IF($AP775=1,0,IF($AO775=1,Settings!$C$6,Settings!$C$7))*100)</f>
        <v/>
      </c>
      <c r="AB775" s="7">
        <f>IF($D775="","",X775*AA775/100)</f>
        <v/>
      </c>
      <c r="AC775" s="7">
        <f>IF($D775="","",X775-AB775)</f>
        <v/>
      </c>
      <c r="AD775" s="7">
        <f>IF($D775="","",AC775-P775)</f>
        <v/>
      </c>
      <c r="AH775" s="7" t="n"/>
      <c r="AK775" s="11" t="n"/>
      <c r="AM775">
        <f>IF($D775="","",IF(COUNTIF($D$2:$D775,$D775)=1,1,0))</f>
        <v/>
      </c>
      <c r="AN775">
        <f>IF($AM775=1,SUMPRODUCT(--($AQ$2:$AQ$1001&lt;$AQ775))+1,"")</f>
        <v/>
      </c>
      <c r="AO775">
        <f>IF($D775="","",IF(OR($T775=TRUE(),$T775="TRUE"),1,0))</f>
        <v/>
      </c>
      <c r="AP775">
        <f>IF($D775="","",IF($Z775="Yes",1,0))</f>
        <v/>
      </c>
      <c r="AQ775">
        <f>IF($AM775=1,IFERROR(IF(VALUE($D775)&lt;100000000,VALUE($D775),1000000000),IFERROR(IF(VALUE(MID($D775,2,20))&lt;100000000,VALUE(MID($D775,2,20)),1000000000),1000000000))+ROW()/100000,"")</f>
        <v/>
      </c>
    </row>
    <row r="776">
      <c r="F776" s="11" t="n"/>
      <c r="P776" s="7">
        <f>IF($D776="","",O776*X776/100)</f>
        <v/>
      </c>
      <c r="Q776" s="7" t="n"/>
      <c r="W776" s="7" t="n"/>
      <c r="X776" s="7" t="n"/>
      <c r="AA776">
        <f>IF($D776="","",IF($AP776=1,0,IF($AO776=1,Settings!$C$6,Settings!$C$7))*100)</f>
        <v/>
      </c>
      <c r="AB776" s="7">
        <f>IF($D776="","",X776*AA776/100)</f>
        <v/>
      </c>
      <c r="AC776" s="7">
        <f>IF($D776="","",X776-AB776)</f>
        <v/>
      </c>
      <c r="AD776" s="7">
        <f>IF($D776="","",AC776-P776)</f>
        <v/>
      </c>
      <c r="AH776" s="7" t="n"/>
      <c r="AK776" s="11" t="n"/>
      <c r="AM776">
        <f>IF($D776="","",IF(COUNTIF($D$2:$D776,$D776)=1,1,0))</f>
        <v/>
      </c>
      <c r="AN776">
        <f>IF($AM776=1,SUMPRODUCT(--($AQ$2:$AQ$1001&lt;$AQ776))+1,"")</f>
        <v/>
      </c>
      <c r="AO776">
        <f>IF($D776="","",IF(OR($T776=TRUE(),$T776="TRUE"),1,0))</f>
        <v/>
      </c>
      <c r="AP776">
        <f>IF($D776="","",IF($Z776="Yes",1,0))</f>
        <v/>
      </c>
      <c r="AQ776">
        <f>IF($AM776=1,IFERROR(IF(VALUE($D776)&lt;100000000,VALUE($D776),1000000000),IFERROR(IF(VALUE(MID($D776,2,20))&lt;100000000,VALUE(MID($D776,2,20)),1000000000),1000000000))+ROW()/100000,"")</f>
        <v/>
      </c>
    </row>
    <row r="777">
      <c r="F777" s="11" t="n"/>
      <c r="P777" s="7">
        <f>IF($D777="","",O777*X777/100)</f>
        <v/>
      </c>
      <c r="Q777" s="7" t="n"/>
      <c r="W777" s="7" t="n"/>
      <c r="X777" s="7" t="n"/>
      <c r="AA777">
        <f>IF($D777="","",IF($AP777=1,0,IF($AO777=1,Settings!$C$6,Settings!$C$7))*100)</f>
        <v/>
      </c>
      <c r="AB777" s="7">
        <f>IF($D777="","",X777*AA777/100)</f>
        <v/>
      </c>
      <c r="AC777" s="7">
        <f>IF($D777="","",X777-AB777)</f>
        <v/>
      </c>
      <c r="AD777" s="7">
        <f>IF($D777="","",AC777-P777)</f>
        <v/>
      </c>
      <c r="AH777" s="7" t="n"/>
      <c r="AK777" s="11" t="n"/>
      <c r="AM777">
        <f>IF($D777="","",IF(COUNTIF($D$2:$D777,$D777)=1,1,0))</f>
        <v/>
      </c>
      <c r="AN777">
        <f>IF($AM777=1,SUMPRODUCT(--($AQ$2:$AQ$1001&lt;$AQ777))+1,"")</f>
        <v/>
      </c>
      <c r="AO777">
        <f>IF($D777="","",IF(OR($T777=TRUE(),$T777="TRUE"),1,0))</f>
        <v/>
      </c>
      <c r="AP777">
        <f>IF($D777="","",IF($Z777="Yes",1,0))</f>
        <v/>
      </c>
      <c r="AQ777">
        <f>IF($AM777=1,IFERROR(IF(VALUE($D777)&lt;100000000,VALUE($D777),1000000000),IFERROR(IF(VALUE(MID($D777,2,20))&lt;100000000,VALUE(MID($D777,2,20)),1000000000),1000000000))+ROW()/100000,"")</f>
        <v/>
      </c>
    </row>
    <row r="778">
      <c r="F778" s="11" t="n"/>
      <c r="P778" s="7">
        <f>IF($D778="","",O778*X778/100)</f>
        <v/>
      </c>
      <c r="Q778" s="7" t="n"/>
      <c r="W778" s="7" t="n"/>
      <c r="X778" s="7" t="n"/>
      <c r="AA778">
        <f>IF($D778="","",IF($AP778=1,0,IF($AO778=1,Settings!$C$6,Settings!$C$7))*100)</f>
        <v/>
      </c>
      <c r="AB778" s="7">
        <f>IF($D778="","",X778*AA778/100)</f>
        <v/>
      </c>
      <c r="AC778" s="7">
        <f>IF($D778="","",X778-AB778)</f>
        <v/>
      </c>
      <c r="AD778" s="7">
        <f>IF($D778="","",AC778-P778)</f>
        <v/>
      </c>
      <c r="AH778" s="7" t="n"/>
      <c r="AK778" s="11" t="n"/>
      <c r="AM778">
        <f>IF($D778="","",IF(COUNTIF($D$2:$D778,$D778)=1,1,0))</f>
        <v/>
      </c>
      <c r="AN778">
        <f>IF($AM778=1,SUMPRODUCT(--($AQ$2:$AQ$1001&lt;$AQ778))+1,"")</f>
        <v/>
      </c>
      <c r="AO778">
        <f>IF($D778="","",IF(OR($T778=TRUE(),$T778="TRUE"),1,0))</f>
        <v/>
      </c>
      <c r="AP778">
        <f>IF($D778="","",IF($Z778="Yes",1,0))</f>
        <v/>
      </c>
      <c r="AQ778">
        <f>IF($AM778=1,IFERROR(IF(VALUE($D778)&lt;100000000,VALUE($D778),1000000000),IFERROR(IF(VALUE(MID($D778,2,20))&lt;100000000,VALUE(MID($D778,2,20)),1000000000),1000000000))+ROW()/100000,"")</f>
        <v/>
      </c>
    </row>
    <row r="779">
      <c r="F779" s="11" t="n"/>
      <c r="P779" s="7">
        <f>IF($D779="","",O779*X779/100)</f>
        <v/>
      </c>
      <c r="Q779" s="7" t="n"/>
      <c r="W779" s="7" t="n"/>
      <c r="X779" s="7" t="n"/>
      <c r="AA779">
        <f>IF($D779="","",IF($AP779=1,0,IF($AO779=1,Settings!$C$6,Settings!$C$7))*100)</f>
        <v/>
      </c>
      <c r="AB779" s="7">
        <f>IF($D779="","",X779*AA779/100)</f>
        <v/>
      </c>
      <c r="AC779" s="7">
        <f>IF($D779="","",X779-AB779)</f>
        <v/>
      </c>
      <c r="AD779" s="7">
        <f>IF($D779="","",AC779-P779)</f>
        <v/>
      </c>
      <c r="AH779" s="7" t="n"/>
      <c r="AK779" s="11" t="n"/>
      <c r="AM779">
        <f>IF($D779="","",IF(COUNTIF($D$2:$D779,$D779)=1,1,0))</f>
        <v/>
      </c>
      <c r="AN779">
        <f>IF($AM779=1,SUMPRODUCT(--($AQ$2:$AQ$1001&lt;$AQ779))+1,"")</f>
        <v/>
      </c>
      <c r="AO779">
        <f>IF($D779="","",IF(OR($T779=TRUE(),$T779="TRUE"),1,0))</f>
        <v/>
      </c>
      <c r="AP779">
        <f>IF($D779="","",IF($Z779="Yes",1,0))</f>
        <v/>
      </c>
      <c r="AQ779">
        <f>IF($AM779=1,IFERROR(IF(VALUE($D779)&lt;100000000,VALUE($D779),1000000000),IFERROR(IF(VALUE(MID($D779,2,20))&lt;100000000,VALUE(MID($D779,2,20)),1000000000),1000000000))+ROW()/100000,"")</f>
        <v/>
      </c>
    </row>
    <row r="780">
      <c r="F780" s="11" t="n"/>
      <c r="P780" s="7">
        <f>IF($D780="","",O780*X780/100)</f>
        <v/>
      </c>
      <c r="Q780" s="7" t="n"/>
      <c r="W780" s="7" t="n"/>
      <c r="X780" s="7" t="n"/>
      <c r="AA780">
        <f>IF($D780="","",IF($AP780=1,0,IF($AO780=1,Settings!$C$6,Settings!$C$7))*100)</f>
        <v/>
      </c>
      <c r="AB780" s="7">
        <f>IF($D780="","",X780*AA780/100)</f>
        <v/>
      </c>
      <c r="AC780" s="7">
        <f>IF($D780="","",X780-AB780)</f>
        <v/>
      </c>
      <c r="AD780" s="7">
        <f>IF($D780="","",AC780-P780)</f>
        <v/>
      </c>
      <c r="AH780" s="7" t="n"/>
      <c r="AK780" s="11" t="n"/>
      <c r="AM780">
        <f>IF($D780="","",IF(COUNTIF($D$2:$D780,$D780)=1,1,0))</f>
        <v/>
      </c>
      <c r="AN780">
        <f>IF($AM780=1,SUMPRODUCT(--($AQ$2:$AQ$1001&lt;$AQ780))+1,"")</f>
        <v/>
      </c>
      <c r="AO780">
        <f>IF($D780="","",IF(OR($T780=TRUE(),$T780="TRUE"),1,0))</f>
        <v/>
      </c>
      <c r="AP780">
        <f>IF($D780="","",IF($Z780="Yes",1,0))</f>
        <v/>
      </c>
      <c r="AQ780">
        <f>IF($AM780=1,IFERROR(IF(VALUE($D780)&lt;100000000,VALUE($D780),1000000000),IFERROR(IF(VALUE(MID($D780,2,20))&lt;100000000,VALUE(MID($D780,2,20)),1000000000),1000000000))+ROW()/100000,"")</f>
        <v/>
      </c>
    </row>
    <row r="781">
      <c r="F781" s="11" t="n"/>
      <c r="P781" s="7">
        <f>IF($D781="","",O781*X781/100)</f>
        <v/>
      </c>
      <c r="Q781" s="7" t="n"/>
      <c r="W781" s="7" t="n"/>
      <c r="X781" s="7" t="n"/>
      <c r="AA781">
        <f>IF($D781="","",IF($AP781=1,0,IF($AO781=1,Settings!$C$6,Settings!$C$7))*100)</f>
        <v/>
      </c>
      <c r="AB781" s="7">
        <f>IF($D781="","",X781*AA781/100)</f>
        <v/>
      </c>
      <c r="AC781" s="7">
        <f>IF($D781="","",X781-AB781)</f>
        <v/>
      </c>
      <c r="AD781" s="7">
        <f>IF($D781="","",AC781-P781)</f>
        <v/>
      </c>
      <c r="AH781" s="7" t="n"/>
      <c r="AK781" s="11" t="n"/>
      <c r="AM781">
        <f>IF($D781="","",IF(COUNTIF($D$2:$D781,$D781)=1,1,0))</f>
        <v/>
      </c>
      <c r="AN781">
        <f>IF($AM781=1,SUMPRODUCT(--($AQ$2:$AQ$1001&lt;$AQ781))+1,"")</f>
        <v/>
      </c>
      <c r="AO781">
        <f>IF($D781="","",IF(OR($T781=TRUE(),$T781="TRUE"),1,0))</f>
        <v/>
      </c>
      <c r="AP781">
        <f>IF($D781="","",IF($Z781="Yes",1,0))</f>
        <v/>
      </c>
      <c r="AQ781">
        <f>IF($AM781=1,IFERROR(IF(VALUE($D781)&lt;100000000,VALUE($D781),1000000000),IFERROR(IF(VALUE(MID($D781,2,20))&lt;100000000,VALUE(MID($D781,2,20)),1000000000),1000000000))+ROW()/100000,"")</f>
        <v/>
      </c>
    </row>
    <row r="782">
      <c r="F782" s="11" t="n"/>
      <c r="P782" s="7">
        <f>IF($D782="","",O782*X782/100)</f>
        <v/>
      </c>
      <c r="Q782" s="7" t="n"/>
      <c r="W782" s="7" t="n"/>
      <c r="X782" s="7" t="n"/>
      <c r="AA782">
        <f>IF($D782="","",IF($AP782=1,0,IF($AO782=1,Settings!$C$6,Settings!$C$7))*100)</f>
        <v/>
      </c>
      <c r="AB782" s="7">
        <f>IF($D782="","",X782*AA782/100)</f>
        <v/>
      </c>
      <c r="AC782" s="7">
        <f>IF($D782="","",X782-AB782)</f>
        <v/>
      </c>
      <c r="AD782" s="7">
        <f>IF($D782="","",AC782-P782)</f>
        <v/>
      </c>
      <c r="AH782" s="7" t="n"/>
      <c r="AK782" s="11" t="n"/>
      <c r="AM782">
        <f>IF($D782="","",IF(COUNTIF($D$2:$D782,$D782)=1,1,0))</f>
        <v/>
      </c>
      <c r="AN782">
        <f>IF($AM782=1,SUMPRODUCT(--($AQ$2:$AQ$1001&lt;$AQ782))+1,"")</f>
        <v/>
      </c>
      <c r="AO782">
        <f>IF($D782="","",IF(OR($T782=TRUE(),$T782="TRUE"),1,0))</f>
        <v/>
      </c>
      <c r="AP782">
        <f>IF($D782="","",IF($Z782="Yes",1,0))</f>
        <v/>
      </c>
      <c r="AQ782">
        <f>IF($AM782=1,IFERROR(IF(VALUE($D782)&lt;100000000,VALUE($D782),1000000000),IFERROR(IF(VALUE(MID($D782,2,20))&lt;100000000,VALUE(MID($D782,2,20)),1000000000),1000000000))+ROW()/100000,"")</f>
        <v/>
      </c>
    </row>
    <row r="783">
      <c r="F783" s="11" t="n"/>
      <c r="P783" s="7">
        <f>IF($D783="","",O783*X783/100)</f>
        <v/>
      </c>
      <c r="Q783" s="7" t="n"/>
      <c r="W783" s="7" t="n"/>
      <c r="X783" s="7" t="n"/>
      <c r="AA783">
        <f>IF($D783="","",IF($AP783=1,0,IF($AO783=1,Settings!$C$6,Settings!$C$7))*100)</f>
        <v/>
      </c>
      <c r="AB783" s="7">
        <f>IF($D783="","",X783*AA783/100)</f>
        <v/>
      </c>
      <c r="AC783" s="7">
        <f>IF($D783="","",X783-AB783)</f>
        <v/>
      </c>
      <c r="AD783" s="7">
        <f>IF($D783="","",AC783-P783)</f>
        <v/>
      </c>
      <c r="AH783" s="7" t="n"/>
      <c r="AK783" s="11" t="n"/>
      <c r="AM783">
        <f>IF($D783="","",IF(COUNTIF($D$2:$D783,$D783)=1,1,0))</f>
        <v/>
      </c>
      <c r="AN783">
        <f>IF($AM783=1,SUMPRODUCT(--($AQ$2:$AQ$1001&lt;$AQ783))+1,"")</f>
        <v/>
      </c>
      <c r="AO783">
        <f>IF($D783="","",IF(OR($T783=TRUE(),$T783="TRUE"),1,0))</f>
        <v/>
      </c>
      <c r="AP783">
        <f>IF($D783="","",IF($Z783="Yes",1,0))</f>
        <v/>
      </c>
      <c r="AQ783">
        <f>IF($AM783=1,IFERROR(IF(VALUE($D783)&lt;100000000,VALUE($D783),1000000000),IFERROR(IF(VALUE(MID($D783,2,20))&lt;100000000,VALUE(MID($D783,2,20)),1000000000),1000000000))+ROW()/100000,"")</f>
        <v/>
      </c>
    </row>
    <row r="784">
      <c r="F784" s="11" t="n"/>
      <c r="P784" s="7">
        <f>IF($D784="","",O784*X784/100)</f>
        <v/>
      </c>
      <c r="Q784" s="7" t="n"/>
      <c r="W784" s="7" t="n"/>
      <c r="X784" s="7" t="n"/>
      <c r="AA784">
        <f>IF($D784="","",IF($AP784=1,0,IF($AO784=1,Settings!$C$6,Settings!$C$7))*100)</f>
        <v/>
      </c>
      <c r="AB784" s="7">
        <f>IF($D784="","",X784*AA784/100)</f>
        <v/>
      </c>
      <c r="AC784" s="7">
        <f>IF($D784="","",X784-AB784)</f>
        <v/>
      </c>
      <c r="AD784" s="7">
        <f>IF($D784="","",AC784-P784)</f>
        <v/>
      </c>
      <c r="AH784" s="7" t="n"/>
      <c r="AK784" s="11" t="n"/>
      <c r="AM784">
        <f>IF($D784="","",IF(COUNTIF($D$2:$D784,$D784)=1,1,0))</f>
        <v/>
      </c>
      <c r="AN784">
        <f>IF($AM784=1,SUMPRODUCT(--($AQ$2:$AQ$1001&lt;$AQ784))+1,"")</f>
        <v/>
      </c>
      <c r="AO784">
        <f>IF($D784="","",IF(OR($T784=TRUE(),$T784="TRUE"),1,0))</f>
        <v/>
      </c>
      <c r="AP784">
        <f>IF($D784="","",IF($Z784="Yes",1,0))</f>
        <v/>
      </c>
      <c r="AQ784">
        <f>IF($AM784=1,IFERROR(IF(VALUE($D784)&lt;100000000,VALUE($D784),1000000000),IFERROR(IF(VALUE(MID($D784,2,20))&lt;100000000,VALUE(MID($D784,2,20)),1000000000),1000000000))+ROW()/100000,"")</f>
        <v/>
      </c>
    </row>
    <row r="785">
      <c r="F785" s="11" t="n"/>
      <c r="P785" s="7">
        <f>IF($D785="","",O785*X785/100)</f>
        <v/>
      </c>
      <c r="Q785" s="7" t="n"/>
      <c r="W785" s="7" t="n"/>
      <c r="X785" s="7" t="n"/>
      <c r="AA785">
        <f>IF($D785="","",IF($AP785=1,0,IF($AO785=1,Settings!$C$6,Settings!$C$7))*100)</f>
        <v/>
      </c>
      <c r="AB785" s="7">
        <f>IF($D785="","",X785*AA785/100)</f>
        <v/>
      </c>
      <c r="AC785" s="7">
        <f>IF($D785="","",X785-AB785)</f>
        <v/>
      </c>
      <c r="AD785" s="7">
        <f>IF($D785="","",AC785-P785)</f>
        <v/>
      </c>
      <c r="AH785" s="7" t="n"/>
      <c r="AK785" s="11" t="n"/>
      <c r="AM785">
        <f>IF($D785="","",IF(COUNTIF($D$2:$D785,$D785)=1,1,0))</f>
        <v/>
      </c>
      <c r="AN785">
        <f>IF($AM785=1,SUMPRODUCT(--($AQ$2:$AQ$1001&lt;$AQ785))+1,"")</f>
        <v/>
      </c>
      <c r="AO785">
        <f>IF($D785="","",IF(OR($T785=TRUE(),$T785="TRUE"),1,0))</f>
        <v/>
      </c>
      <c r="AP785">
        <f>IF($D785="","",IF($Z785="Yes",1,0))</f>
        <v/>
      </c>
      <c r="AQ785">
        <f>IF($AM785=1,IFERROR(IF(VALUE($D785)&lt;100000000,VALUE($D785),1000000000),IFERROR(IF(VALUE(MID($D785,2,20))&lt;100000000,VALUE(MID($D785,2,20)),1000000000),1000000000))+ROW()/100000,"")</f>
        <v/>
      </c>
    </row>
    <row r="786">
      <c r="F786" s="11" t="n"/>
      <c r="P786" s="7">
        <f>IF($D786="","",O786*X786/100)</f>
        <v/>
      </c>
      <c r="Q786" s="7" t="n"/>
      <c r="W786" s="7" t="n"/>
      <c r="X786" s="7" t="n"/>
      <c r="AA786">
        <f>IF($D786="","",IF($AP786=1,0,IF($AO786=1,Settings!$C$6,Settings!$C$7))*100)</f>
        <v/>
      </c>
      <c r="AB786" s="7">
        <f>IF($D786="","",X786*AA786/100)</f>
        <v/>
      </c>
      <c r="AC786" s="7">
        <f>IF($D786="","",X786-AB786)</f>
        <v/>
      </c>
      <c r="AD786" s="7">
        <f>IF($D786="","",AC786-P786)</f>
        <v/>
      </c>
      <c r="AH786" s="7" t="n"/>
      <c r="AK786" s="11" t="n"/>
      <c r="AM786">
        <f>IF($D786="","",IF(COUNTIF($D$2:$D786,$D786)=1,1,0))</f>
        <v/>
      </c>
      <c r="AN786">
        <f>IF($AM786=1,SUMPRODUCT(--($AQ$2:$AQ$1001&lt;$AQ786))+1,"")</f>
        <v/>
      </c>
      <c r="AO786">
        <f>IF($D786="","",IF(OR($T786=TRUE(),$T786="TRUE"),1,0))</f>
        <v/>
      </c>
      <c r="AP786">
        <f>IF($D786="","",IF($Z786="Yes",1,0))</f>
        <v/>
      </c>
      <c r="AQ786">
        <f>IF($AM786=1,IFERROR(IF(VALUE($D786)&lt;100000000,VALUE($D786),1000000000),IFERROR(IF(VALUE(MID($D786,2,20))&lt;100000000,VALUE(MID($D786,2,20)),1000000000),1000000000))+ROW()/100000,"")</f>
        <v/>
      </c>
    </row>
    <row r="787">
      <c r="F787" s="11" t="n"/>
      <c r="P787" s="7">
        <f>IF($D787="","",O787*X787/100)</f>
        <v/>
      </c>
      <c r="Q787" s="7" t="n"/>
      <c r="W787" s="7" t="n"/>
      <c r="X787" s="7" t="n"/>
      <c r="AA787">
        <f>IF($D787="","",IF($AP787=1,0,IF($AO787=1,Settings!$C$6,Settings!$C$7))*100)</f>
        <v/>
      </c>
      <c r="AB787" s="7">
        <f>IF($D787="","",X787*AA787/100)</f>
        <v/>
      </c>
      <c r="AC787" s="7">
        <f>IF($D787="","",X787-AB787)</f>
        <v/>
      </c>
      <c r="AD787" s="7">
        <f>IF($D787="","",AC787-P787)</f>
        <v/>
      </c>
      <c r="AH787" s="7" t="n"/>
      <c r="AK787" s="11" t="n"/>
      <c r="AM787">
        <f>IF($D787="","",IF(COUNTIF($D$2:$D787,$D787)=1,1,0))</f>
        <v/>
      </c>
      <c r="AN787">
        <f>IF($AM787=1,SUMPRODUCT(--($AQ$2:$AQ$1001&lt;$AQ787))+1,"")</f>
        <v/>
      </c>
      <c r="AO787">
        <f>IF($D787="","",IF(OR($T787=TRUE(),$T787="TRUE"),1,0))</f>
        <v/>
      </c>
      <c r="AP787">
        <f>IF($D787="","",IF($Z787="Yes",1,0))</f>
        <v/>
      </c>
      <c r="AQ787">
        <f>IF($AM787=1,IFERROR(IF(VALUE($D787)&lt;100000000,VALUE($D787),1000000000),IFERROR(IF(VALUE(MID($D787,2,20))&lt;100000000,VALUE(MID($D787,2,20)),1000000000),1000000000))+ROW()/100000,"")</f>
        <v/>
      </c>
    </row>
    <row r="788">
      <c r="F788" s="11" t="n"/>
      <c r="P788" s="7">
        <f>IF($D788="","",O788*X788/100)</f>
        <v/>
      </c>
      <c r="Q788" s="7" t="n"/>
      <c r="W788" s="7" t="n"/>
      <c r="X788" s="7" t="n"/>
      <c r="AA788">
        <f>IF($D788="","",IF($AP788=1,0,IF($AO788=1,Settings!$C$6,Settings!$C$7))*100)</f>
        <v/>
      </c>
      <c r="AB788" s="7">
        <f>IF($D788="","",X788*AA788/100)</f>
        <v/>
      </c>
      <c r="AC788" s="7">
        <f>IF($D788="","",X788-AB788)</f>
        <v/>
      </c>
      <c r="AD788" s="7">
        <f>IF($D788="","",AC788-P788)</f>
        <v/>
      </c>
      <c r="AH788" s="7" t="n"/>
      <c r="AK788" s="11" t="n"/>
      <c r="AM788">
        <f>IF($D788="","",IF(COUNTIF($D$2:$D788,$D788)=1,1,0))</f>
        <v/>
      </c>
      <c r="AN788">
        <f>IF($AM788=1,SUMPRODUCT(--($AQ$2:$AQ$1001&lt;$AQ788))+1,"")</f>
        <v/>
      </c>
      <c r="AO788">
        <f>IF($D788="","",IF(OR($T788=TRUE(),$T788="TRUE"),1,0))</f>
        <v/>
      </c>
      <c r="AP788">
        <f>IF($D788="","",IF($Z788="Yes",1,0))</f>
        <v/>
      </c>
      <c r="AQ788">
        <f>IF($AM788=1,IFERROR(IF(VALUE($D788)&lt;100000000,VALUE($D788),1000000000),IFERROR(IF(VALUE(MID($D788,2,20))&lt;100000000,VALUE(MID($D788,2,20)),1000000000),1000000000))+ROW()/100000,"")</f>
        <v/>
      </c>
    </row>
    <row r="789">
      <c r="F789" s="11" t="n"/>
      <c r="P789" s="7">
        <f>IF($D789="","",O789*X789/100)</f>
        <v/>
      </c>
      <c r="Q789" s="7" t="n"/>
      <c r="W789" s="7" t="n"/>
      <c r="X789" s="7" t="n"/>
      <c r="AA789">
        <f>IF($D789="","",IF($AP789=1,0,IF($AO789=1,Settings!$C$6,Settings!$C$7))*100)</f>
        <v/>
      </c>
      <c r="AB789" s="7">
        <f>IF($D789="","",X789*AA789/100)</f>
        <v/>
      </c>
      <c r="AC789" s="7">
        <f>IF($D789="","",X789-AB789)</f>
        <v/>
      </c>
      <c r="AD789" s="7">
        <f>IF($D789="","",AC789-P789)</f>
        <v/>
      </c>
      <c r="AH789" s="7" t="n"/>
      <c r="AK789" s="11" t="n"/>
      <c r="AM789">
        <f>IF($D789="","",IF(COUNTIF($D$2:$D789,$D789)=1,1,0))</f>
        <v/>
      </c>
      <c r="AN789">
        <f>IF($AM789=1,SUMPRODUCT(--($AQ$2:$AQ$1001&lt;$AQ789))+1,"")</f>
        <v/>
      </c>
      <c r="AO789">
        <f>IF($D789="","",IF(OR($T789=TRUE(),$T789="TRUE"),1,0))</f>
        <v/>
      </c>
      <c r="AP789">
        <f>IF($D789="","",IF($Z789="Yes",1,0))</f>
        <v/>
      </c>
      <c r="AQ789">
        <f>IF($AM789=1,IFERROR(IF(VALUE($D789)&lt;100000000,VALUE($D789),1000000000),IFERROR(IF(VALUE(MID($D789,2,20))&lt;100000000,VALUE(MID($D789,2,20)),1000000000),1000000000))+ROW()/100000,"")</f>
        <v/>
      </c>
    </row>
    <row r="790">
      <c r="F790" s="11" t="n"/>
      <c r="P790" s="7">
        <f>IF($D790="","",O790*X790/100)</f>
        <v/>
      </c>
      <c r="Q790" s="7" t="n"/>
      <c r="W790" s="7" t="n"/>
      <c r="X790" s="7" t="n"/>
      <c r="AA790">
        <f>IF($D790="","",IF($AP790=1,0,IF($AO790=1,Settings!$C$6,Settings!$C$7))*100)</f>
        <v/>
      </c>
      <c r="AB790" s="7">
        <f>IF($D790="","",X790*AA790/100)</f>
        <v/>
      </c>
      <c r="AC790" s="7">
        <f>IF($D790="","",X790-AB790)</f>
        <v/>
      </c>
      <c r="AD790" s="7">
        <f>IF($D790="","",AC790-P790)</f>
        <v/>
      </c>
      <c r="AH790" s="7" t="n"/>
      <c r="AK790" s="11" t="n"/>
      <c r="AM790">
        <f>IF($D790="","",IF(COUNTIF($D$2:$D790,$D790)=1,1,0))</f>
        <v/>
      </c>
      <c r="AN790">
        <f>IF($AM790=1,SUMPRODUCT(--($AQ$2:$AQ$1001&lt;$AQ790))+1,"")</f>
        <v/>
      </c>
      <c r="AO790">
        <f>IF($D790="","",IF(OR($T790=TRUE(),$T790="TRUE"),1,0))</f>
        <v/>
      </c>
      <c r="AP790">
        <f>IF($D790="","",IF($Z790="Yes",1,0))</f>
        <v/>
      </c>
      <c r="AQ790">
        <f>IF($AM790=1,IFERROR(IF(VALUE($D790)&lt;100000000,VALUE($D790),1000000000),IFERROR(IF(VALUE(MID($D790,2,20))&lt;100000000,VALUE(MID($D790,2,20)),1000000000),1000000000))+ROW()/100000,"")</f>
        <v/>
      </c>
    </row>
    <row r="791">
      <c r="F791" s="11" t="n"/>
      <c r="P791" s="7">
        <f>IF($D791="","",O791*X791/100)</f>
        <v/>
      </c>
      <c r="Q791" s="7" t="n"/>
      <c r="W791" s="7" t="n"/>
      <c r="X791" s="7" t="n"/>
      <c r="AA791">
        <f>IF($D791="","",IF($AP791=1,0,IF($AO791=1,Settings!$C$6,Settings!$C$7))*100)</f>
        <v/>
      </c>
      <c r="AB791" s="7">
        <f>IF($D791="","",X791*AA791/100)</f>
        <v/>
      </c>
      <c r="AC791" s="7">
        <f>IF($D791="","",X791-AB791)</f>
        <v/>
      </c>
      <c r="AD791" s="7">
        <f>IF($D791="","",AC791-P791)</f>
        <v/>
      </c>
      <c r="AH791" s="7" t="n"/>
      <c r="AK791" s="11" t="n"/>
      <c r="AM791">
        <f>IF($D791="","",IF(COUNTIF($D$2:$D791,$D791)=1,1,0))</f>
        <v/>
      </c>
      <c r="AN791">
        <f>IF($AM791=1,SUMPRODUCT(--($AQ$2:$AQ$1001&lt;$AQ791))+1,"")</f>
        <v/>
      </c>
      <c r="AO791">
        <f>IF($D791="","",IF(OR($T791=TRUE(),$T791="TRUE"),1,0))</f>
        <v/>
      </c>
      <c r="AP791">
        <f>IF($D791="","",IF($Z791="Yes",1,0))</f>
        <v/>
      </c>
      <c r="AQ791">
        <f>IF($AM791=1,IFERROR(IF(VALUE($D791)&lt;100000000,VALUE($D791),1000000000),IFERROR(IF(VALUE(MID($D791,2,20))&lt;100000000,VALUE(MID($D791,2,20)),1000000000),1000000000))+ROW()/100000,"")</f>
        <v/>
      </c>
    </row>
    <row r="792">
      <c r="F792" s="11" t="n"/>
      <c r="P792" s="7">
        <f>IF($D792="","",O792*X792/100)</f>
        <v/>
      </c>
      <c r="Q792" s="7" t="n"/>
      <c r="W792" s="7" t="n"/>
      <c r="X792" s="7" t="n"/>
      <c r="AA792">
        <f>IF($D792="","",IF($AP792=1,0,IF($AO792=1,Settings!$C$6,Settings!$C$7))*100)</f>
        <v/>
      </c>
      <c r="AB792" s="7">
        <f>IF($D792="","",X792*AA792/100)</f>
        <v/>
      </c>
      <c r="AC792" s="7">
        <f>IF($D792="","",X792-AB792)</f>
        <v/>
      </c>
      <c r="AD792" s="7">
        <f>IF($D792="","",AC792-P792)</f>
        <v/>
      </c>
      <c r="AH792" s="7" t="n"/>
      <c r="AK792" s="11" t="n"/>
      <c r="AM792">
        <f>IF($D792="","",IF(COUNTIF($D$2:$D792,$D792)=1,1,0))</f>
        <v/>
      </c>
      <c r="AN792">
        <f>IF($AM792=1,SUMPRODUCT(--($AQ$2:$AQ$1001&lt;$AQ792))+1,"")</f>
        <v/>
      </c>
      <c r="AO792">
        <f>IF($D792="","",IF(OR($T792=TRUE(),$T792="TRUE"),1,0))</f>
        <v/>
      </c>
      <c r="AP792">
        <f>IF($D792="","",IF($Z792="Yes",1,0))</f>
        <v/>
      </c>
      <c r="AQ792">
        <f>IF($AM792=1,IFERROR(IF(VALUE($D792)&lt;100000000,VALUE($D792),1000000000),IFERROR(IF(VALUE(MID($D792,2,20))&lt;100000000,VALUE(MID($D792,2,20)),1000000000),1000000000))+ROW()/100000,"")</f>
        <v/>
      </c>
    </row>
    <row r="793">
      <c r="F793" s="11" t="n"/>
      <c r="P793" s="7">
        <f>IF($D793="","",O793*X793/100)</f>
        <v/>
      </c>
      <c r="Q793" s="7" t="n"/>
      <c r="W793" s="7" t="n"/>
      <c r="X793" s="7" t="n"/>
      <c r="AA793">
        <f>IF($D793="","",IF($AP793=1,0,IF($AO793=1,Settings!$C$6,Settings!$C$7))*100)</f>
        <v/>
      </c>
      <c r="AB793" s="7">
        <f>IF($D793="","",X793*AA793/100)</f>
        <v/>
      </c>
      <c r="AC793" s="7">
        <f>IF($D793="","",X793-AB793)</f>
        <v/>
      </c>
      <c r="AD793" s="7">
        <f>IF($D793="","",AC793-P793)</f>
        <v/>
      </c>
      <c r="AH793" s="7" t="n"/>
      <c r="AK793" s="11" t="n"/>
      <c r="AM793">
        <f>IF($D793="","",IF(COUNTIF($D$2:$D793,$D793)=1,1,0))</f>
        <v/>
      </c>
      <c r="AN793">
        <f>IF($AM793=1,SUMPRODUCT(--($AQ$2:$AQ$1001&lt;$AQ793))+1,"")</f>
        <v/>
      </c>
      <c r="AO793">
        <f>IF($D793="","",IF(OR($T793=TRUE(),$T793="TRUE"),1,0))</f>
        <v/>
      </c>
      <c r="AP793">
        <f>IF($D793="","",IF($Z793="Yes",1,0))</f>
        <v/>
      </c>
      <c r="AQ793">
        <f>IF($AM793=1,IFERROR(IF(VALUE($D793)&lt;100000000,VALUE($D793),1000000000),IFERROR(IF(VALUE(MID($D793,2,20))&lt;100000000,VALUE(MID($D793,2,20)),1000000000),1000000000))+ROW()/100000,"")</f>
        <v/>
      </c>
    </row>
    <row r="794">
      <c r="F794" s="11" t="n"/>
      <c r="P794" s="7">
        <f>IF($D794="","",O794*X794/100)</f>
        <v/>
      </c>
      <c r="Q794" s="7" t="n"/>
      <c r="W794" s="7" t="n"/>
      <c r="X794" s="7" t="n"/>
      <c r="AA794">
        <f>IF($D794="","",IF($AP794=1,0,IF($AO794=1,Settings!$C$6,Settings!$C$7))*100)</f>
        <v/>
      </c>
      <c r="AB794" s="7">
        <f>IF($D794="","",X794*AA794/100)</f>
        <v/>
      </c>
      <c r="AC794" s="7">
        <f>IF($D794="","",X794-AB794)</f>
        <v/>
      </c>
      <c r="AD794" s="7">
        <f>IF($D794="","",AC794-P794)</f>
        <v/>
      </c>
      <c r="AH794" s="7" t="n"/>
      <c r="AK794" s="11" t="n"/>
      <c r="AM794">
        <f>IF($D794="","",IF(COUNTIF($D$2:$D794,$D794)=1,1,0))</f>
        <v/>
      </c>
      <c r="AN794">
        <f>IF($AM794=1,SUMPRODUCT(--($AQ$2:$AQ$1001&lt;$AQ794))+1,"")</f>
        <v/>
      </c>
      <c r="AO794">
        <f>IF($D794="","",IF(OR($T794=TRUE(),$T794="TRUE"),1,0))</f>
        <v/>
      </c>
      <c r="AP794">
        <f>IF($D794="","",IF($Z794="Yes",1,0))</f>
        <v/>
      </c>
      <c r="AQ794">
        <f>IF($AM794=1,IFERROR(IF(VALUE($D794)&lt;100000000,VALUE($D794),1000000000),IFERROR(IF(VALUE(MID($D794,2,20))&lt;100000000,VALUE(MID($D794,2,20)),1000000000),1000000000))+ROW()/100000,"")</f>
        <v/>
      </c>
    </row>
    <row r="795">
      <c r="F795" s="11" t="n"/>
      <c r="P795" s="7">
        <f>IF($D795="","",O795*X795/100)</f>
        <v/>
      </c>
      <c r="Q795" s="7" t="n"/>
      <c r="W795" s="7" t="n"/>
      <c r="X795" s="7" t="n"/>
      <c r="AA795">
        <f>IF($D795="","",IF($AP795=1,0,IF($AO795=1,Settings!$C$6,Settings!$C$7))*100)</f>
        <v/>
      </c>
      <c r="AB795" s="7">
        <f>IF($D795="","",X795*AA795/100)</f>
        <v/>
      </c>
      <c r="AC795" s="7">
        <f>IF($D795="","",X795-AB795)</f>
        <v/>
      </c>
      <c r="AD795" s="7">
        <f>IF($D795="","",AC795-P795)</f>
        <v/>
      </c>
      <c r="AH795" s="7" t="n"/>
      <c r="AK795" s="11" t="n"/>
      <c r="AM795">
        <f>IF($D795="","",IF(COUNTIF($D$2:$D795,$D795)=1,1,0))</f>
        <v/>
      </c>
      <c r="AN795">
        <f>IF($AM795=1,SUMPRODUCT(--($AQ$2:$AQ$1001&lt;$AQ795))+1,"")</f>
        <v/>
      </c>
      <c r="AO795">
        <f>IF($D795="","",IF(OR($T795=TRUE(),$T795="TRUE"),1,0))</f>
        <v/>
      </c>
      <c r="AP795">
        <f>IF($D795="","",IF($Z795="Yes",1,0))</f>
        <v/>
      </c>
      <c r="AQ795">
        <f>IF($AM795=1,IFERROR(IF(VALUE($D795)&lt;100000000,VALUE($D795),1000000000),IFERROR(IF(VALUE(MID($D795,2,20))&lt;100000000,VALUE(MID($D795,2,20)),1000000000),1000000000))+ROW()/100000,"")</f>
        <v/>
      </c>
    </row>
    <row r="796">
      <c r="F796" s="11" t="n"/>
      <c r="P796" s="7">
        <f>IF($D796="","",O796*X796/100)</f>
        <v/>
      </c>
      <c r="Q796" s="7" t="n"/>
      <c r="W796" s="7" t="n"/>
      <c r="X796" s="7" t="n"/>
      <c r="AA796">
        <f>IF($D796="","",IF($AP796=1,0,IF($AO796=1,Settings!$C$6,Settings!$C$7))*100)</f>
        <v/>
      </c>
      <c r="AB796" s="7">
        <f>IF($D796="","",X796*AA796/100)</f>
        <v/>
      </c>
      <c r="AC796" s="7">
        <f>IF($D796="","",X796-AB796)</f>
        <v/>
      </c>
      <c r="AD796" s="7">
        <f>IF($D796="","",AC796-P796)</f>
        <v/>
      </c>
      <c r="AH796" s="7" t="n"/>
      <c r="AK796" s="11" t="n"/>
      <c r="AM796">
        <f>IF($D796="","",IF(COUNTIF($D$2:$D796,$D796)=1,1,0))</f>
        <v/>
      </c>
      <c r="AN796">
        <f>IF($AM796=1,SUMPRODUCT(--($AQ$2:$AQ$1001&lt;$AQ796))+1,"")</f>
        <v/>
      </c>
      <c r="AO796">
        <f>IF($D796="","",IF(OR($T796=TRUE(),$T796="TRUE"),1,0))</f>
        <v/>
      </c>
      <c r="AP796">
        <f>IF($D796="","",IF($Z796="Yes",1,0))</f>
        <v/>
      </c>
      <c r="AQ796">
        <f>IF($AM796=1,IFERROR(IF(VALUE($D796)&lt;100000000,VALUE($D796),1000000000),IFERROR(IF(VALUE(MID($D796,2,20))&lt;100000000,VALUE(MID($D796,2,20)),1000000000),1000000000))+ROW()/100000,"")</f>
        <v/>
      </c>
    </row>
    <row r="797">
      <c r="F797" s="11" t="n"/>
      <c r="P797" s="7">
        <f>IF($D797="","",O797*X797/100)</f>
        <v/>
      </c>
      <c r="Q797" s="7" t="n"/>
      <c r="W797" s="7" t="n"/>
      <c r="X797" s="7" t="n"/>
      <c r="AA797">
        <f>IF($D797="","",IF($AP797=1,0,IF($AO797=1,Settings!$C$6,Settings!$C$7))*100)</f>
        <v/>
      </c>
      <c r="AB797" s="7">
        <f>IF($D797="","",X797*AA797/100)</f>
        <v/>
      </c>
      <c r="AC797" s="7">
        <f>IF($D797="","",X797-AB797)</f>
        <v/>
      </c>
      <c r="AD797" s="7">
        <f>IF($D797="","",AC797-P797)</f>
        <v/>
      </c>
      <c r="AH797" s="7" t="n"/>
      <c r="AK797" s="11" t="n"/>
      <c r="AM797">
        <f>IF($D797="","",IF(COUNTIF($D$2:$D797,$D797)=1,1,0))</f>
        <v/>
      </c>
      <c r="AN797">
        <f>IF($AM797=1,SUMPRODUCT(--($AQ$2:$AQ$1001&lt;$AQ797))+1,"")</f>
        <v/>
      </c>
      <c r="AO797">
        <f>IF($D797="","",IF(OR($T797=TRUE(),$T797="TRUE"),1,0))</f>
        <v/>
      </c>
      <c r="AP797">
        <f>IF($D797="","",IF($Z797="Yes",1,0))</f>
        <v/>
      </c>
      <c r="AQ797">
        <f>IF($AM797=1,IFERROR(IF(VALUE($D797)&lt;100000000,VALUE($D797),1000000000),IFERROR(IF(VALUE(MID($D797,2,20))&lt;100000000,VALUE(MID($D797,2,20)),1000000000),1000000000))+ROW()/100000,"")</f>
        <v/>
      </c>
    </row>
    <row r="798">
      <c r="F798" s="11" t="n"/>
      <c r="P798" s="7">
        <f>IF($D798="","",O798*X798/100)</f>
        <v/>
      </c>
      <c r="Q798" s="7" t="n"/>
      <c r="W798" s="7" t="n"/>
      <c r="X798" s="7" t="n"/>
      <c r="AA798">
        <f>IF($D798="","",IF($AP798=1,0,IF($AO798=1,Settings!$C$6,Settings!$C$7))*100)</f>
        <v/>
      </c>
      <c r="AB798" s="7">
        <f>IF($D798="","",X798*AA798/100)</f>
        <v/>
      </c>
      <c r="AC798" s="7">
        <f>IF($D798="","",X798-AB798)</f>
        <v/>
      </c>
      <c r="AD798" s="7">
        <f>IF($D798="","",AC798-P798)</f>
        <v/>
      </c>
      <c r="AH798" s="7" t="n"/>
      <c r="AK798" s="11" t="n"/>
      <c r="AM798">
        <f>IF($D798="","",IF(COUNTIF($D$2:$D798,$D798)=1,1,0))</f>
        <v/>
      </c>
      <c r="AN798">
        <f>IF($AM798=1,SUMPRODUCT(--($AQ$2:$AQ$1001&lt;$AQ798))+1,"")</f>
        <v/>
      </c>
      <c r="AO798">
        <f>IF($D798="","",IF(OR($T798=TRUE(),$T798="TRUE"),1,0))</f>
        <v/>
      </c>
      <c r="AP798">
        <f>IF($D798="","",IF($Z798="Yes",1,0))</f>
        <v/>
      </c>
      <c r="AQ798">
        <f>IF($AM798=1,IFERROR(IF(VALUE($D798)&lt;100000000,VALUE($D798),1000000000),IFERROR(IF(VALUE(MID($D798,2,20))&lt;100000000,VALUE(MID($D798,2,20)),1000000000),1000000000))+ROW()/100000,"")</f>
        <v/>
      </c>
    </row>
    <row r="799">
      <c r="F799" s="11" t="n"/>
      <c r="P799" s="7">
        <f>IF($D799="","",O799*X799/100)</f>
        <v/>
      </c>
      <c r="Q799" s="7" t="n"/>
      <c r="W799" s="7" t="n"/>
      <c r="X799" s="7" t="n"/>
      <c r="AA799">
        <f>IF($D799="","",IF($AP799=1,0,IF($AO799=1,Settings!$C$6,Settings!$C$7))*100)</f>
        <v/>
      </c>
      <c r="AB799" s="7">
        <f>IF($D799="","",X799*AA799/100)</f>
        <v/>
      </c>
      <c r="AC799" s="7">
        <f>IF($D799="","",X799-AB799)</f>
        <v/>
      </c>
      <c r="AD799" s="7">
        <f>IF($D799="","",AC799-P799)</f>
        <v/>
      </c>
      <c r="AH799" s="7" t="n"/>
      <c r="AK799" s="11" t="n"/>
      <c r="AM799">
        <f>IF($D799="","",IF(COUNTIF($D$2:$D799,$D799)=1,1,0))</f>
        <v/>
      </c>
      <c r="AN799">
        <f>IF($AM799=1,SUMPRODUCT(--($AQ$2:$AQ$1001&lt;$AQ799))+1,"")</f>
        <v/>
      </c>
      <c r="AO799">
        <f>IF($D799="","",IF(OR($T799=TRUE(),$T799="TRUE"),1,0))</f>
        <v/>
      </c>
      <c r="AP799">
        <f>IF($D799="","",IF($Z799="Yes",1,0))</f>
        <v/>
      </c>
      <c r="AQ799">
        <f>IF($AM799=1,IFERROR(IF(VALUE($D799)&lt;100000000,VALUE($D799),1000000000),IFERROR(IF(VALUE(MID($D799,2,20))&lt;100000000,VALUE(MID($D799,2,20)),1000000000),1000000000))+ROW()/100000,"")</f>
        <v/>
      </c>
    </row>
    <row r="800">
      <c r="F800" s="11" t="n"/>
      <c r="P800" s="7">
        <f>IF($D800="","",O800*X800/100)</f>
        <v/>
      </c>
      <c r="Q800" s="7" t="n"/>
      <c r="W800" s="7" t="n"/>
      <c r="X800" s="7" t="n"/>
      <c r="AA800">
        <f>IF($D800="","",IF($AP800=1,0,IF($AO800=1,Settings!$C$6,Settings!$C$7))*100)</f>
        <v/>
      </c>
      <c r="AB800" s="7">
        <f>IF($D800="","",X800*AA800/100)</f>
        <v/>
      </c>
      <c r="AC800" s="7">
        <f>IF($D800="","",X800-AB800)</f>
        <v/>
      </c>
      <c r="AD800" s="7">
        <f>IF($D800="","",AC800-P800)</f>
        <v/>
      </c>
      <c r="AH800" s="7" t="n"/>
      <c r="AK800" s="11" t="n"/>
      <c r="AM800">
        <f>IF($D800="","",IF(COUNTIF($D$2:$D800,$D800)=1,1,0))</f>
        <v/>
      </c>
      <c r="AN800">
        <f>IF($AM800=1,SUMPRODUCT(--($AQ$2:$AQ$1001&lt;$AQ800))+1,"")</f>
        <v/>
      </c>
      <c r="AO800">
        <f>IF($D800="","",IF(OR($T800=TRUE(),$T800="TRUE"),1,0))</f>
        <v/>
      </c>
      <c r="AP800">
        <f>IF($D800="","",IF($Z800="Yes",1,0))</f>
        <v/>
      </c>
      <c r="AQ800">
        <f>IF($AM800=1,IFERROR(IF(VALUE($D800)&lt;100000000,VALUE($D800),1000000000),IFERROR(IF(VALUE(MID($D800,2,20))&lt;100000000,VALUE(MID($D800,2,20)),1000000000),1000000000))+ROW()/100000,"")</f>
        <v/>
      </c>
    </row>
    <row r="801">
      <c r="F801" s="11" t="n"/>
      <c r="P801" s="7">
        <f>IF($D801="","",O801*X801/100)</f>
        <v/>
      </c>
      <c r="Q801" s="7" t="n"/>
      <c r="W801" s="7" t="n"/>
      <c r="X801" s="7" t="n"/>
      <c r="AA801">
        <f>IF($D801="","",IF($AP801=1,0,IF($AO801=1,Settings!$C$6,Settings!$C$7))*100)</f>
        <v/>
      </c>
      <c r="AB801" s="7">
        <f>IF($D801="","",X801*AA801/100)</f>
        <v/>
      </c>
      <c r="AC801" s="7">
        <f>IF($D801="","",X801-AB801)</f>
        <v/>
      </c>
      <c r="AD801" s="7">
        <f>IF($D801="","",AC801-P801)</f>
        <v/>
      </c>
      <c r="AH801" s="7" t="n"/>
      <c r="AK801" s="11" t="n"/>
      <c r="AM801">
        <f>IF($D801="","",IF(COUNTIF($D$2:$D801,$D801)=1,1,0))</f>
        <v/>
      </c>
      <c r="AN801">
        <f>IF($AM801=1,SUMPRODUCT(--($AQ$2:$AQ$1001&lt;$AQ801))+1,"")</f>
        <v/>
      </c>
      <c r="AO801">
        <f>IF($D801="","",IF(OR($T801=TRUE(),$T801="TRUE"),1,0))</f>
        <v/>
      </c>
      <c r="AP801">
        <f>IF($D801="","",IF($Z801="Yes",1,0))</f>
        <v/>
      </c>
      <c r="AQ801">
        <f>IF($AM801=1,IFERROR(IF(VALUE($D801)&lt;100000000,VALUE($D801),1000000000),IFERROR(IF(VALUE(MID($D801,2,20))&lt;100000000,VALUE(MID($D801,2,20)),1000000000),1000000000))+ROW()/100000,"")</f>
        <v/>
      </c>
    </row>
    <row r="802">
      <c r="F802" s="11" t="n"/>
      <c r="P802" s="7">
        <f>IF($D802="","",O802*X802/100)</f>
        <v/>
      </c>
      <c r="Q802" s="7" t="n"/>
      <c r="W802" s="7" t="n"/>
      <c r="X802" s="7" t="n"/>
      <c r="AA802">
        <f>IF($D802="","",IF($AP802=1,0,IF($AO802=1,Settings!$C$6,Settings!$C$7))*100)</f>
        <v/>
      </c>
      <c r="AB802" s="7">
        <f>IF($D802="","",X802*AA802/100)</f>
        <v/>
      </c>
      <c r="AC802" s="7">
        <f>IF($D802="","",X802-AB802)</f>
        <v/>
      </c>
      <c r="AD802" s="7">
        <f>IF($D802="","",AC802-P802)</f>
        <v/>
      </c>
      <c r="AH802" s="7" t="n"/>
      <c r="AK802" s="11" t="n"/>
      <c r="AM802">
        <f>IF($D802="","",IF(COUNTIF($D$2:$D802,$D802)=1,1,0))</f>
        <v/>
      </c>
      <c r="AN802">
        <f>IF($AM802=1,SUMPRODUCT(--($AQ$2:$AQ$1001&lt;$AQ802))+1,"")</f>
        <v/>
      </c>
      <c r="AO802">
        <f>IF($D802="","",IF(OR($T802=TRUE(),$T802="TRUE"),1,0))</f>
        <v/>
      </c>
      <c r="AP802">
        <f>IF($D802="","",IF($Z802="Yes",1,0))</f>
        <v/>
      </c>
      <c r="AQ802">
        <f>IF($AM802=1,IFERROR(IF(VALUE($D802)&lt;100000000,VALUE($D802),1000000000),IFERROR(IF(VALUE(MID($D802,2,20))&lt;100000000,VALUE(MID($D802,2,20)),1000000000),1000000000))+ROW()/100000,"")</f>
        <v/>
      </c>
    </row>
    <row r="803">
      <c r="F803" s="11" t="n"/>
      <c r="P803" s="7">
        <f>IF($D803="","",O803*X803/100)</f>
        <v/>
      </c>
      <c r="Q803" s="7" t="n"/>
      <c r="W803" s="7" t="n"/>
      <c r="X803" s="7" t="n"/>
      <c r="AA803">
        <f>IF($D803="","",IF($AP803=1,0,IF($AO803=1,Settings!$C$6,Settings!$C$7))*100)</f>
        <v/>
      </c>
      <c r="AB803" s="7">
        <f>IF($D803="","",X803*AA803/100)</f>
        <v/>
      </c>
      <c r="AC803" s="7">
        <f>IF($D803="","",X803-AB803)</f>
        <v/>
      </c>
      <c r="AD803" s="7">
        <f>IF($D803="","",AC803-P803)</f>
        <v/>
      </c>
      <c r="AH803" s="7" t="n"/>
      <c r="AK803" s="11" t="n"/>
      <c r="AM803">
        <f>IF($D803="","",IF(COUNTIF($D$2:$D803,$D803)=1,1,0))</f>
        <v/>
      </c>
      <c r="AN803">
        <f>IF($AM803=1,SUMPRODUCT(--($AQ$2:$AQ$1001&lt;$AQ803))+1,"")</f>
        <v/>
      </c>
      <c r="AO803">
        <f>IF($D803="","",IF(OR($T803=TRUE(),$T803="TRUE"),1,0))</f>
        <v/>
      </c>
      <c r="AP803">
        <f>IF($D803="","",IF($Z803="Yes",1,0))</f>
        <v/>
      </c>
      <c r="AQ803">
        <f>IF($AM803=1,IFERROR(IF(VALUE($D803)&lt;100000000,VALUE($D803),1000000000),IFERROR(IF(VALUE(MID($D803,2,20))&lt;100000000,VALUE(MID($D803,2,20)),1000000000),1000000000))+ROW()/100000,"")</f>
        <v/>
      </c>
    </row>
    <row r="804">
      <c r="F804" s="11" t="n"/>
      <c r="P804" s="7">
        <f>IF($D804="","",O804*X804/100)</f>
        <v/>
      </c>
      <c r="Q804" s="7" t="n"/>
      <c r="W804" s="7" t="n"/>
      <c r="X804" s="7" t="n"/>
      <c r="AA804">
        <f>IF($D804="","",IF($AP804=1,0,IF($AO804=1,Settings!$C$6,Settings!$C$7))*100)</f>
        <v/>
      </c>
      <c r="AB804" s="7">
        <f>IF($D804="","",X804*AA804/100)</f>
        <v/>
      </c>
      <c r="AC804" s="7">
        <f>IF($D804="","",X804-AB804)</f>
        <v/>
      </c>
      <c r="AD804" s="7">
        <f>IF($D804="","",AC804-P804)</f>
        <v/>
      </c>
      <c r="AH804" s="7" t="n"/>
      <c r="AK804" s="11" t="n"/>
      <c r="AM804">
        <f>IF($D804="","",IF(COUNTIF($D$2:$D804,$D804)=1,1,0))</f>
        <v/>
      </c>
      <c r="AN804">
        <f>IF($AM804=1,SUMPRODUCT(--($AQ$2:$AQ$1001&lt;$AQ804))+1,"")</f>
        <v/>
      </c>
      <c r="AO804">
        <f>IF($D804="","",IF(OR($T804=TRUE(),$T804="TRUE"),1,0))</f>
        <v/>
      </c>
      <c r="AP804">
        <f>IF($D804="","",IF($Z804="Yes",1,0))</f>
        <v/>
      </c>
      <c r="AQ804">
        <f>IF($AM804=1,IFERROR(IF(VALUE($D804)&lt;100000000,VALUE($D804),1000000000),IFERROR(IF(VALUE(MID($D804,2,20))&lt;100000000,VALUE(MID($D804,2,20)),1000000000),1000000000))+ROW()/100000,"")</f>
        <v/>
      </c>
    </row>
    <row r="805">
      <c r="F805" s="11" t="n"/>
      <c r="P805" s="7">
        <f>IF($D805="","",O805*X805/100)</f>
        <v/>
      </c>
      <c r="Q805" s="7" t="n"/>
      <c r="W805" s="7" t="n"/>
      <c r="X805" s="7" t="n"/>
      <c r="AA805">
        <f>IF($D805="","",IF($AP805=1,0,IF($AO805=1,Settings!$C$6,Settings!$C$7))*100)</f>
        <v/>
      </c>
      <c r="AB805" s="7">
        <f>IF($D805="","",X805*AA805/100)</f>
        <v/>
      </c>
      <c r="AC805" s="7">
        <f>IF($D805="","",X805-AB805)</f>
        <v/>
      </c>
      <c r="AD805" s="7">
        <f>IF($D805="","",AC805-P805)</f>
        <v/>
      </c>
      <c r="AH805" s="7" t="n"/>
      <c r="AK805" s="11" t="n"/>
      <c r="AM805">
        <f>IF($D805="","",IF(COUNTIF($D$2:$D805,$D805)=1,1,0))</f>
        <v/>
      </c>
      <c r="AN805">
        <f>IF($AM805=1,SUMPRODUCT(--($AQ$2:$AQ$1001&lt;$AQ805))+1,"")</f>
        <v/>
      </c>
      <c r="AO805">
        <f>IF($D805="","",IF(OR($T805=TRUE(),$T805="TRUE"),1,0))</f>
        <v/>
      </c>
      <c r="AP805">
        <f>IF($D805="","",IF($Z805="Yes",1,0))</f>
        <v/>
      </c>
      <c r="AQ805">
        <f>IF($AM805=1,IFERROR(IF(VALUE($D805)&lt;100000000,VALUE($D805),1000000000),IFERROR(IF(VALUE(MID($D805,2,20))&lt;100000000,VALUE(MID($D805,2,20)),1000000000),1000000000))+ROW()/100000,"")</f>
        <v/>
      </c>
    </row>
    <row r="806">
      <c r="F806" s="11" t="n"/>
      <c r="P806" s="7">
        <f>IF($D806="","",O806*X806/100)</f>
        <v/>
      </c>
      <c r="Q806" s="7" t="n"/>
      <c r="W806" s="7" t="n"/>
      <c r="X806" s="7" t="n"/>
      <c r="AA806">
        <f>IF($D806="","",IF($AP806=1,0,IF($AO806=1,Settings!$C$6,Settings!$C$7))*100)</f>
        <v/>
      </c>
      <c r="AB806" s="7">
        <f>IF($D806="","",X806*AA806/100)</f>
        <v/>
      </c>
      <c r="AC806" s="7">
        <f>IF($D806="","",X806-AB806)</f>
        <v/>
      </c>
      <c r="AD806" s="7">
        <f>IF($D806="","",AC806-P806)</f>
        <v/>
      </c>
      <c r="AH806" s="7" t="n"/>
      <c r="AK806" s="11" t="n"/>
      <c r="AM806">
        <f>IF($D806="","",IF(COUNTIF($D$2:$D806,$D806)=1,1,0))</f>
        <v/>
      </c>
      <c r="AN806">
        <f>IF($AM806=1,SUMPRODUCT(--($AQ$2:$AQ$1001&lt;$AQ806))+1,"")</f>
        <v/>
      </c>
      <c r="AO806">
        <f>IF($D806="","",IF(OR($T806=TRUE(),$T806="TRUE"),1,0))</f>
        <v/>
      </c>
      <c r="AP806">
        <f>IF($D806="","",IF($Z806="Yes",1,0))</f>
        <v/>
      </c>
      <c r="AQ806">
        <f>IF($AM806=1,IFERROR(IF(VALUE($D806)&lt;100000000,VALUE($D806),1000000000),IFERROR(IF(VALUE(MID($D806,2,20))&lt;100000000,VALUE(MID($D806,2,20)),1000000000),1000000000))+ROW()/100000,"")</f>
        <v/>
      </c>
    </row>
    <row r="807">
      <c r="F807" s="11" t="n"/>
      <c r="P807" s="7">
        <f>IF($D807="","",O807*X807/100)</f>
        <v/>
      </c>
      <c r="Q807" s="7" t="n"/>
      <c r="W807" s="7" t="n"/>
      <c r="X807" s="7" t="n"/>
      <c r="AA807">
        <f>IF($D807="","",IF($AP807=1,0,IF($AO807=1,Settings!$C$6,Settings!$C$7))*100)</f>
        <v/>
      </c>
      <c r="AB807" s="7">
        <f>IF($D807="","",X807*AA807/100)</f>
        <v/>
      </c>
      <c r="AC807" s="7">
        <f>IF($D807="","",X807-AB807)</f>
        <v/>
      </c>
      <c r="AD807" s="7">
        <f>IF($D807="","",AC807-P807)</f>
        <v/>
      </c>
      <c r="AH807" s="7" t="n"/>
      <c r="AK807" s="11" t="n"/>
      <c r="AM807">
        <f>IF($D807="","",IF(COUNTIF($D$2:$D807,$D807)=1,1,0))</f>
        <v/>
      </c>
      <c r="AN807">
        <f>IF($AM807=1,SUMPRODUCT(--($AQ$2:$AQ$1001&lt;$AQ807))+1,"")</f>
        <v/>
      </c>
      <c r="AO807">
        <f>IF($D807="","",IF(OR($T807=TRUE(),$T807="TRUE"),1,0))</f>
        <v/>
      </c>
      <c r="AP807">
        <f>IF($D807="","",IF($Z807="Yes",1,0))</f>
        <v/>
      </c>
      <c r="AQ807">
        <f>IF($AM807=1,IFERROR(IF(VALUE($D807)&lt;100000000,VALUE($D807),1000000000),IFERROR(IF(VALUE(MID($D807,2,20))&lt;100000000,VALUE(MID($D807,2,20)),1000000000),1000000000))+ROW()/100000,"")</f>
        <v/>
      </c>
    </row>
    <row r="808">
      <c r="F808" s="11" t="n"/>
      <c r="P808" s="7">
        <f>IF($D808="","",O808*X808/100)</f>
        <v/>
      </c>
      <c r="Q808" s="7" t="n"/>
      <c r="W808" s="7" t="n"/>
      <c r="X808" s="7" t="n"/>
      <c r="AA808">
        <f>IF($D808="","",IF($AP808=1,0,IF($AO808=1,Settings!$C$6,Settings!$C$7))*100)</f>
        <v/>
      </c>
      <c r="AB808" s="7">
        <f>IF($D808="","",X808*AA808/100)</f>
        <v/>
      </c>
      <c r="AC808" s="7">
        <f>IF($D808="","",X808-AB808)</f>
        <v/>
      </c>
      <c r="AD808" s="7">
        <f>IF($D808="","",AC808-P808)</f>
        <v/>
      </c>
      <c r="AH808" s="7" t="n"/>
      <c r="AK808" s="11" t="n"/>
      <c r="AM808">
        <f>IF($D808="","",IF(COUNTIF($D$2:$D808,$D808)=1,1,0))</f>
        <v/>
      </c>
      <c r="AN808">
        <f>IF($AM808=1,SUMPRODUCT(--($AQ$2:$AQ$1001&lt;$AQ808))+1,"")</f>
        <v/>
      </c>
      <c r="AO808">
        <f>IF($D808="","",IF(OR($T808=TRUE(),$T808="TRUE"),1,0))</f>
        <v/>
      </c>
      <c r="AP808">
        <f>IF($D808="","",IF($Z808="Yes",1,0))</f>
        <v/>
      </c>
      <c r="AQ808">
        <f>IF($AM808=1,IFERROR(IF(VALUE($D808)&lt;100000000,VALUE($D808),1000000000),IFERROR(IF(VALUE(MID($D808,2,20))&lt;100000000,VALUE(MID($D808,2,20)),1000000000),1000000000))+ROW()/100000,"")</f>
        <v/>
      </c>
    </row>
    <row r="809">
      <c r="F809" s="11" t="n"/>
      <c r="P809" s="7">
        <f>IF($D809="","",O809*X809/100)</f>
        <v/>
      </c>
      <c r="Q809" s="7" t="n"/>
      <c r="W809" s="7" t="n"/>
      <c r="X809" s="7" t="n"/>
      <c r="AA809">
        <f>IF($D809="","",IF($AP809=1,0,IF($AO809=1,Settings!$C$6,Settings!$C$7))*100)</f>
        <v/>
      </c>
      <c r="AB809" s="7">
        <f>IF($D809="","",X809*AA809/100)</f>
        <v/>
      </c>
      <c r="AC809" s="7">
        <f>IF($D809="","",X809-AB809)</f>
        <v/>
      </c>
      <c r="AD809" s="7">
        <f>IF($D809="","",AC809-P809)</f>
        <v/>
      </c>
      <c r="AH809" s="7" t="n"/>
      <c r="AK809" s="11" t="n"/>
      <c r="AM809">
        <f>IF($D809="","",IF(COUNTIF($D$2:$D809,$D809)=1,1,0))</f>
        <v/>
      </c>
      <c r="AN809">
        <f>IF($AM809=1,SUMPRODUCT(--($AQ$2:$AQ$1001&lt;$AQ809))+1,"")</f>
        <v/>
      </c>
      <c r="AO809">
        <f>IF($D809="","",IF(OR($T809=TRUE(),$T809="TRUE"),1,0))</f>
        <v/>
      </c>
      <c r="AP809">
        <f>IF($D809="","",IF($Z809="Yes",1,0))</f>
        <v/>
      </c>
      <c r="AQ809">
        <f>IF($AM809=1,IFERROR(IF(VALUE($D809)&lt;100000000,VALUE($D809),1000000000),IFERROR(IF(VALUE(MID($D809,2,20))&lt;100000000,VALUE(MID($D809,2,20)),1000000000),1000000000))+ROW()/100000,"")</f>
        <v/>
      </c>
    </row>
    <row r="810">
      <c r="F810" s="11" t="n"/>
      <c r="P810" s="7">
        <f>IF($D810="","",O810*X810/100)</f>
        <v/>
      </c>
      <c r="Q810" s="7" t="n"/>
      <c r="W810" s="7" t="n"/>
      <c r="X810" s="7" t="n"/>
      <c r="AA810">
        <f>IF($D810="","",IF($AP810=1,0,IF($AO810=1,Settings!$C$6,Settings!$C$7))*100)</f>
        <v/>
      </c>
      <c r="AB810" s="7">
        <f>IF($D810="","",X810*AA810/100)</f>
        <v/>
      </c>
      <c r="AC810" s="7">
        <f>IF($D810="","",X810-AB810)</f>
        <v/>
      </c>
      <c r="AD810" s="7">
        <f>IF($D810="","",AC810-P810)</f>
        <v/>
      </c>
      <c r="AH810" s="7" t="n"/>
      <c r="AK810" s="11" t="n"/>
      <c r="AM810">
        <f>IF($D810="","",IF(COUNTIF($D$2:$D810,$D810)=1,1,0))</f>
        <v/>
      </c>
      <c r="AN810">
        <f>IF($AM810=1,SUMPRODUCT(--($AQ$2:$AQ$1001&lt;$AQ810))+1,"")</f>
        <v/>
      </c>
      <c r="AO810">
        <f>IF($D810="","",IF(OR($T810=TRUE(),$T810="TRUE"),1,0))</f>
        <v/>
      </c>
      <c r="AP810">
        <f>IF($D810="","",IF($Z810="Yes",1,0))</f>
        <v/>
      </c>
      <c r="AQ810">
        <f>IF($AM810=1,IFERROR(IF(VALUE($D810)&lt;100000000,VALUE($D810),1000000000),IFERROR(IF(VALUE(MID($D810,2,20))&lt;100000000,VALUE(MID($D810,2,20)),1000000000),1000000000))+ROW()/100000,"")</f>
        <v/>
      </c>
    </row>
    <row r="811">
      <c r="F811" s="11" t="n"/>
      <c r="P811" s="7">
        <f>IF($D811="","",O811*X811/100)</f>
        <v/>
      </c>
      <c r="Q811" s="7" t="n"/>
      <c r="W811" s="7" t="n"/>
      <c r="X811" s="7" t="n"/>
      <c r="AA811">
        <f>IF($D811="","",IF($AP811=1,0,IF($AO811=1,Settings!$C$6,Settings!$C$7))*100)</f>
        <v/>
      </c>
      <c r="AB811" s="7">
        <f>IF($D811="","",X811*AA811/100)</f>
        <v/>
      </c>
      <c r="AC811" s="7">
        <f>IF($D811="","",X811-AB811)</f>
        <v/>
      </c>
      <c r="AD811" s="7">
        <f>IF($D811="","",AC811-P811)</f>
        <v/>
      </c>
      <c r="AH811" s="7" t="n"/>
      <c r="AK811" s="11" t="n"/>
      <c r="AM811">
        <f>IF($D811="","",IF(COUNTIF($D$2:$D811,$D811)=1,1,0))</f>
        <v/>
      </c>
      <c r="AN811">
        <f>IF($AM811=1,SUMPRODUCT(--($AQ$2:$AQ$1001&lt;$AQ811))+1,"")</f>
        <v/>
      </c>
      <c r="AO811">
        <f>IF($D811="","",IF(OR($T811=TRUE(),$T811="TRUE"),1,0))</f>
        <v/>
      </c>
      <c r="AP811">
        <f>IF($D811="","",IF($Z811="Yes",1,0))</f>
        <v/>
      </c>
      <c r="AQ811">
        <f>IF($AM811=1,IFERROR(IF(VALUE($D811)&lt;100000000,VALUE($D811),1000000000),IFERROR(IF(VALUE(MID($D811,2,20))&lt;100000000,VALUE(MID($D811,2,20)),1000000000),1000000000))+ROW()/100000,"")</f>
        <v/>
      </c>
    </row>
    <row r="812">
      <c r="F812" s="11" t="n"/>
      <c r="P812" s="7">
        <f>IF($D812="","",O812*X812/100)</f>
        <v/>
      </c>
      <c r="Q812" s="7" t="n"/>
      <c r="W812" s="7" t="n"/>
      <c r="X812" s="7" t="n"/>
      <c r="AA812">
        <f>IF($D812="","",IF($AP812=1,0,IF($AO812=1,Settings!$C$6,Settings!$C$7))*100)</f>
        <v/>
      </c>
      <c r="AB812" s="7">
        <f>IF($D812="","",X812*AA812/100)</f>
        <v/>
      </c>
      <c r="AC812" s="7">
        <f>IF($D812="","",X812-AB812)</f>
        <v/>
      </c>
      <c r="AD812" s="7">
        <f>IF($D812="","",AC812-P812)</f>
        <v/>
      </c>
      <c r="AH812" s="7" t="n"/>
      <c r="AK812" s="11" t="n"/>
      <c r="AM812">
        <f>IF($D812="","",IF(COUNTIF($D$2:$D812,$D812)=1,1,0))</f>
        <v/>
      </c>
      <c r="AN812">
        <f>IF($AM812=1,SUMPRODUCT(--($AQ$2:$AQ$1001&lt;$AQ812))+1,"")</f>
        <v/>
      </c>
      <c r="AO812">
        <f>IF($D812="","",IF(OR($T812=TRUE(),$T812="TRUE"),1,0))</f>
        <v/>
      </c>
      <c r="AP812">
        <f>IF($D812="","",IF($Z812="Yes",1,0))</f>
        <v/>
      </c>
      <c r="AQ812">
        <f>IF($AM812=1,IFERROR(IF(VALUE($D812)&lt;100000000,VALUE($D812),1000000000),IFERROR(IF(VALUE(MID($D812,2,20))&lt;100000000,VALUE(MID($D812,2,20)),1000000000),1000000000))+ROW()/100000,"")</f>
        <v/>
      </c>
    </row>
    <row r="813">
      <c r="F813" s="11" t="n"/>
      <c r="P813" s="7">
        <f>IF($D813="","",O813*X813/100)</f>
        <v/>
      </c>
      <c r="Q813" s="7" t="n"/>
      <c r="W813" s="7" t="n"/>
      <c r="X813" s="7" t="n"/>
      <c r="AA813">
        <f>IF($D813="","",IF($AP813=1,0,IF($AO813=1,Settings!$C$6,Settings!$C$7))*100)</f>
        <v/>
      </c>
      <c r="AB813" s="7">
        <f>IF($D813="","",X813*AA813/100)</f>
        <v/>
      </c>
      <c r="AC813" s="7">
        <f>IF($D813="","",X813-AB813)</f>
        <v/>
      </c>
      <c r="AD813" s="7">
        <f>IF($D813="","",AC813-P813)</f>
        <v/>
      </c>
      <c r="AH813" s="7" t="n"/>
      <c r="AK813" s="11" t="n"/>
      <c r="AM813">
        <f>IF($D813="","",IF(COUNTIF($D$2:$D813,$D813)=1,1,0))</f>
        <v/>
      </c>
      <c r="AN813">
        <f>IF($AM813=1,SUMPRODUCT(--($AQ$2:$AQ$1001&lt;$AQ813))+1,"")</f>
        <v/>
      </c>
      <c r="AO813">
        <f>IF($D813="","",IF(OR($T813=TRUE(),$T813="TRUE"),1,0))</f>
        <v/>
      </c>
      <c r="AP813">
        <f>IF($D813="","",IF($Z813="Yes",1,0))</f>
        <v/>
      </c>
      <c r="AQ813">
        <f>IF($AM813=1,IFERROR(IF(VALUE($D813)&lt;100000000,VALUE($D813),1000000000),IFERROR(IF(VALUE(MID($D813,2,20))&lt;100000000,VALUE(MID($D813,2,20)),1000000000),1000000000))+ROW()/100000,"")</f>
        <v/>
      </c>
    </row>
    <row r="814">
      <c r="F814" s="11" t="n"/>
      <c r="P814" s="7">
        <f>IF($D814="","",O814*X814/100)</f>
        <v/>
      </c>
      <c r="Q814" s="7" t="n"/>
      <c r="W814" s="7" t="n"/>
      <c r="X814" s="7" t="n"/>
      <c r="AA814">
        <f>IF($D814="","",IF($AP814=1,0,IF($AO814=1,Settings!$C$6,Settings!$C$7))*100)</f>
        <v/>
      </c>
      <c r="AB814" s="7">
        <f>IF($D814="","",X814*AA814/100)</f>
        <v/>
      </c>
      <c r="AC814" s="7">
        <f>IF($D814="","",X814-AB814)</f>
        <v/>
      </c>
      <c r="AD814" s="7">
        <f>IF($D814="","",AC814-P814)</f>
        <v/>
      </c>
      <c r="AH814" s="7" t="n"/>
      <c r="AK814" s="11" t="n"/>
      <c r="AM814">
        <f>IF($D814="","",IF(COUNTIF($D$2:$D814,$D814)=1,1,0))</f>
        <v/>
      </c>
      <c r="AN814">
        <f>IF($AM814=1,SUMPRODUCT(--($AQ$2:$AQ$1001&lt;$AQ814))+1,"")</f>
        <v/>
      </c>
      <c r="AO814">
        <f>IF($D814="","",IF(OR($T814=TRUE(),$T814="TRUE"),1,0))</f>
        <v/>
      </c>
      <c r="AP814">
        <f>IF($D814="","",IF($Z814="Yes",1,0))</f>
        <v/>
      </c>
      <c r="AQ814">
        <f>IF($AM814=1,IFERROR(IF(VALUE($D814)&lt;100000000,VALUE($D814),1000000000),IFERROR(IF(VALUE(MID($D814,2,20))&lt;100000000,VALUE(MID($D814,2,20)),1000000000),1000000000))+ROW()/100000,"")</f>
        <v/>
      </c>
    </row>
    <row r="815">
      <c r="F815" s="11" t="n"/>
      <c r="P815" s="7">
        <f>IF($D815="","",O815*X815/100)</f>
        <v/>
      </c>
      <c r="Q815" s="7" t="n"/>
      <c r="W815" s="7" t="n"/>
      <c r="X815" s="7" t="n"/>
      <c r="AA815">
        <f>IF($D815="","",IF($AP815=1,0,IF($AO815=1,Settings!$C$6,Settings!$C$7))*100)</f>
        <v/>
      </c>
      <c r="AB815" s="7">
        <f>IF($D815="","",X815*AA815/100)</f>
        <v/>
      </c>
      <c r="AC815" s="7">
        <f>IF($D815="","",X815-AB815)</f>
        <v/>
      </c>
      <c r="AD815" s="7">
        <f>IF($D815="","",AC815-P815)</f>
        <v/>
      </c>
      <c r="AH815" s="7" t="n"/>
      <c r="AK815" s="11" t="n"/>
      <c r="AM815">
        <f>IF($D815="","",IF(COUNTIF($D$2:$D815,$D815)=1,1,0))</f>
        <v/>
      </c>
      <c r="AN815">
        <f>IF($AM815=1,SUMPRODUCT(--($AQ$2:$AQ$1001&lt;$AQ815))+1,"")</f>
        <v/>
      </c>
      <c r="AO815">
        <f>IF($D815="","",IF(OR($T815=TRUE(),$T815="TRUE"),1,0))</f>
        <v/>
      </c>
      <c r="AP815">
        <f>IF($D815="","",IF($Z815="Yes",1,0))</f>
        <v/>
      </c>
      <c r="AQ815">
        <f>IF($AM815=1,IFERROR(IF(VALUE($D815)&lt;100000000,VALUE($D815),1000000000),IFERROR(IF(VALUE(MID($D815,2,20))&lt;100000000,VALUE(MID($D815,2,20)),1000000000),1000000000))+ROW()/100000,"")</f>
        <v/>
      </c>
    </row>
    <row r="816">
      <c r="F816" s="11" t="n"/>
      <c r="P816" s="7">
        <f>IF($D816="","",O816*X816/100)</f>
        <v/>
      </c>
      <c r="Q816" s="7" t="n"/>
      <c r="W816" s="7" t="n"/>
      <c r="X816" s="7" t="n"/>
      <c r="AA816">
        <f>IF($D816="","",IF($AP816=1,0,IF($AO816=1,Settings!$C$6,Settings!$C$7))*100)</f>
        <v/>
      </c>
      <c r="AB816" s="7">
        <f>IF($D816="","",X816*AA816/100)</f>
        <v/>
      </c>
      <c r="AC816" s="7">
        <f>IF($D816="","",X816-AB816)</f>
        <v/>
      </c>
      <c r="AD816" s="7">
        <f>IF($D816="","",AC816-P816)</f>
        <v/>
      </c>
      <c r="AH816" s="7" t="n"/>
      <c r="AK816" s="11" t="n"/>
      <c r="AM816">
        <f>IF($D816="","",IF(COUNTIF($D$2:$D816,$D816)=1,1,0))</f>
        <v/>
      </c>
      <c r="AN816">
        <f>IF($AM816=1,SUMPRODUCT(--($AQ$2:$AQ$1001&lt;$AQ816))+1,"")</f>
        <v/>
      </c>
      <c r="AO816">
        <f>IF($D816="","",IF(OR($T816=TRUE(),$T816="TRUE"),1,0))</f>
        <v/>
      </c>
      <c r="AP816">
        <f>IF($D816="","",IF($Z816="Yes",1,0))</f>
        <v/>
      </c>
      <c r="AQ816">
        <f>IF($AM816=1,IFERROR(IF(VALUE($D816)&lt;100000000,VALUE($D816),1000000000),IFERROR(IF(VALUE(MID($D816,2,20))&lt;100000000,VALUE(MID($D816,2,20)),1000000000),1000000000))+ROW()/100000,"")</f>
        <v/>
      </c>
    </row>
    <row r="817">
      <c r="F817" s="11" t="n"/>
      <c r="P817" s="7">
        <f>IF($D817="","",O817*X817/100)</f>
        <v/>
      </c>
      <c r="Q817" s="7" t="n"/>
      <c r="W817" s="7" t="n"/>
      <c r="X817" s="7" t="n"/>
      <c r="AA817">
        <f>IF($D817="","",IF($AP817=1,0,IF($AO817=1,Settings!$C$6,Settings!$C$7))*100)</f>
        <v/>
      </c>
      <c r="AB817" s="7">
        <f>IF($D817="","",X817*AA817/100)</f>
        <v/>
      </c>
      <c r="AC817" s="7">
        <f>IF($D817="","",X817-AB817)</f>
        <v/>
      </c>
      <c r="AD817" s="7">
        <f>IF($D817="","",AC817-P817)</f>
        <v/>
      </c>
      <c r="AH817" s="7" t="n"/>
      <c r="AK817" s="11" t="n"/>
      <c r="AM817">
        <f>IF($D817="","",IF(COUNTIF($D$2:$D817,$D817)=1,1,0))</f>
        <v/>
      </c>
      <c r="AN817">
        <f>IF($AM817=1,SUMPRODUCT(--($AQ$2:$AQ$1001&lt;$AQ817))+1,"")</f>
        <v/>
      </c>
      <c r="AO817">
        <f>IF($D817="","",IF(OR($T817=TRUE(),$T817="TRUE"),1,0))</f>
        <v/>
      </c>
      <c r="AP817">
        <f>IF($D817="","",IF($Z817="Yes",1,0))</f>
        <v/>
      </c>
      <c r="AQ817">
        <f>IF($AM817=1,IFERROR(IF(VALUE($D817)&lt;100000000,VALUE($D817),1000000000),IFERROR(IF(VALUE(MID($D817,2,20))&lt;100000000,VALUE(MID($D817,2,20)),1000000000),1000000000))+ROW()/100000,"")</f>
        <v/>
      </c>
    </row>
    <row r="818">
      <c r="F818" s="11" t="n"/>
      <c r="P818" s="7">
        <f>IF($D818="","",O818*X818/100)</f>
        <v/>
      </c>
      <c r="Q818" s="7" t="n"/>
      <c r="W818" s="7" t="n"/>
      <c r="X818" s="7" t="n"/>
      <c r="AA818">
        <f>IF($D818="","",IF($AP818=1,0,IF($AO818=1,Settings!$C$6,Settings!$C$7))*100)</f>
        <v/>
      </c>
      <c r="AB818" s="7">
        <f>IF($D818="","",X818*AA818/100)</f>
        <v/>
      </c>
      <c r="AC818" s="7">
        <f>IF($D818="","",X818-AB818)</f>
        <v/>
      </c>
      <c r="AD818" s="7">
        <f>IF($D818="","",AC818-P818)</f>
        <v/>
      </c>
      <c r="AH818" s="7" t="n"/>
      <c r="AK818" s="11" t="n"/>
      <c r="AM818">
        <f>IF($D818="","",IF(COUNTIF($D$2:$D818,$D818)=1,1,0))</f>
        <v/>
      </c>
      <c r="AN818">
        <f>IF($AM818=1,SUMPRODUCT(--($AQ$2:$AQ$1001&lt;$AQ818))+1,"")</f>
        <v/>
      </c>
      <c r="AO818">
        <f>IF($D818="","",IF(OR($T818=TRUE(),$T818="TRUE"),1,0))</f>
        <v/>
      </c>
      <c r="AP818">
        <f>IF($D818="","",IF($Z818="Yes",1,0))</f>
        <v/>
      </c>
      <c r="AQ818">
        <f>IF($AM818=1,IFERROR(IF(VALUE($D818)&lt;100000000,VALUE($D818),1000000000),IFERROR(IF(VALUE(MID($D818,2,20))&lt;100000000,VALUE(MID($D818,2,20)),1000000000),1000000000))+ROW()/100000,"")</f>
        <v/>
      </c>
    </row>
    <row r="819">
      <c r="F819" s="11" t="n"/>
      <c r="P819" s="7">
        <f>IF($D819="","",O819*X819/100)</f>
        <v/>
      </c>
      <c r="Q819" s="7" t="n"/>
      <c r="W819" s="7" t="n"/>
      <c r="X819" s="7" t="n"/>
      <c r="AA819">
        <f>IF($D819="","",IF($AP819=1,0,IF($AO819=1,Settings!$C$6,Settings!$C$7))*100)</f>
        <v/>
      </c>
      <c r="AB819" s="7">
        <f>IF($D819="","",X819*AA819/100)</f>
        <v/>
      </c>
      <c r="AC819" s="7">
        <f>IF($D819="","",X819-AB819)</f>
        <v/>
      </c>
      <c r="AD819" s="7">
        <f>IF($D819="","",AC819-P819)</f>
        <v/>
      </c>
      <c r="AH819" s="7" t="n"/>
      <c r="AK819" s="11" t="n"/>
      <c r="AM819">
        <f>IF($D819="","",IF(COUNTIF($D$2:$D819,$D819)=1,1,0))</f>
        <v/>
      </c>
      <c r="AN819">
        <f>IF($AM819=1,SUMPRODUCT(--($AQ$2:$AQ$1001&lt;$AQ819))+1,"")</f>
        <v/>
      </c>
      <c r="AO819">
        <f>IF($D819="","",IF(OR($T819=TRUE(),$T819="TRUE"),1,0))</f>
        <v/>
      </c>
      <c r="AP819">
        <f>IF($D819="","",IF($Z819="Yes",1,0))</f>
        <v/>
      </c>
      <c r="AQ819">
        <f>IF($AM819=1,IFERROR(IF(VALUE($D819)&lt;100000000,VALUE($D819),1000000000),IFERROR(IF(VALUE(MID($D819,2,20))&lt;100000000,VALUE(MID($D819,2,20)),1000000000),1000000000))+ROW()/100000,"")</f>
        <v/>
      </c>
    </row>
    <row r="820">
      <c r="F820" s="11" t="n"/>
      <c r="P820" s="7">
        <f>IF($D820="","",O820*X820/100)</f>
        <v/>
      </c>
      <c r="Q820" s="7" t="n"/>
      <c r="W820" s="7" t="n"/>
      <c r="X820" s="7" t="n"/>
      <c r="AA820">
        <f>IF($D820="","",IF($AP820=1,0,IF($AO820=1,Settings!$C$6,Settings!$C$7))*100)</f>
        <v/>
      </c>
      <c r="AB820" s="7">
        <f>IF($D820="","",X820*AA820/100)</f>
        <v/>
      </c>
      <c r="AC820" s="7">
        <f>IF($D820="","",X820-AB820)</f>
        <v/>
      </c>
      <c r="AD820" s="7">
        <f>IF($D820="","",AC820-P820)</f>
        <v/>
      </c>
      <c r="AH820" s="7" t="n"/>
      <c r="AK820" s="11" t="n"/>
      <c r="AM820">
        <f>IF($D820="","",IF(COUNTIF($D$2:$D820,$D820)=1,1,0))</f>
        <v/>
      </c>
      <c r="AN820">
        <f>IF($AM820=1,SUMPRODUCT(--($AQ$2:$AQ$1001&lt;$AQ820))+1,"")</f>
        <v/>
      </c>
      <c r="AO820">
        <f>IF($D820="","",IF(OR($T820=TRUE(),$T820="TRUE"),1,0))</f>
        <v/>
      </c>
      <c r="AP820">
        <f>IF($D820="","",IF($Z820="Yes",1,0))</f>
        <v/>
      </c>
      <c r="AQ820">
        <f>IF($AM820=1,IFERROR(IF(VALUE($D820)&lt;100000000,VALUE($D820),1000000000),IFERROR(IF(VALUE(MID($D820,2,20))&lt;100000000,VALUE(MID($D820,2,20)),1000000000),1000000000))+ROW()/100000,"")</f>
        <v/>
      </c>
    </row>
    <row r="821">
      <c r="F821" s="11" t="n"/>
      <c r="P821" s="7">
        <f>IF($D821="","",O821*X821/100)</f>
        <v/>
      </c>
      <c r="Q821" s="7" t="n"/>
      <c r="W821" s="7" t="n"/>
      <c r="X821" s="7" t="n"/>
      <c r="AA821">
        <f>IF($D821="","",IF($AP821=1,0,IF($AO821=1,Settings!$C$6,Settings!$C$7))*100)</f>
        <v/>
      </c>
      <c r="AB821" s="7">
        <f>IF($D821="","",X821*AA821/100)</f>
        <v/>
      </c>
      <c r="AC821" s="7">
        <f>IF($D821="","",X821-AB821)</f>
        <v/>
      </c>
      <c r="AD821" s="7">
        <f>IF($D821="","",AC821-P821)</f>
        <v/>
      </c>
      <c r="AH821" s="7" t="n"/>
      <c r="AK821" s="11" t="n"/>
      <c r="AM821">
        <f>IF($D821="","",IF(COUNTIF($D$2:$D821,$D821)=1,1,0))</f>
        <v/>
      </c>
      <c r="AN821">
        <f>IF($AM821=1,SUMPRODUCT(--($AQ$2:$AQ$1001&lt;$AQ821))+1,"")</f>
        <v/>
      </c>
      <c r="AO821">
        <f>IF($D821="","",IF(OR($T821=TRUE(),$T821="TRUE"),1,0))</f>
        <v/>
      </c>
      <c r="AP821">
        <f>IF($D821="","",IF($Z821="Yes",1,0))</f>
        <v/>
      </c>
      <c r="AQ821">
        <f>IF($AM821=1,IFERROR(IF(VALUE($D821)&lt;100000000,VALUE($D821),1000000000),IFERROR(IF(VALUE(MID($D821,2,20))&lt;100000000,VALUE(MID($D821,2,20)),1000000000),1000000000))+ROW()/100000,"")</f>
        <v/>
      </c>
    </row>
    <row r="822">
      <c r="F822" s="11" t="n"/>
      <c r="P822" s="7">
        <f>IF($D822="","",O822*X822/100)</f>
        <v/>
      </c>
      <c r="Q822" s="7" t="n"/>
      <c r="W822" s="7" t="n"/>
      <c r="X822" s="7" t="n"/>
      <c r="AA822">
        <f>IF($D822="","",IF($AP822=1,0,IF($AO822=1,Settings!$C$6,Settings!$C$7))*100)</f>
        <v/>
      </c>
      <c r="AB822" s="7">
        <f>IF($D822="","",X822*AA822/100)</f>
        <v/>
      </c>
      <c r="AC822" s="7">
        <f>IF($D822="","",X822-AB822)</f>
        <v/>
      </c>
      <c r="AD822" s="7">
        <f>IF($D822="","",AC822-P822)</f>
        <v/>
      </c>
      <c r="AH822" s="7" t="n"/>
      <c r="AK822" s="11" t="n"/>
      <c r="AM822">
        <f>IF($D822="","",IF(COUNTIF($D$2:$D822,$D822)=1,1,0))</f>
        <v/>
      </c>
      <c r="AN822">
        <f>IF($AM822=1,SUMPRODUCT(--($AQ$2:$AQ$1001&lt;$AQ822))+1,"")</f>
        <v/>
      </c>
      <c r="AO822">
        <f>IF($D822="","",IF(OR($T822=TRUE(),$T822="TRUE"),1,0))</f>
        <v/>
      </c>
      <c r="AP822">
        <f>IF($D822="","",IF($Z822="Yes",1,0))</f>
        <v/>
      </c>
      <c r="AQ822">
        <f>IF($AM822=1,IFERROR(IF(VALUE($D822)&lt;100000000,VALUE($D822),1000000000),IFERROR(IF(VALUE(MID($D822,2,20))&lt;100000000,VALUE(MID($D822,2,20)),1000000000),1000000000))+ROW()/100000,"")</f>
        <v/>
      </c>
    </row>
    <row r="823">
      <c r="F823" s="11" t="n"/>
      <c r="P823" s="7">
        <f>IF($D823="","",O823*X823/100)</f>
        <v/>
      </c>
      <c r="Q823" s="7" t="n"/>
      <c r="W823" s="7" t="n"/>
      <c r="X823" s="7" t="n"/>
      <c r="AA823">
        <f>IF($D823="","",IF($AP823=1,0,IF($AO823=1,Settings!$C$6,Settings!$C$7))*100)</f>
        <v/>
      </c>
      <c r="AB823" s="7">
        <f>IF($D823="","",X823*AA823/100)</f>
        <v/>
      </c>
      <c r="AC823" s="7">
        <f>IF($D823="","",X823-AB823)</f>
        <v/>
      </c>
      <c r="AD823" s="7">
        <f>IF($D823="","",AC823-P823)</f>
        <v/>
      </c>
      <c r="AH823" s="7" t="n"/>
      <c r="AK823" s="11" t="n"/>
      <c r="AM823">
        <f>IF($D823="","",IF(COUNTIF($D$2:$D823,$D823)=1,1,0))</f>
        <v/>
      </c>
      <c r="AN823">
        <f>IF($AM823=1,SUMPRODUCT(--($AQ$2:$AQ$1001&lt;$AQ823))+1,"")</f>
        <v/>
      </c>
      <c r="AO823">
        <f>IF($D823="","",IF(OR($T823=TRUE(),$T823="TRUE"),1,0))</f>
        <v/>
      </c>
      <c r="AP823">
        <f>IF($D823="","",IF($Z823="Yes",1,0))</f>
        <v/>
      </c>
      <c r="AQ823">
        <f>IF($AM823=1,IFERROR(IF(VALUE($D823)&lt;100000000,VALUE($D823),1000000000),IFERROR(IF(VALUE(MID($D823,2,20))&lt;100000000,VALUE(MID($D823,2,20)),1000000000),1000000000))+ROW()/100000,"")</f>
        <v/>
      </c>
    </row>
    <row r="824">
      <c r="F824" s="11" t="n"/>
      <c r="P824" s="7">
        <f>IF($D824="","",O824*X824/100)</f>
        <v/>
      </c>
      <c r="Q824" s="7" t="n"/>
      <c r="W824" s="7" t="n"/>
      <c r="X824" s="7" t="n"/>
      <c r="AA824">
        <f>IF($D824="","",IF($AP824=1,0,IF($AO824=1,Settings!$C$6,Settings!$C$7))*100)</f>
        <v/>
      </c>
      <c r="AB824" s="7">
        <f>IF($D824="","",X824*AA824/100)</f>
        <v/>
      </c>
      <c r="AC824" s="7">
        <f>IF($D824="","",X824-AB824)</f>
        <v/>
      </c>
      <c r="AD824" s="7">
        <f>IF($D824="","",AC824-P824)</f>
        <v/>
      </c>
      <c r="AH824" s="7" t="n"/>
      <c r="AK824" s="11" t="n"/>
      <c r="AM824">
        <f>IF($D824="","",IF(COUNTIF($D$2:$D824,$D824)=1,1,0))</f>
        <v/>
      </c>
      <c r="AN824">
        <f>IF($AM824=1,SUMPRODUCT(--($AQ$2:$AQ$1001&lt;$AQ824))+1,"")</f>
        <v/>
      </c>
      <c r="AO824">
        <f>IF($D824="","",IF(OR($T824=TRUE(),$T824="TRUE"),1,0))</f>
        <v/>
      </c>
      <c r="AP824">
        <f>IF($D824="","",IF($Z824="Yes",1,0))</f>
        <v/>
      </c>
      <c r="AQ824">
        <f>IF($AM824=1,IFERROR(IF(VALUE($D824)&lt;100000000,VALUE($D824),1000000000),IFERROR(IF(VALUE(MID($D824,2,20))&lt;100000000,VALUE(MID($D824,2,20)),1000000000),1000000000))+ROW()/100000,"")</f>
        <v/>
      </c>
    </row>
    <row r="825">
      <c r="F825" s="11" t="n"/>
      <c r="P825" s="7">
        <f>IF($D825="","",O825*X825/100)</f>
        <v/>
      </c>
      <c r="Q825" s="7" t="n"/>
      <c r="W825" s="7" t="n"/>
      <c r="X825" s="7" t="n"/>
      <c r="AA825">
        <f>IF($D825="","",IF($AP825=1,0,IF($AO825=1,Settings!$C$6,Settings!$C$7))*100)</f>
        <v/>
      </c>
      <c r="AB825" s="7">
        <f>IF($D825="","",X825*AA825/100)</f>
        <v/>
      </c>
      <c r="AC825" s="7">
        <f>IF($D825="","",X825-AB825)</f>
        <v/>
      </c>
      <c r="AD825" s="7">
        <f>IF($D825="","",AC825-P825)</f>
        <v/>
      </c>
      <c r="AH825" s="7" t="n"/>
      <c r="AK825" s="11" t="n"/>
      <c r="AM825">
        <f>IF($D825="","",IF(COUNTIF($D$2:$D825,$D825)=1,1,0))</f>
        <v/>
      </c>
      <c r="AN825">
        <f>IF($AM825=1,SUMPRODUCT(--($AQ$2:$AQ$1001&lt;$AQ825))+1,"")</f>
        <v/>
      </c>
      <c r="AO825">
        <f>IF($D825="","",IF(OR($T825=TRUE(),$T825="TRUE"),1,0))</f>
        <v/>
      </c>
      <c r="AP825">
        <f>IF($D825="","",IF($Z825="Yes",1,0))</f>
        <v/>
      </c>
      <c r="AQ825">
        <f>IF($AM825=1,IFERROR(IF(VALUE($D825)&lt;100000000,VALUE($D825),1000000000),IFERROR(IF(VALUE(MID($D825,2,20))&lt;100000000,VALUE(MID($D825,2,20)),1000000000),1000000000))+ROW()/100000,"")</f>
        <v/>
      </c>
    </row>
    <row r="826">
      <c r="F826" s="11" t="n"/>
      <c r="P826" s="7">
        <f>IF($D826="","",O826*X826/100)</f>
        <v/>
      </c>
      <c r="Q826" s="7" t="n"/>
      <c r="W826" s="7" t="n"/>
      <c r="X826" s="7" t="n"/>
      <c r="AA826">
        <f>IF($D826="","",IF($AP826=1,0,IF($AO826=1,Settings!$C$6,Settings!$C$7))*100)</f>
        <v/>
      </c>
      <c r="AB826" s="7">
        <f>IF($D826="","",X826*AA826/100)</f>
        <v/>
      </c>
      <c r="AC826" s="7">
        <f>IF($D826="","",X826-AB826)</f>
        <v/>
      </c>
      <c r="AD826" s="7">
        <f>IF($D826="","",AC826-P826)</f>
        <v/>
      </c>
      <c r="AH826" s="7" t="n"/>
      <c r="AK826" s="11" t="n"/>
      <c r="AM826">
        <f>IF($D826="","",IF(COUNTIF($D$2:$D826,$D826)=1,1,0))</f>
        <v/>
      </c>
      <c r="AN826">
        <f>IF($AM826=1,SUMPRODUCT(--($AQ$2:$AQ$1001&lt;$AQ826))+1,"")</f>
        <v/>
      </c>
      <c r="AO826">
        <f>IF($D826="","",IF(OR($T826=TRUE(),$T826="TRUE"),1,0))</f>
        <v/>
      </c>
      <c r="AP826">
        <f>IF($D826="","",IF($Z826="Yes",1,0))</f>
        <v/>
      </c>
      <c r="AQ826">
        <f>IF($AM826=1,IFERROR(IF(VALUE($D826)&lt;100000000,VALUE($D826),1000000000),IFERROR(IF(VALUE(MID($D826,2,20))&lt;100000000,VALUE(MID($D826,2,20)),1000000000),1000000000))+ROW()/100000,"")</f>
        <v/>
      </c>
    </row>
    <row r="827">
      <c r="F827" s="11" t="n"/>
      <c r="P827" s="7">
        <f>IF($D827="","",O827*X827/100)</f>
        <v/>
      </c>
      <c r="Q827" s="7" t="n"/>
      <c r="W827" s="7" t="n"/>
      <c r="X827" s="7" t="n"/>
      <c r="AA827">
        <f>IF($D827="","",IF($AP827=1,0,IF($AO827=1,Settings!$C$6,Settings!$C$7))*100)</f>
        <v/>
      </c>
      <c r="AB827" s="7">
        <f>IF($D827="","",X827*AA827/100)</f>
        <v/>
      </c>
      <c r="AC827" s="7">
        <f>IF($D827="","",X827-AB827)</f>
        <v/>
      </c>
      <c r="AD827" s="7">
        <f>IF($D827="","",AC827-P827)</f>
        <v/>
      </c>
      <c r="AH827" s="7" t="n"/>
      <c r="AK827" s="11" t="n"/>
      <c r="AM827">
        <f>IF($D827="","",IF(COUNTIF($D$2:$D827,$D827)=1,1,0))</f>
        <v/>
      </c>
      <c r="AN827">
        <f>IF($AM827=1,SUMPRODUCT(--($AQ$2:$AQ$1001&lt;$AQ827))+1,"")</f>
        <v/>
      </c>
      <c r="AO827">
        <f>IF($D827="","",IF(OR($T827=TRUE(),$T827="TRUE"),1,0))</f>
        <v/>
      </c>
      <c r="AP827">
        <f>IF($D827="","",IF($Z827="Yes",1,0))</f>
        <v/>
      </c>
      <c r="AQ827">
        <f>IF($AM827=1,IFERROR(IF(VALUE($D827)&lt;100000000,VALUE($D827),1000000000),IFERROR(IF(VALUE(MID($D827,2,20))&lt;100000000,VALUE(MID($D827,2,20)),1000000000),1000000000))+ROW()/100000,"")</f>
        <v/>
      </c>
    </row>
    <row r="828">
      <c r="F828" s="11" t="n"/>
      <c r="P828" s="7">
        <f>IF($D828="","",O828*X828/100)</f>
        <v/>
      </c>
      <c r="Q828" s="7" t="n"/>
      <c r="W828" s="7" t="n"/>
      <c r="X828" s="7" t="n"/>
      <c r="AA828">
        <f>IF($D828="","",IF($AP828=1,0,IF($AO828=1,Settings!$C$6,Settings!$C$7))*100)</f>
        <v/>
      </c>
      <c r="AB828" s="7">
        <f>IF($D828="","",X828*AA828/100)</f>
        <v/>
      </c>
      <c r="AC828" s="7">
        <f>IF($D828="","",X828-AB828)</f>
        <v/>
      </c>
      <c r="AD828" s="7">
        <f>IF($D828="","",AC828-P828)</f>
        <v/>
      </c>
      <c r="AH828" s="7" t="n"/>
      <c r="AK828" s="11" t="n"/>
      <c r="AM828">
        <f>IF($D828="","",IF(COUNTIF($D$2:$D828,$D828)=1,1,0))</f>
        <v/>
      </c>
      <c r="AN828">
        <f>IF($AM828=1,SUMPRODUCT(--($AQ$2:$AQ$1001&lt;$AQ828))+1,"")</f>
        <v/>
      </c>
      <c r="AO828">
        <f>IF($D828="","",IF(OR($T828=TRUE(),$T828="TRUE"),1,0))</f>
        <v/>
      </c>
      <c r="AP828">
        <f>IF($D828="","",IF($Z828="Yes",1,0))</f>
        <v/>
      </c>
      <c r="AQ828">
        <f>IF($AM828=1,IFERROR(IF(VALUE($D828)&lt;100000000,VALUE($D828),1000000000),IFERROR(IF(VALUE(MID($D828,2,20))&lt;100000000,VALUE(MID($D828,2,20)),1000000000),1000000000))+ROW()/100000,"")</f>
        <v/>
      </c>
    </row>
    <row r="829">
      <c r="F829" s="11" t="n"/>
      <c r="P829" s="7">
        <f>IF($D829="","",O829*X829/100)</f>
        <v/>
      </c>
      <c r="Q829" s="7" t="n"/>
      <c r="W829" s="7" t="n"/>
      <c r="X829" s="7" t="n"/>
      <c r="AA829">
        <f>IF($D829="","",IF($AP829=1,0,IF($AO829=1,Settings!$C$6,Settings!$C$7))*100)</f>
        <v/>
      </c>
      <c r="AB829" s="7">
        <f>IF($D829="","",X829*AA829/100)</f>
        <v/>
      </c>
      <c r="AC829" s="7">
        <f>IF($D829="","",X829-AB829)</f>
        <v/>
      </c>
      <c r="AD829" s="7">
        <f>IF($D829="","",AC829-P829)</f>
        <v/>
      </c>
      <c r="AH829" s="7" t="n"/>
      <c r="AK829" s="11" t="n"/>
      <c r="AM829">
        <f>IF($D829="","",IF(COUNTIF($D$2:$D829,$D829)=1,1,0))</f>
        <v/>
      </c>
      <c r="AN829">
        <f>IF($AM829=1,SUMPRODUCT(--($AQ$2:$AQ$1001&lt;$AQ829))+1,"")</f>
        <v/>
      </c>
      <c r="AO829">
        <f>IF($D829="","",IF(OR($T829=TRUE(),$T829="TRUE"),1,0))</f>
        <v/>
      </c>
      <c r="AP829">
        <f>IF($D829="","",IF($Z829="Yes",1,0))</f>
        <v/>
      </c>
      <c r="AQ829">
        <f>IF($AM829=1,IFERROR(IF(VALUE($D829)&lt;100000000,VALUE($D829),1000000000),IFERROR(IF(VALUE(MID($D829,2,20))&lt;100000000,VALUE(MID($D829,2,20)),1000000000),1000000000))+ROW()/100000,"")</f>
        <v/>
      </c>
    </row>
    <row r="830">
      <c r="F830" s="11" t="n"/>
      <c r="P830" s="7">
        <f>IF($D830="","",O830*X830/100)</f>
        <v/>
      </c>
      <c r="Q830" s="7" t="n"/>
      <c r="W830" s="7" t="n"/>
      <c r="X830" s="7" t="n"/>
      <c r="AA830">
        <f>IF($D830="","",IF($AP830=1,0,IF($AO830=1,Settings!$C$6,Settings!$C$7))*100)</f>
        <v/>
      </c>
      <c r="AB830" s="7">
        <f>IF($D830="","",X830*AA830/100)</f>
        <v/>
      </c>
      <c r="AC830" s="7">
        <f>IF($D830="","",X830-AB830)</f>
        <v/>
      </c>
      <c r="AD830" s="7">
        <f>IF($D830="","",AC830-P830)</f>
        <v/>
      </c>
      <c r="AH830" s="7" t="n"/>
      <c r="AK830" s="11" t="n"/>
      <c r="AM830">
        <f>IF($D830="","",IF(COUNTIF($D$2:$D830,$D830)=1,1,0))</f>
        <v/>
      </c>
      <c r="AN830">
        <f>IF($AM830=1,SUMPRODUCT(--($AQ$2:$AQ$1001&lt;$AQ830))+1,"")</f>
        <v/>
      </c>
      <c r="AO830">
        <f>IF($D830="","",IF(OR($T830=TRUE(),$T830="TRUE"),1,0))</f>
        <v/>
      </c>
      <c r="AP830">
        <f>IF($D830="","",IF($Z830="Yes",1,0))</f>
        <v/>
      </c>
      <c r="AQ830">
        <f>IF($AM830=1,IFERROR(IF(VALUE($D830)&lt;100000000,VALUE($D830),1000000000),IFERROR(IF(VALUE(MID($D830,2,20))&lt;100000000,VALUE(MID($D830,2,20)),1000000000),1000000000))+ROW()/100000,"")</f>
        <v/>
      </c>
    </row>
    <row r="831">
      <c r="F831" s="11" t="n"/>
      <c r="P831" s="7">
        <f>IF($D831="","",O831*X831/100)</f>
        <v/>
      </c>
      <c r="Q831" s="7" t="n"/>
      <c r="W831" s="7" t="n"/>
      <c r="X831" s="7" t="n"/>
      <c r="AA831">
        <f>IF($D831="","",IF($AP831=1,0,IF($AO831=1,Settings!$C$6,Settings!$C$7))*100)</f>
        <v/>
      </c>
      <c r="AB831" s="7">
        <f>IF($D831="","",X831*AA831/100)</f>
        <v/>
      </c>
      <c r="AC831" s="7">
        <f>IF($D831="","",X831-AB831)</f>
        <v/>
      </c>
      <c r="AD831" s="7">
        <f>IF($D831="","",AC831-P831)</f>
        <v/>
      </c>
      <c r="AH831" s="7" t="n"/>
      <c r="AK831" s="11" t="n"/>
      <c r="AM831">
        <f>IF($D831="","",IF(COUNTIF($D$2:$D831,$D831)=1,1,0))</f>
        <v/>
      </c>
      <c r="AN831">
        <f>IF($AM831=1,SUMPRODUCT(--($AQ$2:$AQ$1001&lt;$AQ831))+1,"")</f>
        <v/>
      </c>
      <c r="AO831">
        <f>IF($D831="","",IF(OR($T831=TRUE(),$T831="TRUE"),1,0))</f>
        <v/>
      </c>
      <c r="AP831">
        <f>IF($D831="","",IF($Z831="Yes",1,0))</f>
        <v/>
      </c>
      <c r="AQ831">
        <f>IF($AM831=1,IFERROR(IF(VALUE($D831)&lt;100000000,VALUE($D831),1000000000),IFERROR(IF(VALUE(MID($D831,2,20))&lt;100000000,VALUE(MID($D831,2,20)),1000000000),1000000000))+ROW()/100000,"")</f>
        <v/>
      </c>
    </row>
    <row r="832">
      <c r="F832" s="11" t="n"/>
      <c r="P832" s="7">
        <f>IF($D832="","",O832*X832/100)</f>
        <v/>
      </c>
      <c r="Q832" s="7" t="n"/>
      <c r="W832" s="7" t="n"/>
      <c r="X832" s="7" t="n"/>
      <c r="AA832">
        <f>IF($D832="","",IF($AP832=1,0,IF($AO832=1,Settings!$C$6,Settings!$C$7))*100)</f>
        <v/>
      </c>
      <c r="AB832" s="7">
        <f>IF($D832="","",X832*AA832/100)</f>
        <v/>
      </c>
      <c r="AC832" s="7">
        <f>IF($D832="","",X832-AB832)</f>
        <v/>
      </c>
      <c r="AD832" s="7">
        <f>IF($D832="","",AC832-P832)</f>
        <v/>
      </c>
      <c r="AH832" s="7" t="n"/>
      <c r="AK832" s="11" t="n"/>
      <c r="AM832">
        <f>IF($D832="","",IF(COUNTIF($D$2:$D832,$D832)=1,1,0))</f>
        <v/>
      </c>
      <c r="AN832">
        <f>IF($AM832=1,SUMPRODUCT(--($AQ$2:$AQ$1001&lt;$AQ832))+1,"")</f>
        <v/>
      </c>
      <c r="AO832">
        <f>IF($D832="","",IF(OR($T832=TRUE(),$T832="TRUE"),1,0))</f>
        <v/>
      </c>
      <c r="AP832">
        <f>IF($D832="","",IF($Z832="Yes",1,0))</f>
        <v/>
      </c>
      <c r="AQ832">
        <f>IF($AM832=1,IFERROR(IF(VALUE($D832)&lt;100000000,VALUE($D832),1000000000),IFERROR(IF(VALUE(MID($D832,2,20))&lt;100000000,VALUE(MID($D832,2,20)),1000000000),1000000000))+ROW()/100000,"")</f>
        <v/>
      </c>
    </row>
    <row r="833">
      <c r="F833" s="11" t="n"/>
      <c r="P833" s="7">
        <f>IF($D833="","",O833*X833/100)</f>
        <v/>
      </c>
      <c r="Q833" s="7" t="n"/>
      <c r="W833" s="7" t="n"/>
      <c r="X833" s="7" t="n"/>
      <c r="AA833">
        <f>IF($D833="","",IF($AP833=1,0,IF($AO833=1,Settings!$C$6,Settings!$C$7))*100)</f>
        <v/>
      </c>
      <c r="AB833" s="7">
        <f>IF($D833="","",X833*AA833/100)</f>
        <v/>
      </c>
      <c r="AC833" s="7">
        <f>IF($D833="","",X833-AB833)</f>
        <v/>
      </c>
      <c r="AD833" s="7">
        <f>IF($D833="","",AC833-P833)</f>
        <v/>
      </c>
      <c r="AH833" s="7" t="n"/>
      <c r="AK833" s="11" t="n"/>
      <c r="AM833">
        <f>IF($D833="","",IF(COUNTIF($D$2:$D833,$D833)=1,1,0))</f>
        <v/>
      </c>
      <c r="AN833">
        <f>IF($AM833=1,SUMPRODUCT(--($AQ$2:$AQ$1001&lt;$AQ833))+1,"")</f>
        <v/>
      </c>
      <c r="AO833">
        <f>IF($D833="","",IF(OR($T833=TRUE(),$T833="TRUE"),1,0))</f>
        <v/>
      </c>
      <c r="AP833">
        <f>IF($D833="","",IF($Z833="Yes",1,0))</f>
        <v/>
      </c>
      <c r="AQ833">
        <f>IF($AM833=1,IFERROR(IF(VALUE($D833)&lt;100000000,VALUE($D833),1000000000),IFERROR(IF(VALUE(MID($D833,2,20))&lt;100000000,VALUE(MID($D833,2,20)),1000000000),1000000000))+ROW()/100000,"")</f>
        <v/>
      </c>
    </row>
    <row r="834">
      <c r="F834" s="11" t="n"/>
      <c r="P834" s="7">
        <f>IF($D834="","",O834*X834/100)</f>
        <v/>
      </c>
      <c r="Q834" s="7" t="n"/>
      <c r="W834" s="7" t="n"/>
      <c r="X834" s="7" t="n"/>
      <c r="AA834">
        <f>IF($D834="","",IF($AP834=1,0,IF($AO834=1,Settings!$C$6,Settings!$C$7))*100)</f>
        <v/>
      </c>
      <c r="AB834" s="7">
        <f>IF($D834="","",X834*AA834/100)</f>
        <v/>
      </c>
      <c r="AC834" s="7">
        <f>IF($D834="","",X834-AB834)</f>
        <v/>
      </c>
      <c r="AD834" s="7">
        <f>IF($D834="","",AC834-P834)</f>
        <v/>
      </c>
      <c r="AH834" s="7" t="n"/>
      <c r="AK834" s="11" t="n"/>
      <c r="AM834">
        <f>IF($D834="","",IF(COUNTIF($D$2:$D834,$D834)=1,1,0))</f>
        <v/>
      </c>
      <c r="AN834">
        <f>IF($AM834=1,SUMPRODUCT(--($AQ$2:$AQ$1001&lt;$AQ834))+1,"")</f>
        <v/>
      </c>
      <c r="AO834">
        <f>IF($D834="","",IF(OR($T834=TRUE(),$T834="TRUE"),1,0))</f>
        <v/>
      </c>
      <c r="AP834">
        <f>IF($D834="","",IF($Z834="Yes",1,0))</f>
        <v/>
      </c>
      <c r="AQ834">
        <f>IF($AM834=1,IFERROR(IF(VALUE($D834)&lt;100000000,VALUE($D834),1000000000),IFERROR(IF(VALUE(MID($D834,2,20))&lt;100000000,VALUE(MID($D834,2,20)),1000000000),1000000000))+ROW()/100000,"")</f>
        <v/>
      </c>
    </row>
    <row r="835">
      <c r="F835" s="11" t="n"/>
      <c r="P835" s="7">
        <f>IF($D835="","",O835*X835/100)</f>
        <v/>
      </c>
      <c r="Q835" s="7" t="n"/>
      <c r="W835" s="7" t="n"/>
      <c r="X835" s="7" t="n"/>
      <c r="AA835">
        <f>IF($D835="","",IF($AP835=1,0,IF($AO835=1,Settings!$C$6,Settings!$C$7))*100)</f>
        <v/>
      </c>
      <c r="AB835" s="7">
        <f>IF($D835="","",X835*AA835/100)</f>
        <v/>
      </c>
      <c r="AC835" s="7">
        <f>IF($D835="","",X835-AB835)</f>
        <v/>
      </c>
      <c r="AD835" s="7">
        <f>IF($D835="","",AC835-P835)</f>
        <v/>
      </c>
      <c r="AH835" s="7" t="n"/>
      <c r="AK835" s="11" t="n"/>
      <c r="AM835">
        <f>IF($D835="","",IF(COUNTIF($D$2:$D835,$D835)=1,1,0))</f>
        <v/>
      </c>
      <c r="AN835">
        <f>IF($AM835=1,SUMPRODUCT(--($AQ$2:$AQ$1001&lt;$AQ835))+1,"")</f>
        <v/>
      </c>
      <c r="AO835">
        <f>IF($D835="","",IF(OR($T835=TRUE(),$T835="TRUE"),1,0))</f>
        <v/>
      </c>
      <c r="AP835">
        <f>IF($D835="","",IF($Z835="Yes",1,0))</f>
        <v/>
      </c>
      <c r="AQ835">
        <f>IF($AM835=1,IFERROR(IF(VALUE($D835)&lt;100000000,VALUE($D835),1000000000),IFERROR(IF(VALUE(MID($D835,2,20))&lt;100000000,VALUE(MID($D835,2,20)),1000000000),1000000000))+ROW()/100000,"")</f>
        <v/>
      </c>
    </row>
    <row r="836">
      <c r="F836" s="11" t="n"/>
      <c r="P836" s="7">
        <f>IF($D836="","",O836*X836/100)</f>
        <v/>
      </c>
      <c r="Q836" s="7" t="n"/>
      <c r="W836" s="7" t="n"/>
      <c r="X836" s="7" t="n"/>
      <c r="AA836">
        <f>IF($D836="","",IF($AP836=1,0,IF($AO836=1,Settings!$C$6,Settings!$C$7))*100)</f>
        <v/>
      </c>
      <c r="AB836" s="7">
        <f>IF($D836="","",X836*AA836/100)</f>
        <v/>
      </c>
      <c r="AC836" s="7">
        <f>IF($D836="","",X836-AB836)</f>
        <v/>
      </c>
      <c r="AD836" s="7">
        <f>IF($D836="","",AC836-P836)</f>
        <v/>
      </c>
      <c r="AH836" s="7" t="n"/>
      <c r="AK836" s="11" t="n"/>
      <c r="AM836">
        <f>IF($D836="","",IF(COUNTIF($D$2:$D836,$D836)=1,1,0))</f>
        <v/>
      </c>
      <c r="AN836">
        <f>IF($AM836=1,SUMPRODUCT(--($AQ$2:$AQ$1001&lt;$AQ836))+1,"")</f>
        <v/>
      </c>
      <c r="AO836">
        <f>IF($D836="","",IF(OR($T836=TRUE(),$T836="TRUE"),1,0))</f>
        <v/>
      </c>
      <c r="AP836">
        <f>IF($D836="","",IF($Z836="Yes",1,0))</f>
        <v/>
      </c>
      <c r="AQ836">
        <f>IF($AM836=1,IFERROR(IF(VALUE($D836)&lt;100000000,VALUE($D836),1000000000),IFERROR(IF(VALUE(MID($D836,2,20))&lt;100000000,VALUE(MID($D836,2,20)),1000000000),1000000000))+ROW()/100000,"")</f>
        <v/>
      </c>
    </row>
    <row r="837">
      <c r="F837" s="11" t="n"/>
      <c r="P837" s="7">
        <f>IF($D837="","",O837*X837/100)</f>
        <v/>
      </c>
      <c r="Q837" s="7" t="n"/>
      <c r="W837" s="7" t="n"/>
      <c r="X837" s="7" t="n"/>
      <c r="AA837">
        <f>IF($D837="","",IF($AP837=1,0,IF($AO837=1,Settings!$C$6,Settings!$C$7))*100)</f>
        <v/>
      </c>
      <c r="AB837" s="7">
        <f>IF($D837="","",X837*AA837/100)</f>
        <v/>
      </c>
      <c r="AC837" s="7">
        <f>IF($D837="","",X837-AB837)</f>
        <v/>
      </c>
      <c r="AD837" s="7">
        <f>IF($D837="","",AC837-P837)</f>
        <v/>
      </c>
      <c r="AH837" s="7" t="n"/>
      <c r="AK837" s="11" t="n"/>
      <c r="AM837">
        <f>IF($D837="","",IF(COUNTIF($D$2:$D837,$D837)=1,1,0))</f>
        <v/>
      </c>
      <c r="AN837">
        <f>IF($AM837=1,SUMPRODUCT(--($AQ$2:$AQ$1001&lt;$AQ837))+1,"")</f>
        <v/>
      </c>
      <c r="AO837">
        <f>IF($D837="","",IF(OR($T837=TRUE(),$T837="TRUE"),1,0))</f>
        <v/>
      </c>
      <c r="AP837">
        <f>IF($D837="","",IF($Z837="Yes",1,0))</f>
        <v/>
      </c>
      <c r="AQ837">
        <f>IF($AM837=1,IFERROR(IF(VALUE($D837)&lt;100000000,VALUE($D837),1000000000),IFERROR(IF(VALUE(MID($D837,2,20))&lt;100000000,VALUE(MID($D837,2,20)),1000000000),1000000000))+ROW()/100000,"")</f>
        <v/>
      </c>
    </row>
    <row r="838">
      <c r="F838" s="11" t="n"/>
      <c r="P838" s="7">
        <f>IF($D838="","",O838*X838/100)</f>
        <v/>
      </c>
      <c r="Q838" s="7" t="n"/>
      <c r="W838" s="7" t="n"/>
      <c r="X838" s="7" t="n"/>
      <c r="AA838">
        <f>IF($D838="","",IF($AP838=1,0,IF($AO838=1,Settings!$C$6,Settings!$C$7))*100)</f>
        <v/>
      </c>
      <c r="AB838" s="7">
        <f>IF($D838="","",X838*AA838/100)</f>
        <v/>
      </c>
      <c r="AC838" s="7">
        <f>IF($D838="","",X838-AB838)</f>
        <v/>
      </c>
      <c r="AD838" s="7">
        <f>IF($D838="","",AC838-P838)</f>
        <v/>
      </c>
      <c r="AH838" s="7" t="n"/>
      <c r="AK838" s="11" t="n"/>
      <c r="AM838">
        <f>IF($D838="","",IF(COUNTIF($D$2:$D838,$D838)=1,1,0))</f>
        <v/>
      </c>
      <c r="AN838">
        <f>IF($AM838=1,SUMPRODUCT(--($AQ$2:$AQ$1001&lt;$AQ838))+1,"")</f>
        <v/>
      </c>
      <c r="AO838">
        <f>IF($D838="","",IF(OR($T838=TRUE(),$T838="TRUE"),1,0))</f>
        <v/>
      </c>
      <c r="AP838">
        <f>IF($D838="","",IF($Z838="Yes",1,0))</f>
        <v/>
      </c>
      <c r="AQ838">
        <f>IF($AM838=1,IFERROR(IF(VALUE($D838)&lt;100000000,VALUE($D838),1000000000),IFERROR(IF(VALUE(MID($D838,2,20))&lt;100000000,VALUE(MID($D838,2,20)),1000000000),1000000000))+ROW()/100000,"")</f>
        <v/>
      </c>
    </row>
    <row r="839">
      <c r="F839" s="11" t="n"/>
      <c r="P839" s="7">
        <f>IF($D839="","",O839*X839/100)</f>
        <v/>
      </c>
      <c r="Q839" s="7" t="n"/>
      <c r="W839" s="7" t="n"/>
      <c r="X839" s="7" t="n"/>
      <c r="AA839">
        <f>IF($D839="","",IF($AP839=1,0,IF($AO839=1,Settings!$C$6,Settings!$C$7))*100)</f>
        <v/>
      </c>
      <c r="AB839" s="7">
        <f>IF($D839="","",X839*AA839/100)</f>
        <v/>
      </c>
      <c r="AC839" s="7">
        <f>IF($D839="","",X839-AB839)</f>
        <v/>
      </c>
      <c r="AD839" s="7">
        <f>IF($D839="","",AC839-P839)</f>
        <v/>
      </c>
      <c r="AH839" s="7" t="n"/>
      <c r="AK839" s="11" t="n"/>
      <c r="AM839">
        <f>IF($D839="","",IF(COUNTIF($D$2:$D839,$D839)=1,1,0))</f>
        <v/>
      </c>
      <c r="AN839">
        <f>IF($AM839=1,SUMPRODUCT(--($AQ$2:$AQ$1001&lt;$AQ839))+1,"")</f>
        <v/>
      </c>
      <c r="AO839">
        <f>IF($D839="","",IF(OR($T839=TRUE(),$T839="TRUE"),1,0))</f>
        <v/>
      </c>
      <c r="AP839">
        <f>IF($D839="","",IF($Z839="Yes",1,0))</f>
        <v/>
      </c>
      <c r="AQ839">
        <f>IF($AM839=1,IFERROR(IF(VALUE($D839)&lt;100000000,VALUE($D839),1000000000),IFERROR(IF(VALUE(MID($D839,2,20))&lt;100000000,VALUE(MID($D839,2,20)),1000000000),1000000000))+ROW()/100000,"")</f>
        <v/>
      </c>
    </row>
    <row r="840">
      <c r="F840" s="11" t="n"/>
      <c r="P840" s="7">
        <f>IF($D840="","",O840*X840/100)</f>
        <v/>
      </c>
      <c r="Q840" s="7" t="n"/>
      <c r="W840" s="7" t="n"/>
      <c r="X840" s="7" t="n"/>
      <c r="AA840">
        <f>IF($D840="","",IF($AP840=1,0,IF($AO840=1,Settings!$C$6,Settings!$C$7))*100)</f>
        <v/>
      </c>
      <c r="AB840" s="7">
        <f>IF($D840="","",X840*AA840/100)</f>
        <v/>
      </c>
      <c r="AC840" s="7">
        <f>IF($D840="","",X840-AB840)</f>
        <v/>
      </c>
      <c r="AD840" s="7">
        <f>IF($D840="","",AC840-P840)</f>
        <v/>
      </c>
      <c r="AH840" s="7" t="n"/>
      <c r="AK840" s="11" t="n"/>
      <c r="AM840">
        <f>IF($D840="","",IF(COUNTIF($D$2:$D840,$D840)=1,1,0))</f>
        <v/>
      </c>
      <c r="AN840">
        <f>IF($AM840=1,SUMPRODUCT(--($AQ$2:$AQ$1001&lt;$AQ840))+1,"")</f>
        <v/>
      </c>
      <c r="AO840">
        <f>IF($D840="","",IF(OR($T840=TRUE(),$T840="TRUE"),1,0))</f>
        <v/>
      </c>
      <c r="AP840">
        <f>IF($D840="","",IF($Z840="Yes",1,0))</f>
        <v/>
      </c>
      <c r="AQ840">
        <f>IF($AM840=1,IFERROR(IF(VALUE($D840)&lt;100000000,VALUE($D840),1000000000),IFERROR(IF(VALUE(MID($D840,2,20))&lt;100000000,VALUE(MID($D840,2,20)),1000000000),1000000000))+ROW()/100000,"")</f>
        <v/>
      </c>
    </row>
    <row r="841">
      <c r="F841" s="11" t="n"/>
      <c r="P841" s="7">
        <f>IF($D841="","",O841*X841/100)</f>
        <v/>
      </c>
      <c r="Q841" s="7" t="n"/>
      <c r="W841" s="7" t="n"/>
      <c r="X841" s="7" t="n"/>
      <c r="AA841">
        <f>IF($D841="","",IF($AP841=1,0,IF($AO841=1,Settings!$C$6,Settings!$C$7))*100)</f>
        <v/>
      </c>
      <c r="AB841" s="7">
        <f>IF($D841="","",X841*AA841/100)</f>
        <v/>
      </c>
      <c r="AC841" s="7">
        <f>IF($D841="","",X841-AB841)</f>
        <v/>
      </c>
      <c r="AD841" s="7">
        <f>IF($D841="","",AC841-P841)</f>
        <v/>
      </c>
      <c r="AH841" s="7" t="n"/>
      <c r="AK841" s="11" t="n"/>
      <c r="AM841">
        <f>IF($D841="","",IF(COUNTIF($D$2:$D841,$D841)=1,1,0))</f>
        <v/>
      </c>
      <c r="AN841">
        <f>IF($AM841=1,SUMPRODUCT(--($AQ$2:$AQ$1001&lt;$AQ841))+1,"")</f>
        <v/>
      </c>
      <c r="AO841">
        <f>IF($D841="","",IF(OR($T841=TRUE(),$T841="TRUE"),1,0))</f>
        <v/>
      </c>
      <c r="AP841">
        <f>IF($D841="","",IF($Z841="Yes",1,0))</f>
        <v/>
      </c>
      <c r="AQ841">
        <f>IF($AM841=1,IFERROR(IF(VALUE($D841)&lt;100000000,VALUE($D841),1000000000),IFERROR(IF(VALUE(MID($D841,2,20))&lt;100000000,VALUE(MID($D841,2,20)),1000000000),1000000000))+ROW()/100000,"")</f>
        <v/>
      </c>
    </row>
    <row r="842">
      <c r="F842" s="11" t="n"/>
      <c r="P842" s="7">
        <f>IF($D842="","",O842*X842/100)</f>
        <v/>
      </c>
      <c r="Q842" s="7" t="n"/>
      <c r="W842" s="7" t="n"/>
      <c r="X842" s="7" t="n"/>
      <c r="AA842">
        <f>IF($D842="","",IF($AP842=1,0,IF($AO842=1,Settings!$C$6,Settings!$C$7))*100)</f>
        <v/>
      </c>
      <c r="AB842" s="7">
        <f>IF($D842="","",X842*AA842/100)</f>
        <v/>
      </c>
      <c r="AC842" s="7">
        <f>IF($D842="","",X842-AB842)</f>
        <v/>
      </c>
      <c r="AD842" s="7">
        <f>IF($D842="","",AC842-P842)</f>
        <v/>
      </c>
      <c r="AH842" s="7" t="n"/>
      <c r="AK842" s="11" t="n"/>
      <c r="AM842">
        <f>IF($D842="","",IF(COUNTIF($D$2:$D842,$D842)=1,1,0))</f>
        <v/>
      </c>
      <c r="AN842">
        <f>IF($AM842=1,SUMPRODUCT(--($AQ$2:$AQ$1001&lt;$AQ842))+1,"")</f>
        <v/>
      </c>
      <c r="AO842">
        <f>IF($D842="","",IF(OR($T842=TRUE(),$T842="TRUE"),1,0))</f>
        <v/>
      </c>
      <c r="AP842">
        <f>IF($D842="","",IF($Z842="Yes",1,0))</f>
        <v/>
      </c>
      <c r="AQ842">
        <f>IF($AM842=1,IFERROR(IF(VALUE($D842)&lt;100000000,VALUE($D842),1000000000),IFERROR(IF(VALUE(MID($D842,2,20))&lt;100000000,VALUE(MID($D842,2,20)),1000000000),1000000000))+ROW()/100000,"")</f>
        <v/>
      </c>
    </row>
    <row r="843">
      <c r="F843" s="11" t="n"/>
      <c r="P843" s="7">
        <f>IF($D843="","",O843*X843/100)</f>
        <v/>
      </c>
      <c r="Q843" s="7" t="n"/>
      <c r="W843" s="7" t="n"/>
      <c r="X843" s="7" t="n"/>
      <c r="AA843">
        <f>IF($D843="","",IF($AP843=1,0,IF($AO843=1,Settings!$C$6,Settings!$C$7))*100)</f>
        <v/>
      </c>
      <c r="AB843" s="7">
        <f>IF($D843="","",X843*AA843/100)</f>
        <v/>
      </c>
      <c r="AC843" s="7">
        <f>IF($D843="","",X843-AB843)</f>
        <v/>
      </c>
      <c r="AD843" s="7">
        <f>IF($D843="","",AC843-P843)</f>
        <v/>
      </c>
      <c r="AH843" s="7" t="n"/>
      <c r="AK843" s="11" t="n"/>
      <c r="AM843">
        <f>IF($D843="","",IF(COUNTIF($D$2:$D843,$D843)=1,1,0))</f>
        <v/>
      </c>
      <c r="AN843">
        <f>IF($AM843=1,SUMPRODUCT(--($AQ$2:$AQ$1001&lt;$AQ843))+1,"")</f>
        <v/>
      </c>
      <c r="AO843">
        <f>IF($D843="","",IF(OR($T843=TRUE(),$T843="TRUE"),1,0))</f>
        <v/>
      </c>
      <c r="AP843">
        <f>IF($D843="","",IF($Z843="Yes",1,0))</f>
        <v/>
      </c>
      <c r="AQ843">
        <f>IF($AM843=1,IFERROR(IF(VALUE($D843)&lt;100000000,VALUE($D843),1000000000),IFERROR(IF(VALUE(MID($D843,2,20))&lt;100000000,VALUE(MID($D843,2,20)),1000000000),1000000000))+ROW()/100000,"")</f>
        <v/>
      </c>
    </row>
    <row r="844">
      <c r="F844" s="11" t="n"/>
      <c r="P844" s="7">
        <f>IF($D844="","",O844*X844/100)</f>
        <v/>
      </c>
      <c r="Q844" s="7" t="n"/>
      <c r="W844" s="7" t="n"/>
      <c r="X844" s="7" t="n"/>
      <c r="AA844">
        <f>IF($D844="","",IF($AP844=1,0,IF($AO844=1,Settings!$C$6,Settings!$C$7))*100)</f>
        <v/>
      </c>
      <c r="AB844" s="7">
        <f>IF($D844="","",X844*AA844/100)</f>
        <v/>
      </c>
      <c r="AC844" s="7">
        <f>IF($D844="","",X844-AB844)</f>
        <v/>
      </c>
      <c r="AD844" s="7">
        <f>IF($D844="","",AC844-P844)</f>
        <v/>
      </c>
      <c r="AH844" s="7" t="n"/>
      <c r="AK844" s="11" t="n"/>
      <c r="AM844">
        <f>IF($D844="","",IF(COUNTIF($D$2:$D844,$D844)=1,1,0))</f>
        <v/>
      </c>
      <c r="AN844">
        <f>IF($AM844=1,SUMPRODUCT(--($AQ$2:$AQ$1001&lt;$AQ844))+1,"")</f>
        <v/>
      </c>
      <c r="AO844">
        <f>IF($D844="","",IF(OR($T844=TRUE(),$T844="TRUE"),1,0))</f>
        <v/>
      </c>
      <c r="AP844">
        <f>IF($D844="","",IF($Z844="Yes",1,0))</f>
        <v/>
      </c>
      <c r="AQ844">
        <f>IF($AM844=1,IFERROR(IF(VALUE($D844)&lt;100000000,VALUE($D844),1000000000),IFERROR(IF(VALUE(MID($D844,2,20))&lt;100000000,VALUE(MID($D844,2,20)),1000000000),1000000000))+ROW()/100000,"")</f>
        <v/>
      </c>
    </row>
    <row r="845">
      <c r="F845" s="11" t="n"/>
      <c r="P845" s="7">
        <f>IF($D845="","",O845*X845/100)</f>
        <v/>
      </c>
      <c r="Q845" s="7" t="n"/>
      <c r="W845" s="7" t="n"/>
      <c r="X845" s="7" t="n"/>
      <c r="AA845">
        <f>IF($D845="","",IF($AP845=1,0,IF($AO845=1,Settings!$C$6,Settings!$C$7))*100)</f>
        <v/>
      </c>
      <c r="AB845" s="7">
        <f>IF($D845="","",X845*AA845/100)</f>
        <v/>
      </c>
      <c r="AC845" s="7">
        <f>IF($D845="","",X845-AB845)</f>
        <v/>
      </c>
      <c r="AD845" s="7">
        <f>IF($D845="","",AC845-P845)</f>
        <v/>
      </c>
      <c r="AH845" s="7" t="n"/>
      <c r="AK845" s="11" t="n"/>
      <c r="AM845">
        <f>IF($D845="","",IF(COUNTIF($D$2:$D845,$D845)=1,1,0))</f>
        <v/>
      </c>
      <c r="AN845">
        <f>IF($AM845=1,SUMPRODUCT(--($AQ$2:$AQ$1001&lt;$AQ845))+1,"")</f>
        <v/>
      </c>
      <c r="AO845">
        <f>IF($D845="","",IF(OR($T845=TRUE(),$T845="TRUE"),1,0))</f>
        <v/>
      </c>
      <c r="AP845">
        <f>IF($D845="","",IF($Z845="Yes",1,0))</f>
        <v/>
      </c>
      <c r="AQ845">
        <f>IF($AM845=1,IFERROR(IF(VALUE($D845)&lt;100000000,VALUE($D845),1000000000),IFERROR(IF(VALUE(MID($D845,2,20))&lt;100000000,VALUE(MID($D845,2,20)),1000000000),1000000000))+ROW()/100000,"")</f>
        <v/>
      </c>
    </row>
    <row r="846">
      <c r="F846" s="11" t="n"/>
      <c r="P846" s="7">
        <f>IF($D846="","",O846*X846/100)</f>
        <v/>
      </c>
      <c r="Q846" s="7" t="n"/>
      <c r="W846" s="7" t="n"/>
      <c r="X846" s="7" t="n"/>
      <c r="AA846">
        <f>IF($D846="","",IF($AP846=1,0,IF($AO846=1,Settings!$C$6,Settings!$C$7))*100)</f>
        <v/>
      </c>
      <c r="AB846" s="7">
        <f>IF($D846="","",X846*AA846/100)</f>
        <v/>
      </c>
      <c r="AC846" s="7">
        <f>IF($D846="","",X846-AB846)</f>
        <v/>
      </c>
      <c r="AD846" s="7">
        <f>IF($D846="","",AC846-P846)</f>
        <v/>
      </c>
      <c r="AH846" s="7" t="n"/>
      <c r="AK846" s="11" t="n"/>
      <c r="AM846">
        <f>IF($D846="","",IF(COUNTIF($D$2:$D846,$D846)=1,1,0))</f>
        <v/>
      </c>
      <c r="AN846">
        <f>IF($AM846=1,SUMPRODUCT(--($AQ$2:$AQ$1001&lt;$AQ846))+1,"")</f>
        <v/>
      </c>
      <c r="AO846">
        <f>IF($D846="","",IF(OR($T846=TRUE(),$T846="TRUE"),1,0))</f>
        <v/>
      </c>
      <c r="AP846">
        <f>IF($D846="","",IF($Z846="Yes",1,0))</f>
        <v/>
      </c>
      <c r="AQ846">
        <f>IF($AM846=1,IFERROR(IF(VALUE($D846)&lt;100000000,VALUE($D846),1000000000),IFERROR(IF(VALUE(MID($D846,2,20))&lt;100000000,VALUE(MID($D846,2,20)),1000000000),1000000000))+ROW()/100000,"")</f>
        <v/>
      </c>
    </row>
    <row r="847">
      <c r="F847" s="11" t="n"/>
      <c r="P847" s="7">
        <f>IF($D847="","",O847*X847/100)</f>
        <v/>
      </c>
      <c r="Q847" s="7" t="n"/>
      <c r="W847" s="7" t="n"/>
      <c r="X847" s="7" t="n"/>
      <c r="AA847">
        <f>IF($D847="","",IF($AP847=1,0,IF($AO847=1,Settings!$C$6,Settings!$C$7))*100)</f>
        <v/>
      </c>
      <c r="AB847" s="7">
        <f>IF($D847="","",X847*AA847/100)</f>
        <v/>
      </c>
      <c r="AC847" s="7">
        <f>IF($D847="","",X847-AB847)</f>
        <v/>
      </c>
      <c r="AD847" s="7">
        <f>IF($D847="","",AC847-P847)</f>
        <v/>
      </c>
      <c r="AH847" s="7" t="n"/>
      <c r="AK847" s="11" t="n"/>
      <c r="AM847">
        <f>IF($D847="","",IF(COUNTIF($D$2:$D847,$D847)=1,1,0))</f>
        <v/>
      </c>
      <c r="AN847">
        <f>IF($AM847=1,SUMPRODUCT(--($AQ$2:$AQ$1001&lt;$AQ847))+1,"")</f>
        <v/>
      </c>
      <c r="AO847">
        <f>IF($D847="","",IF(OR($T847=TRUE(),$T847="TRUE"),1,0))</f>
        <v/>
      </c>
      <c r="AP847">
        <f>IF($D847="","",IF($Z847="Yes",1,0))</f>
        <v/>
      </c>
      <c r="AQ847">
        <f>IF($AM847=1,IFERROR(IF(VALUE($D847)&lt;100000000,VALUE($D847),1000000000),IFERROR(IF(VALUE(MID($D847,2,20))&lt;100000000,VALUE(MID($D847,2,20)),1000000000),1000000000))+ROW()/100000,"")</f>
        <v/>
      </c>
    </row>
    <row r="848">
      <c r="F848" s="11" t="n"/>
      <c r="P848" s="7">
        <f>IF($D848="","",O848*X848/100)</f>
        <v/>
      </c>
      <c r="Q848" s="7" t="n"/>
      <c r="W848" s="7" t="n"/>
      <c r="X848" s="7" t="n"/>
      <c r="AA848">
        <f>IF($D848="","",IF($AP848=1,0,IF($AO848=1,Settings!$C$6,Settings!$C$7))*100)</f>
        <v/>
      </c>
      <c r="AB848" s="7">
        <f>IF($D848="","",X848*AA848/100)</f>
        <v/>
      </c>
      <c r="AC848" s="7">
        <f>IF($D848="","",X848-AB848)</f>
        <v/>
      </c>
      <c r="AD848" s="7">
        <f>IF($D848="","",AC848-P848)</f>
        <v/>
      </c>
      <c r="AH848" s="7" t="n"/>
      <c r="AK848" s="11" t="n"/>
      <c r="AM848">
        <f>IF($D848="","",IF(COUNTIF($D$2:$D848,$D848)=1,1,0))</f>
        <v/>
      </c>
      <c r="AN848">
        <f>IF($AM848=1,SUMPRODUCT(--($AQ$2:$AQ$1001&lt;$AQ848))+1,"")</f>
        <v/>
      </c>
      <c r="AO848">
        <f>IF($D848="","",IF(OR($T848=TRUE(),$T848="TRUE"),1,0))</f>
        <v/>
      </c>
      <c r="AP848">
        <f>IF($D848="","",IF($Z848="Yes",1,0))</f>
        <v/>
      </c>
      <c r="AQ848">
        <f>IF($AM848=1,IFERROR(IF(VALUE($D848)&lt;100000000,VALUE($D848),1000000000),IFERROR(IF(VALUE(MID($D848,2,20))&lt;100000000,VALUE(MID($D848,2,20)),1000000000),1000000000))+ROW()/100000,"")</f>
        <v/>
      </c>
    </row>
    <row r="849">
      <c r="F849" s="11" t="n"/>
      <c r="P849" s="7">
        <f>IF($D849="","",O849*X849/100)</f>
        <v/>
      </c>
      <c r="Q849" s="7" t="n"/>
      <c r="W849" s="7" t="n"/>
      <c r="X849" s="7" t="n"/>
      <c r="AA849">
        <f>IF($D849="","",IF($AP849=1,0,IF($AO849=1,Settings!$C$6,Settings!$C$7))*100)</f>
        <v/>
      </c>
      <c r="AB849" s="7">
        <f>IF($D849="","",X849*AA849/100)</f>
        <v/>
      </c>
      <c r="AC849" s="7">
        <f>IF($D849="","",X849-AB849)</f>
        <v/>
      </c>
      <c r="AD849" s="7">
        <f>IF($D849="","",AC849-P849)</f>
        <v/>
      </c>
      <c r="AH849" s="7" t="n"/>
      <c r="AK849" s="11" t="n"/>
      <c r="AM849">
        <f>IF($D849="","",IF(COUNTIF($D$2:$D849,$D849)=1,1,0))</f>
        <v/>
      </c>
      <c r="AN849">
        <f>IF($AM849=1,SUMPRODUCT(--($AQ$2:$AQ$1001&lt;$AQ849))+1,"")</f>
        <v/>
      </c>
      <c r="AO849">
        <f>IF($D849="","",IF(OR($T849=TRUE(),$T849="TRUE"),1,0))</f>
        <v/>
      </c>
      <c r="AP849">
        <f>IF($D849="","",IF($Z849="Yes",1,0))</f>
        <v/>
      </c>
      <c r="AQ849">
        <f>IF($AM849=1,IFERROR(IF(VALUE($D849)&lt;100000000,VALUE($D849),1000000000),IFERROR(IF(VALUE(MID($D849,2,20))&lt;100000000,VALUE(MID($D849,2,20)),1000000000),1000000000))+ROW()/100000,"")</f>
        <v/>
      </c>
    </row>
    <row r="850">
      <c r="F850" s="11" t="n"/>
      <c r="P850" s="7">
        <f>IF($D850="","",O850*X850/100)</f>
        <v/>
      </c>
      <c r="Q850" s="7" t="n"/>
      <c r="W850" s="7" t="n"/>
      <c r="X850" s="7" t="n"/>
      <c r="AA850">
        <f>IF($D850="","",IF($AP850=1,0,IF($AO850=1,Settings!$C$6,Settings!$C$7))*100)</f>
        <v/>
      </c>
      <c r="AB850" s="7">
        <f>IF($D850="","",X850*AA850/100)</f>
        <v/>
      </c>
      <c r="AC850" s="7">
        <f>IF($D850="","",X850-AB850)</f>
        <v/>
      </c>
      <c r="AD850" s="7">
        <f>IF($D850="","",AC850-P850)</f>
        <v/>
      </c>
      <c r="AH850" s="7" t="n"/>
      <c r="AK850" s="11" t="n"/>
      <c r="AM850">
        <f>IF($D850="","",IF(COUNTIF($D$2:$D850,$D850)=1,1,0))</f>
        <v/>
      </c>
      <c r="AN850">
        <f>IF($AM850=1,SUMPRODUCT(--($AQ$2:$AQ$1001&lt;$AQ850))+1,"")</f>
        <v/>
      </c>
      <c r="AO850">
        <f>IF($D850="","",IF(OR($T850=TRUE(),$T850="TRUE"),1,0))</f>
        <v/>
      </c>
      <c r="AP850">
        <f>IF($D850="","",IF($Z850="Yes",1,0))</f>
        <v/>
      </c>
      <c r="AQ850">
        <f>IF($AM850=1,IFERROR(IF(VALUE($D850)&lt;100000000,VALUE($D850),1000000000),IFERROR(IF(VALUE(MID($D850,2,20))&lt;100000000,VALUE(MID($D850,2,20)),1000000000),1000000000))+ROW()/100000,"")</f>
        <v/>
      </c>
    </row>
    <row r="851">
      <c r="F851" s="11" t="n"/>
      <c r="P851" s="7">
        <f>IF($D851="","",O851*X851/100)</f>
        <v/>
      </c>
      <c r="Q851" s="7" t="n"/>
      <c r="W851" s="7" t="n"/>
      <c r="X851" s="7" t="n"/>
      <c r="AA851">
        <f>IF($D851="","",IF($AP851=1,0,IF($AO851=1,Settings!$C$6,Settings!$C$7))*100)</f>
        <v/>
      </c>
      <c r="AB851" s="7">
        <f>IF($D851="","",X851*AA851/100)</f>
        <v/>
      </c>
      <c r="AC851" s="7">
        <f>IF($D851="","",X851-AB851)</f>
        <v/>
      </c>
      <c r="AD851" s="7">
        <f>IF($D851="","",AC851-P851)</f>
        <v/>
      </c>
      <c r="AH851" s="7" t="n"/>
      <c r="AK851" s="11" t="n"/>
      <c r="AM851">
        <f>IF($D851="","",IF(COUNTIF($D$2:$D851,$D851)=1,1,0))</f>
        <v/>
      </c>
      <c r="AN851">
        <f>IF($AM851=1,SUMPRODUCT(--($AQ$2:$AQ$1001&lt;$AQ851))+1,"")</f>
        <v/>
      </c>
      <c r="AO851">
        <f>IF($D851="","",IF(OR($T851=TRUE(),$T851="TRUE"),1,0))</f>
        <v/>
      </c>
      <c r="AP851">
        <f>IF($D851="","",IF($Z851="Yes",1,0))</f>
        <v/>
      </c>
      <c r="AQ851">
        <f>IF($AM851=1,IFERROR(IF(VALUE($D851)&lt;100000000,VALUE($D851),1000000000),IFERROR(IF(VALUE(MID($D851,2,20))&lt;100000000,VALUE(MID($D851,2,20)),1000000000),1000000000))+ROW()/100000,"")</f>
        <v/>
      </c>
    </row>
    <row r="852">
      <c r="F852" s="11" t="n"/>
      <c r="P852" s="7">
        <f>IF($D852="","",O852*X852/100)</f>
        <v/>
      </c>
      <c r="Q852" s="7" t="n"/>
      <c r="W852" s="7" t="n"/>
      <c r="X852" s="7" t="n"/>
      <c r="AA852">
        <f>IF($D852="","",IF($AP852=1,0,IF($AO852=1,Settings!$C$6,Settings!$C$7))*100)</f>
        <v/>
      </c>
      <c r="AB852" s="7">
        <f>IF($D852="","",X852*AA852/100)</f>
        <v/>
      </c>
      <c r="AC852" s="7">
        <f>IF($D852="","",X852-AB852)</f>
        <v/>
      </c>
      <c r="AD852" s="7">
        <f>IF($D852="","",AC852-P852)</f>
        <v/>
      </c>
      <c r="AH852" s="7" t="n"/>
      <c r="AK852" s="11" t="n"/>
      <c r="AM852">
        <f>IF($D852="","",IF(COUNTIF($D$2:$D852,$D852)=1,1,0))</f>
        <v/>
      </c>
      <c r="AN852">
        <f>IF($AM852=1,SUMPRODUCT(--($AQ$2:$AQ$1001&lt;$AQ852))+1,"")</f>
        <v/>
      </c>
      <c r="AO852">
        <f>IF($D852="","",IF(OR($T852=TRUE(),$T852="TRUE"),1,0))</f>
        <v/>
      </c>
      <c r="AP852">
        <f>IF($D852="","",IF($Z852="Yes",1,0))</f>
        <v/>
      </c>
      <c r="AQ852">
        <f>IF($AM852=1,IFERROR(IF(VALUE($D852)&lt;100000000,VALUE($D852),1000000000),IFERROR(IF(VALUE(MID($D852,2,20))&lt;100000000,VALUE(MID($D852,2,20)),1000000000),1000000000))+ROW()/100000,"")</f>
        <v/>
      </c>
    </row>
    <row r="853">
      <c r="F853" s="11" t="n"/>
      <c r="P853" s="7">
        <f>IF($D853="","",O853*X853/100)</f>
        <v/>
      </c>
      <c r="Q853" s="7" t="n"/>
      <c r="W853" s="7" t="n"/>
      <c r="X853" s="7" t="n"/>
      <c r="AA853">
        <f>IF($D853="","",IF($AP853=1,0,IF($AO853=1,Settings!$C$6,Settings!$C$7))*100)</f>
        <v/>
      </c>
      <c r="AB853" s="7">
        <f>IF($D853="","",X853*AA853/100)</f>
        <v/>
      </c>
      <c r="AC853" s="7">
        <f>IF($D853="","",X853-AB853)</f>
        <v/>
      </c>
      <c r="AD853" s="7">
        <f>IF($D853="","",AC853-P853)</f>
        <v/>
      </c>
      <c r="AH853" s="7" t="n"/>
      <c r="AK853" s="11" t="n"/>
      <c r="AM853">
        <f>IF($D853="","",IF(COUNTIF($D$2:$D853,$D853)=1,1,0))</f>
        <v/>
      </c>
      <c r="AN853">
        <f>IF($AM853=1,SUMPRODUCT(--($AQ$2:$AQ$1001&lt;$AQ853))+1,"")</f>
        <v/>
      </c>
      <c r="AO853">
        <f>IF($D853="","",IF(OR($T853=TRUE(),$T853="TRUE"),1,0))</f>
        <v/>
      </c>
      <c r="AP853">
        <f>IF($D853="","",IF($Z853="Yes",1,0))</f>
        <v/>
      </c>
      <c r="AQ853">
        <f>IF($AM853=1,IFERROR(IF(VALUE($D853)&lt;100000000,VALUE($D853),1000000000),IFERROR(IF(VALUE(MID($D853,2,20))&lt;100000000,VALUE(MID($D853,2,20)),1000000000),1000000000))+ROW()/100000,"")</f>
        <v/>
      </c>
    </row>
    <row r="854">
      <c r="F854" s="11" t="n"/>
      <c r="P854" s="7">
        <f>IF($D854="","",O854*X854/100)</f>
        <v/>
      </c>
      <c r="Q854" s="7" t="n"/>
      <c r="W854" s="7" t="n"/>
      <c r="X854" s="7" t="n"/>
      <c r="AA854">
        <f>IF($D854="","",IF($AP854=1,0,IF($AO854=1,Settings!$C$6,Settings!$C$7))*100)</f>
        <v/>
      </c>
      <c r="AB854" s="7">
        <f>IF($D854="","",X854*AA854/100)</f>
        <v/>
      </c>
      <c r="AC854" s="7">
        <f>IF($D854="","",X854-AB854)</f>
        <v/>
      </c>
      <c r="AD854" s="7">
        <f>IF($D854="","",AC854-P854)</f>
        <v/>
      </c>
      <c r="AH854" s="7" t="n"/>
      <c r="AK854" s="11" t="n"/>
      <c r="AM854">
        <f>IF($D854="","",IF(COUNTIF($D$2:$D854,$D854)=1,1,0))</f>
        <v/>
      </c>
      <c r="AN854">
        <f>IF($AM854=1,SUMPRODUCT(--($AQ$2:$AQ$1001&lt;$AQ854))+1,"")</f>
        <v/>
      </c>
      <c r="AO854">
        <f>IF($D854="","",IF(OR($T854=TRUE(),$T854="TRUE"),1,0))</f>
        <v/>
      </c>
      <c r="AP854">
        <f>IF($D854="","",IF($Z854="Yes",1,0))</f>
        <v/>
      </c>
      <c r="AQ854">
        <f>IF($AM854=1,IFERROR(IF(VALUE($D854)&lt;100000000,VALUE($D854),1000000000),IFERROR(IF(VALUE(MID($D854,2,20))&lt;100000000,VALUE(MID($D854,2,20)),1000000000),1000000000))+ROW()/100000,"")</f>
        <v/>
      </c>
    </row>
    <row r="855">
      <c r="F855" s="11" t="n"/>
      <c r="P855" s="7">
        <f>IF($D855="","",O855*X855/100)</f>
        <v/>
      </c>
      <c r="Q855" s="7" t="n"/>
      <c r="W855" s="7" t="n"/>
      <c r="X855" s="7" t="n"/>
      <c r="AA855">
        <f>IF($D855="","",IF($AP855=1,0,IF($AO855=1,Settings!$C$6,Settings!$C$7))*100)</f>
        <v/>
      </c>
      <c r="AB855" s="7">
        <f>IF($D855="","",X855*AA855/100)</f>
        <v/>
      </c>
      <c r="AC855" s="7">
        <f>IF($D855="","",X855-AB855)</f>
        <v/>
      </c>
      <c r="AD855" s="7">
        <f>IF($D855="","",AC855-P855)</f>
        <v/>
      </c>
      <c r="AH855" s="7" t="n"/>
      <c r="AK855" s="11" t="n"/>
      <c r="AM855">
        <f>IF($D855="","",IF(COUNTIF($D$2:$D855,$D855)=1,1,0))</f>
        <v/>
      </c>
      <c r="AN855">
        <f>IF($AM855=1,SUMPRODUCT(--($AQ$2:$AQ$1001&lt;$AQ855))+1,"")</f>
        <v/>
      </c>
      <c r="AO855">
        <f>IF($D855="","",IF(OR($T855=TRUE(),$T855="TRUE"),1,0))</f>
        <v/>
      </c>
      <c r="AP855">
        <f>IF($D855="","",IF($Z855="Yes",1,0))</f>
        <v/>
      </c>
      <c r="AQ855">
        <f>IF($AM855=1,IFERROR(IF(VALUE($D855)&lt;100000000,VALUE($D855),1000000000),IFERROR(IF(VALUE(MID($D855,2,20))&lt;100000000,VALUE(MID($D855,2,20)),1000000000),1000000000))+ROW()/100000,"")</f>
        <v/>
      </c>
    </row>
    <row r="856">
      <c r="F856" s="11" t="n"/>
      <c r="P856" s="7">
        <f>IF($D856="","",O856*X856/100)</f>
        <v/>
      </c>
      <c r="Q856" s="7" t="n"/>
      <c r="W856" s="7" t="n"/>
      <c r="X856" s="7" t="n"/>
      <c r="AA856">
        <f>IF($D856="","",IF($AP856=1,0,IF($AO856=1,Settings!$C$6,Settings!$C$7))*100)</f>
        <v/>
      </c>
      <c r="AB856" s="7">
        <f>IF($D856="","",X856*AA856/100)</f>
        <v/>
      </c>
      <c r="AC856" s="7">
        <f>IF($D856="","",X856-AB856)</f>
        <v/>
      </c>
      <c r="AD856" s="7">
        <f>IF($D856="","",AC856-P856)</f>
        <v/>
      </c>
      <c r="AH856" s="7" t="n"/>
      <c r="AK856" s="11" t="n"/>
      <c r="AM856">
        <f>IF($D856="","",IF(COUNTIF($D$2:$D856,$D856)=1,1,0))</f>
        <v/>
      </c>
      <c r="AN856">
        <f>IF($AM856=1,SUMPRODUCT(--($AQ$2:$AQ$1001&lt;$AQ856))+1,"")</f>
        <v/>
      </c>
      <c r="AO856">
        <f>IF($D856="","",IF(OR($T856=TRUE(),$T856="TRUE"),1,0))</f>
        <v/>
      </c>
      <c r="AP856">
        <f>IF($D856="","",IF($Z856="Yes",1,0))</f>
        <v/>
      </c>
      <c r="AQ856">
        <f>IF($AM856=1,IFERROR(IF(VALUE($D856)&lt;100000000,VALUE($D856),1000000000),IFERROR(IF(VALUE(MID($D856,2,20))&lt;100000000,VALUE(MID($D856,2,20)),1000000000),1000000000))+ROW()/100000,"")</f>
        <v/>
      </c>
    </row>
    <row r="857">
      <c r="F857" s="11" t="n"/>
      <c r="P857" s="7">
        <f>IF($D857="","",O857*X857/100)</f>
        <v/>
      </c>
      <c r="Q857" s="7" t="n"/>
      <c r="W857" s="7" t="n"/>
      <c r="X857" s="7" t="n"/>
      <c r="AA857">
        <f>IF($D857="","",IF($AP857=1,0,IF($AO857=1,Settings!$C$6,Settings!$C$7))*100)</f>
        <v/>
      </c>
      <c r="AB857" s="7">
        <f>IF($D857="","",X857*AA857/100)</f>
        <v/>
      </c>
      <c r="AC857" s="7">
        <f>IF($D857="","",X857-AB857)</f>
        <v/>
      </c>
      <c r="AD857" s="7">
        <f>IF($D857="","",AC857-P857)</f>
        <v/>
      </c>
      <c r="AH857" s="7" t="n"/>
      <c r="AK857" s="11" t="n"/>
      <c r="AM857">
        <f>IF($D857="","",IF(COUNTIF($D$2:$D857,$D857)=1,1,0))</f>
        <v/>
      </c>
      <c r="AN857">
        <f>IF($AM857=1,SUMPRODUCT(--($AQ$2:$AQ$1001&lt;$AQ857))+1,"")</f>
        <v/>
      </c>
      <c r="AO857">
        <f>IF($D857="","",IF(OR($T857=TRUE(),$T857="TRUE"),1,0))</f>
        <v/>
      </c>
      <c r="AP857">
        <f>IF($D857="","",IF($Z857="Yes",1,0))</f>
        <v/>
      </c>
      <c r="AQ857">
        <f>IF($AM857=1,IFERROR(IF(VALUE($D857)&lt;100000000,VALUE($D857),1000000000),IFERROR(IF(VALUE(MID($D857,2,20))&lt;100000000,VALUE(MID($D857,2,20)),1000000000),1000000000))+ROW()/100000,"")</f>
        <v/>
      </c>
    </row>
    <row r="858">
      <c r="F858" s="11" t="n"/>
      <c r="P858" s="7">
        <f>IF($D858="","",O858*X858/100)</f>
        <v/>
      </c>
      <c r="Q858" s="7" t="n"/>
      <c r="W858" s="7" t="n"/>
      <c r="X858" s="7" t="n"/>
      <c r="AA858">
        <f>IF($D858="","",IF($AP858=1,0,IF($AO858=1,Settings!$C$6,Settings!$C$7))*100)</f>
        <v/>
      </c>
      <c r="AB858" s="7">
        <f>IF($D858="","",X858*AA858/100)</f>
        <v/>
      </c>
      <c r="AC858" s="7">
        <f>IF($D858="","",X858-AB858)</f>
        <v/>
      </c>
      <c r="AD858" s="7">
        <f>IF($D858="","",AC858-P858)</f>
        <v/>
      </c>
      <c r="AH858" s="7" t="n"/>
      <c r="AK858" s="11" t="n"/>
      <c r="AM858">
        <f>IF($D858="","",IF(COUNTIF($D$2:$D858,$D858)=1,1,0))</f>
        <v/>
      </c>
      <c r="AN858">
        <f>IF($AM858=1,SUMPRODUCT(--($AQ$2:$AQ$1001&lt;$AQ858))+1,"")</f>
        <v/>
      </c>
      <c r="AO858">
        <f>IF($D858="","",IF(OR($T858=TRUE(),$T858="TRUE"),1,0))</f>
        <v/>
      </c>
      <c r="AP858">
        <f>IF($D858="","",IF($Z858="Yes",1,0))</f>
        <v/>
      </c>
      <c r="AQ858">
        <f>IF($AM858=1,IFERROR(IF(VALUE($D858)&lt;100000000,VALUE($D858),1000000000),IFERROR(IF(VALUE(MID($D858,2,20))&lt;100000000,VALUE(MID($D858,2,20)),1000000000),1000000000))+ROW()/100000,"")</f>
        <v/>
      </c>
    </row>
    <row r="859">
      <c r="F859" s="11" t="n"/>
      <c r="P859" s="7">
        <f>IF($D859="","",O859*X859/100)</f>
        <v/>
      </c>
      <c r="Q859" s="7" t="n"/>
      <c r="W859" s="7" t="n"/>
      <c r="X859" s="7" t="n"/>
      <c r="AA859">
        <f>IF($D859="","",IF($AP859=1,0,IF($AO859=1,Settings!$C$6,Settings!$C$7))*100)</f>
        <v/>
      </c>
      <c r="AB859" s="7">
        <f>IF($D859="","",X859*AA859/100)</f>
        <v/>
      </c>
      <c r="AC859" s="7">
        <f>IF($D859="","",X859-AB859)</f>
        <v/>
      </c>
      <c r="AD859" s="7">
        <f>IF($D859="","",AC859-P859)</f>
        <v/>
      </c>
      <c r="AH859" s="7" t="n"/>
      <c r="AK859" s="11" t="n"/>
      <c r="AM859">
        <f>IF($D859="","",IF(COUNTIF($D$2:$D859,$D859)=1,1,0))</f>
        <v/>
      </c>
      <c r="AN859">
        <f>IF($AM859=1,SUMPRODUCT(--($AQ$2:$AQ$1001&lt;$AQ859))+1,"")</f>
        <v/>
      </c>
      <c r="AO859">
        <f>IF($D859="","",IF(OR($T859=TRUE(),$T859="TRUE"),1,0))</f>
        <v/>
      </c>
      <c r="AP859">
        <f>IF($D859="","",IF($Z859="Yes",1,0))</f>
        <v/>
      </c>
      <c r="AQ859">
        <f>IF($AM859=1,IFERROR(IF(VALUE($D859)&lt;100000000,VALUE($D859),1000000000),IFERROR(IF(VALUE(MID($D859,2,20))&lt;100000000,VALUE(MID($D859,2,20)),1000000000),1000000000))+ROW()/100000,"")</f>
        <v/>
      </c>
    </row>
    <row r="860">
      <c r="F860" s="11" t="n"/>
      <c r="P860" s="7">
        <f>IF($D860="","",O860*X860/100)</f>
        <v/>
      </c>
      <c r="Q860" s="7" t="n"/>
      <c r="W860" s="7" t="n"/>
      <c r="X860" s="7" t="n"/>
      <c r="AA860">
        <f>IF($D860="","",IF($AP860=1,0,IF($AO860=1,Settings!$C$6,Settings!$C$7))*100)</f>
        <v/>
      </c>
      <c r="AB860" s="7">
        <f>IF($D860="","",X860*AA860/100)</f>
        <v/>
      </c>
      <c r="AC860" s="7">
        <f>IF($D860="","",X860-AB860)</f>
        <v/>
      </c>
      <c r="AD860" s="7">
        <f>IF($D860="","",AC860-P860)</f>
        <v/>
      </c>
      <c r="AH860" s="7" t="n"/>
      <c r="AK860" s="11" t="n"/>
      <c r="AM860">
        <f>IF($D860="","",IF(COUNTIF($D$2:$D860,$D860)=1,1,0))</f>
        <v/>
      </c>
      <c r="AN860">
        <f>IF($AM860=1,SUMPRODUCT(--($AQ$2:$AQ$1001&lt;$AQ860))+1,"")</f>
        <v/>
      </c>
      <c r="AO860">
        <f>IF($D860="","",IF(OR($T860=TRUE(),$T860="TRUE"),1,0))</f>
        <v/>
      </c>
      <c r="AP860">
        <f>IF($D860="","",IF($Z860="Yes",1,0))</f>
        <v/>
      </c>
      <c r="AQ860">
        <f>IF($AM860=1,IFERROR(IF(VALUE($D860)&lt;100000000,VALUE($D860),1000000000),IFERROR(IF(VALUE(MID($D860,2,20))&lt;100000000,VALUE(MID($D860,2,20)),1000000000),1000000000))+ROW()/100000,"")</f>
        <v/>
      </c>
    </row>
    <row r="861">
      <c r="F861" s="11" t="n"/>
      <c r="P861" s="7">
        <f>IF($D861="","",O861*X861/100)</f>
        <v/>
      </c>
      <c r="Q861" s="7" t="n"/>
      <c r="W861" s="7" t="n"/>
      <c r="X861" s="7" t="n"/>
      <c r="AA861">
        <f>IF($D861="","",IF($AP861=1,0,IF($AO861=1,Settings!$C$6,Settings!$C$7))*100)</f>
        <v/>
      </c>
      <c r="AB861" s="7">
        <f>IF($D861="","",X861*AA861/100)</f>
        <v/>
      </c>
      <c r="AC861" s="7">
        <f>IF($D861="","",X861-AB861)</f>
        <v/>
      </c>
      <c r="AD861" s="7">
        <f>IF($D861="","",AC861-P861)</f>
        <v/>
      </c>
      <c r="AH861" s="7" t="n"/>
      <c r="AK861" s="11" t="n"/>
      <c r="AM861">
        <f>IF($D861="","",IF(COUNTIF($D$2:$D861,$D861)=1,1,0))</f>
        <v/>
      </c>
      <c r="AN861">
        <f>IF($AM861=1,SUMPRODUCT(--($AQ$2:$AQ$1001&lt;$AQ861))+1,"")</f>
        <v/>
      </c>
      <c r="AO861">
        <f>IF($D861="","",IF(OR($T861=TRUE(),$T861="TRUE"),1,0))</f>
        <v/>
      </c>
      <c r="AP861">
        <f>IF($D861="","",IF($Z861="Yes",1,0))</f>
        <v/>
      </c>
      <c r="AQ861">
        <f>IF($AM861=1,IFERROR(IF(VALUE($D861)&lt;100000000,VALUE($D861),1000000000),IFERROR(IF(VALUE(MID($D861,2,20))&lt;100000000,VALUE(MID($D861,2,20)),1000000000),1000000000))+ROW()/100000,"")</f>
        <v/>
      </c>
    </row>
    <row r="862">
      <c r="F862" s="11" t="n"/>
      <c r="P862" s="7">
        <f>IF($D862="","",O862*X862/100)</f>
        <v/>
      </c>
      <c r="Q862" s="7" t="n"/>
      <c r="W862" s="7" t="n"/>
      <c r="X862" s="7" t="n"/>
      <c r="AA862">
        <f>IF($D862="","",IF($AP862=1,0,IF($AO862=1,Settings!$C$6,Settings!$C$7))*100)</f>
        <v/>
      </c>
      <c r="AB862" s="7">
        <f>IF($D862="","",X862*AA862/100)</f>
        <v/>
      </c>
      <c r="AC862" s="7">
        <f>IF($D862="","",X862-AB862)</f>
        <v/>
      </c>
      <c r="AD862" s="7">
        <f>IF($D862="","",AC862-P862)</f>
        <v/>
      </c>
      <c r="AH862" s="7" t="n"/>
      <c r="AK862" s="11" t="n"/>
      <c r="AM862">
        <f>IF($D862="","",IF(COUNTIF($D$2:$D862,$D862)=1,1,0))</f>
        <v/>
      </c>
      <c r="AN862">
        <f>IF($AM862=1,SUMPRODUCT(--($AQ$2:$AQ$1001&lt;$AQ862))+1,"")</f>
        <v/>
      </c>
      <c r="AO862">
        <f>IF($D862="","",IF(OR($T862=TRUE(),$T862="TRUE"),1,0))</f>
        <v/>
      </c>
      <c r="AP862">
        <f>IF($D862="","",IF($Z862="Yes",1,0))</f>
        <v/>
      </c>
      <c r="AQ862">
        <f>IF($AM862=1,IFERROR(IF(VALUE($D862)&lt;100000000,VALUE($D862),1000000000),IFERROR(IF(VALUE(MID($D862,2,20))&lt;100000000,VALUE(MID($D862,2,20)),1000000000),1000000000))+ROW()/100000,"")</f>
        <v/>
      </c>
    </row>
    <row r="863">
      <c r="F863" s="11" t="n"/>
      <c r="P863" s="7">
        <f>IF($D863="","",O863*X863/100)</f>
        <v/>
      </c>
      <c r="Q863" s="7" t="n"/>
      <c r="W863" s="7" t="n"/>
      <c r="X863" s="7" t="n"/>
      <c r="AA863">
        <f>IF($D863="","",IF($AP863=1,0,IF($AO863=1,Settings!$C$6,Settings!$C$7))*100)</f>
        <v/>
      </c>
      <c r="AB863" s="7">
        <f>IF($D863="","",X863*AA863/100)</f>
        <v/>
      </c>
      <c r="AC863" s="7">
        <f>IF($D863="","",X863-AB863)</f>
        <v/>
      </c>
      <c r="AD863" s="7">
        <f>IF($D863="","",AC863-P863)</f>
        <v/>
      </c>
      <c r="AH863" s="7" t="n"/>
      <c r="AK863" s="11" t="n"/>
      <c r="AM863">
        <f>IF($D863="","",IF(COUNTIF($D$2:$D863,$D863)=1,1,0))</f>
        <v/>
      </c>
      <c r="AN863">
        <f>IF($AM863=1,SUMPRODUCT(--($AQ$2:$AQ$1001&lt;$AQ863))+1,"")</f>
        <v/>
      </c>
      <c r="AO863">
        <f>IF($D863="","",IF(OR($T863=TRUE(),$T863="TRUE"),1,0))</f>
        <v/>
      </c>
      <c r="AP863">
        <f>IF($D863="","",IF($Z863="Yes",1,0))</f>
        <v/>
      </c>
      <c r="AQ863">
        <f>IF($AM863=1,IFERROR(IF(VALUE($D863)&lt;100000000,VALUE($D863),1000000000),IFERROR(IF(VALUE(MID($D863,2,20))&lt;100000000,VALUE(MID($D863,2,20)),1000000000),1000000000))+ROW()/100000,"")</f>
        <v/>
      </c>
    </row>
    <row r="864">
      <c r="F864" s="11" t="n"/>
      <c r="P864" s="7">
        <f>IF($D864="","",O864*X864/100)</f>
        <v/>
      </c>
      <c r="Q864" s="7" t="n"/>
      <c r="W864" s="7" t="n"/>
      <c r="X864" s="7" t="n"/>
      <c r="AA864">
        <f>IF($D864="","",IF($AP864=1,0,IF($AO864=1,Settings!$C$6,Settings!$C$7))*100)</f>
        <v/>
      </c>
      <c r="AB864" s="7">
        <f>IF($D864="","",X864*AA864/100)</f>
        <v/>
      </c>
      <c r="AC864" s="7">
        <f>IF($D864="","",X864-AB864)</f>
        <v/>
      </c>
      <c r="AD864" s="7">
        <f>IF($D864="","",AC864-P864)</f>
        <v/>
      </c>
      <c r="AH864" s="7" t="n"/>
      <c r="AK864" s="11" t="n"/>
      <c r="AM864">
        <f>IF($D864="","",IF(COUNTIF($D$2:$D864,$D864)=1,1,0))</f>
        <v/>
      </c>
      <c r="AN864">
        <f>IF($AM864=1,SUMPRODUCT(--($AQ$2:$AQ$1001&lt;$AQ864))+1,"")</f>
        <v/>
      </c>
      <c r="AO864">
        <f>IF($D864="","",IF(OR($T864=TRUE(),$T864="TRUE"),1,0))</f>
        <v/>
      </c>
      <c r="AP864">
        <f>IF($D864="","",IF($Z864="Yes",1,0))</f>
        <v/>
      </c>
      <c r="AQ864">
        <f>IF($AM864=1,IFERROR(IF(VALUE($D864)&lt;100000000,VALUE($D864),1000000000),IFERROR(IF(VALUE(MID($D864,2,20))&lt;100000000,VALUE(MID($D864,2,20)),1000000000),1000000000))+ROW()/100000,"")</f>
        <v/>
      </c>
    </row>
    <row r="865">
      <c r="F865" s="11" t="n"/>
      <c r="P865" s="7">
        <f>IF($D865="","",O865*X865/100)</f>
        <v/>
      </c>
      <c r="Q865" s="7" t="n"/>
      <c r="W865" s="7" t="n"/>
      <c r="X865" s="7" t="n"/>
      <c r="AA865">
        <f>IF($D865="","",IF($AP865=1,0,IF($AO865=1,Settings!$C$6,Settings!$C$7))*100)</f>
        <v/>
      </c>
      <c r="AB865" s="7">
        <f>IF($D865="","",X865*AA865/100)</f>
        <v/>
      </c>
      <c r="AC865" s="7">
        <f>IF($D865="","",X865-AB865)</f>
        <v/>
      </c>
      <c r="AD865" s="7">
        <f>IF($D865="","",AC865-P865)</f>
        <v/>
      </c>
      <c r="AH865" s="7" t="n"/>
      <c r="AK865" s="11" t="n"/>
      <c r="AM865">
        <f>IF($D865="","",IF(COUNTIF($D$2:$D865,$D865)=1,1,0))</f>
        <v/>
      </c>
      <c r="AN865">
        <f>IF($AM865=1,SUMPRODUCT(--($AQ$2:$AQ$1001&lt;$AQ865))+1,"")</f>
        <v/>
      </c>
      <c r="AO865">
        <f>IF($D865="","",IF(OR($T865=TRUE(),$T865="TRUE"),1,0))</f>
        <v/>
      </c>
      <c r="AP865">
        <f>IF($D865="","",IF($Z865="Yes",1,0))</f>
        <v/>
      </c>
      <c r="AQ865">
        <f>IF($AM865=1,IFERROR(IF(VALUE($D865)&lt;100000000,VALUE($D865),1000000000),IFERROR(IF(VALUE(MID($D865,2,20))&lt;100000000,VALUE(MID($D865,2,20)),1000000000),1000000000))+ROW()/100000,"")</f>
        <v/>
      </c>
    </row>
    <row r="866">
      <c r="F866" s="11" t="n"/>
      <c r="P866" s="7">
        <f>IF($D866="","",O866*X866/100)</f>
        <v/>
      </c>
      <c r="Q866" s="7" t="n"/>
      <c r="W866" s="7" t="n"/>
      <c r="X866" s="7" t="n"/>
      <c r="AA866">
        <f>IF($D866="","",IF($AP866=1,0,IF($AO866=1,Settings!$C$6,Settings!$C$7))*100)</f>
        <v/>
      </c>
      <c r="AB866" s="7">
        <f>IF($D866="","",X866*AA866/100)</f>
        <v/>
      </c>
      <c r="AC866" s="7">
        <f>IF($D866="","",X866-AB866)</f>
        <v/>
      </c>
      <c r="AD866" s="7">
        <f>IF($D866="","",AC866-P866)</f>
        <v/>
      </c>
      <c r="AH866" s="7" t="n"/>
      <c r="AK866" s="11" t="n"/>
      <c r="AM866">
        <f>IF($D866="","",IF(COUNTIF($D$2:$D866,$D866)=1,1,0))</f>
        <v/>
      </c>
      <c r="AN866">
        <f>IF($AM866=1,SUMPRODUCT(--($AQ$2:$AQ$1001&lt;$AQ866))+1,"")</f>
        <v/>
      </c>
      <c r="AO866">
        <f>IF($D866="","",IF(OR($T866=TRUE(),$T866="TRUE"),1,0))</f>
        <v/>
      </c>
      <c r="AP866">
        <f>IF($D866="","",IF($Z866="Yes",1,0))</f>
        <v/>
      </c>
      <c r="AQ866">
        <f>IF($AM866=1,IFERROR(IF(VALUE($D866)&lt;100000000,VALUE($D866),1000000000),IFERROR(IF(VALUE(MID($D866,2,20))&lt;100000000,VALUE(MID($D866,2,20)),1000000000),1000000000))+ROW()/100000,"")</f>
        <v/>
      </c>
    </row>
    <row r="867">
      <c r="F867" s="11" t="n"/>
      <c r="P867" s="7">
        <f>IF($D867="","",O867*X867/100)</f>
        <v/>
      </c>
      <c r="Q867" s="7" t="n"/>
      <c r="W867" s="7" t="n"/>
      <c r="X867" s="7" t="n"/>
      <c r="AA867">
        <f>IF($D867="","",IF($AP867=1,0,IF($AO867=1,Settings!$C$6,Settings!$C$7))*100)</f>
        <v/>
      </c>
      <c r="AB867" s="7">
        <f>IF($D867="","",X867*AA867/100)</f>
        <v/>
      </c>
      <c r="AC867" s="7">
        <f>IF($D867="","",X867-AB867)</f>
        <v/>
      </c>
      <c r="AD867" s="7">
        <f>IF($D867="","",AC867-P867)</f>
        <v/>
      </c>
      <c r="AH867" s="7" t="n"/>
      <c r="AK867" s="11" t="n"/>
      <c r="AM867">
        <f>IF($D867="","",IF(COUNTIF($D$2:$D867,$D867)=1,1,0))</f>
        <v/>
      </c>
      <c r="AN867">
        <f>IF($AM867=1,SUMPRODUCT(--($AQ$2:$AQ$1001&lt;$AQ867))+1,"")</f>
        <v/>
      </c>
      <c r="AO867">
        <f>IF($D867="","",IF(OR($T867=TRUE(),$T867="TRUE"),1,0))</f>
        <v/>
      </c>
      <c r="AP867">
        <f>IF($D867="","",IF($Z867="Yes",1,0))</f>
        <v/>
      </c>
      <c r="AQ867">
        <f>IF($AM867=1,IFERROR(IF(VALUE($D867)&lt;100000000,VALUE($D867),1000000000),IFERROR(IF(VALUE(MID($D867,2,20))&lt;100000000,VALUE(MID($D867,2,20)),1000000000),1000000000))+ROW()/100000,"")</f>
        <v/>
      </c>
    </row>
    <row r="868">
      <c r="F868" s="11" t="n"/>
      <c r="P868" s="7">
        <f>IF($D868="","",O868*X868/100)</f>
        <v/>
      </c>
      <c r="Q868" s="7" t="n"/>
      <c r="W868" s="7" t="n"/>
      <c r="X868" s="7" t="n"/>
      <c r="AA868">
        <f>IF($D868="","",IF($AP868=1,0,IF($AO868=1,Settings!$C$6,Settings!$C$7))*100)</f>
        <v/>
      </c>
      <c r="AB868" s="7">
        <f>IF($D868="","",X868*AA868/100)</f>
        <v/>
      </c>
      <c r="AC868" s="7">
        <f>IF($D868="","",X868-AB868)</f>
        <v/>
      </c>
      <c r="AD868" s="7">
        <f>IF($D868="","",AC868-P868)</f>
        <v/>
      </c>
      <c r="AH868" s="7" t="n"/>
      <c r="AK868" s="11" t="n"/>
      <c r="AM868">
        <f>IF($D868="","",IF(COUNTIF($D$2:$D868,$D868)=1,1,0))</f>
        <v/>
      </c>
      <c r="AN868">
        <f>IF($AM868=1,SUMPRODUCT(--($AQ$2:$AQ$1001&lt;$AQ868))+1,"")</f>
        <v/>
      </c>
      <c r="AO868">
        <f>IF($D868="","",IF(OR($T868=TRUE(),$T868="TRUE"),1,0))</f>
        <v/>
      </c>
      <c r="AP868">
        <f>IF($D868="","",IF($Z868="Yes",1,0))</f>
        <v/>
      </c>
      <c r="AQ868">
        <f>IF($AM868=1,IFERROR(IF(VALUE($D868)&lt;100000000,VALUE($D868),1000000000),IFERROR(IF(VALUE(MID($D868,2,20))&lt;100000000,VALUE(MID($D868,2,20)),1000000000),1000000000))+ROW()/100000,"")</f>
        <v/>
      </c>
    </row>
    <row r="869">
      <c r="F869" s="11" t="n"/>
      <c r="P869" s="7">
        <f>IF($D869="","",O869*X869/100)</f>
        <v/>
      </c>
      <c r="Q869" s="7" t="n"/>
      <c r="W869" s="7" t="n"/>
      <c r="X869" s="7" t="n"/>
      <c r="AA869">
        <f>IF($D869="","",IF($AP869=1,0,IF($AO869=1,Settings!$C$6,Settings!$C$7))*100)</f>
        <v/>
      </c>
      <c r="AB869" s="7">
        <f>IF($D869="","",X869*AA869/100)</f>
        <v/>
      </c>
      <c r="AC869" s="7">
        <f>IF($D869="","",X869-AB869)</f>
        <v/>
      </c>
      <c r="AD869" s="7">
        <f>IF($D869="","",AC869-P869)</f>
        <v/>
      </c>
      <c r="AH869" s="7" t="n"/>
      <c r="AK869" s="11" t="n"/>
      <c r="AM869">
        <f>IF($D869="","",IF(COUNTIF($D$2:$D869,$D869)=1,1,0))</f>
        <v/>
      </c>
      <c r="AN869">
        <f>IF($AM869=1,SUMPRODUCT(--($AQ$2:$AQ$1001&lt;$AQ869))+1,"")</f>
        <v/>
      </c>
      <c r="AO869">
        <f>IF($D869="","",IF(OR($T869=TRUE(),$T869="TRUE"),1,0))</f>
        <v/>
      </c>
      <c r="AP869">
        <f>IF($D869="","",IF($Z869="Yes",1,0))</f>
        <v/>
      </c>
      <c r="AQ869">
        <f>IF($AM869=1,IFERROR(IF(VALUE($D869)&lt;100000000,VALUE($D869),1000000000),IFERROR(IF(VALUE(MID($D869,2,20))&lt;100000000,VALUE(MID($D869,2,20)),1000000000),1000000000))+ROW()/100000,"")</f>
        <v/>
      </c>
    </row>
    <row r="870">
      <c r="F870" s="11" t="n"/>
      <c r="P870" s="7">
        <f>IF($D870="","",O870*X870/100)</f>
        <v/>
      </c>
      <c r="Q870" s="7" t="n"/>
      <c r="W870" s="7" t="n"/>
      <c r="X870" s="7" t="n"/>
      <c r="AA870">
        <f>IF($D870="","",IF($AP870=1,0,IF($AO870=1,Settings!$C$6,Settings!$C$7))*100)</f>
        <v/>
      </c>
      <c r="AB870" s="7">
        <f>IF($D870="","",X870*AA870/100)</f>
        <v/>
      </c>
      <c r="AC870" s="7">
        <f>IF($D870="","",X870-AB870)</f>
        <v/>
      </c>
      <c r="AD870" s="7">
        <f>IF($D870="","",AC870-P870)</f>
        <v/>
      </c>
      <c r="AH870" s="7" t="n"/>
      <c r="AK870" s="11" t="n"/>
      <c r="AM870">
        <f>IF($D870="","",IF(COUNTIF($D$2:$D870,$D870)=1,1,0))</f>
        <v/>
      </c>
      <c r="AN870">
        <f>IF($AM870=1,SUMPRODUCT(--($AQ$2:$AQ$1001&lt;$AQ870))+1,"")</f>
        <v/>
      </c>
      <c r="AO870">
        <f>IF($D870="","",IF(OR($T870=TRUE(),$T870="TRUE"),1,0))</f>
        <v/>
      </c>
      <c r="AP870">
        <f>IF($D870="","",IF($Z870="Yes",1,0))</f>
        <v/>
      </c>
      <c r="AQ870">
        <f>IF($AM870=1,IFERROR(IF(VALUE($D870)&lt;100000000,VALUE($D870),1000000000),IFERROR(IF(VALUE(MID($D870,2,20))&lt;100000000,VALUE(MID($D870,2,20)),1000000000),1000000000))+ROW()/100000,"")</f>
        <v/>
      </c>
    </row>
    <row r="871">
      <c r="F871" s="11" t="n"/>
      <c r="P871" s="7">
        <f>IF($D871="","",O871*X871/100)</f>
        <v/>
      </c>
      <c r="Q871" s="7" t="n"/>
      <c r="W871" s="7" t="n"/>
      <c r="X871" s="7" t="n"/>
      <c r="AA871">
        <f>IF($D871="","",IF($AP871=1,0,IF($AO871=1,Settings!$C$6,Settings!$C$7))*100)</f>
        <v/>
      </c>
      <c r="AB871" s="7">
        <f>IF($D871="","",X871*AA871/100)</f>
        <v/>
      </c>
      <c r="AC871" s="7">
        <f>IF($D871="","",X871-AB871)</f>
        <v/>
      </c>
      <c r="AD871" s="7">
        <f>IF($D871="","",AC871-P871)</f>
        <v/>
      </c>
      <c r="AH871" s="7" t="n"/>
      <c r="AK871" s="11" t="n"/>
      <c r="AM871">
        <f>IF($D871="","",IF(COUNTIF($D$2:$D871,$D871)=1,1,0))</f>
        <v/>
      </c>
      <c r="AN871">
        <f>IF($AM871=1,SUMPRODUCT(--($AQ$2:$AQ$1001&lt;$AQ871))+1,"")</f>
        <v/>
      </c>
      <c r="AO871">
        <f>IF($D871="","",IF(OR($T871=TRUE(),$T871="TRUE"),1,0))</f>
        <v/>
      </c>
      <c r="AP871">
        <f>IF($D871="","",IF($Z871="Yes",1,0))</f>
        <v/>
      </c>
      <c r="AQ871">
        <f>IF($AM871=1,IFERROR(IF(VALUE($D871)&lt;100000000,VALUE($D871),1000000000),IFERROR(IF(VALUE(MID($D871,2,20))&lt;100000000,VALUE(MID($D871,2,20)),1000000000),1000000000))+ROW()/100000,"")</f>
        <v/>
      </c>
    </row>
    <row r="872">
      <c r="F872" s="11" t="n"/>
      <c r="P872" s="7">
        <f>IF($D872="","",O872*X872/100)</f>
        <v/>
      </c>
      <c r="Q872" s="7" t="n"/>
      <c r="W872" s="7" t="n"/>
      <c r="X872" s="7" t="n"/>
      <c r="AA872">
        <f>IF($D872="","",IF($AP872=1,0,IF($AO872=1,Settings!$C$6,Settings!$C$7))*100)</f>
        <v/>
      </c>
      <c r="AB872" s="7">
        <f>IF($D872="","",X872*AA872/100)</f>
        <v/>
      </c>
      <c r="AC872" s="7">
        <f>IF($D872="","",X872-AB872)</f>
        <v/>
      </c>
      <c r="AD872" s="7">
        <f>IF($D872="","",AC872-P872)</f>
        <v/>
      </c>
      <c r="AH872" s="7" t="n"/>
      <c r="AK872" s="11" t="n"/>
      <c r="AM872">
        <f>IF($D872="","",IF(COUNTIF($D$2:$D872,$D872)=1,1,0))</f>
        <v/>
      </c>
      <c r="AN872">
        <f>IF($AM872=1,SUMPRODUCT(--($AQ$2:$AQ$1001&lt;$AQ872))+1,"")</f>
        <v/>
      </c>
      <c r="AO872">
        <f>IF($D872="","",IF(OR($T872=TRUE(),$T872="TRUE"),1,0))</f>
        <v/>
      </c>
      <c r="AP872">
        <f>IF($D872="","",IF($Z872="Yes",1,0))</f>
        <v/>
      </c>
      <c r="AQ872">
        <f>IF($AM872=1,IFERROR(IF(VALUE($D872)&lt;100000000,VALUE($D872),1000000000),IFERROR(IF(VALUE(MID($D872,2,20))&lt;100000000,VALUE(MID($D872,2,20)),1000000000),1000000000))+ROW()/100000,"")</f>
        <v/>
      </c>
    </row>
    <row r="873">
      <c r="F873" s="11" t="n"/>
      <c r="P873" s="7">
        <f>IF($D873="","",O873*X873/100)</f>
        <v/>
      </c>
      <c r="Q873" s="7" t="n"/>
      <c r="W873" s="7" t="n"/>
      <c r="X873" s="7" t="n"/>
      <c r="AA873">
        <f>IF($D873="","",IF($AP873=1,0,IF($AO873=1,Settings!$C$6,Settings!$C$7))*100)</f>
        <v/>
      </c>
      <c r="AB873" s="7">
        <f>IF($D873="","",X873*AA873/100)</f>
        <v/>
      </c>
      <c r="AC873" s="7">
        <f>IF($D873="","",X873-AB873)</f>
        <v/>
      </c>
      <c r="AD873" s="7">
        <f>IF($D873="","",AC873-P873)</f>
        <v/>
      </c>
      <c r="AH873" s="7" t="n"/>
      <c r="AK873" s="11" t="n"/>
      <c r="AM873">
        <f>IF($D873="","",IF(COUNTIF($D$2:$D873,$D873)=1,1,0))</f>
        <v/>
      </c>
      <c r="AN873">
        <f>IF($AM873=1,SUMPRODUCT(--($AQ$2:$AQ$1001&lt;$AQ873))+1,"")</f>
        <v/>
      </c>
      <c r="AO873">
        <f>IF($D873="","",IF(OR($T873=TRUE(),$T873="TRUE"),1,0))</f>
        <v/>
      </c>
      <c r="AP873">
        <f>IF($D873="","",IF($Z873="Yes",1,0))</f>
        <v/>
      </c>
      <c r="AQ873">
        <f>IF($AM873=1,IFERROR(IF(VALUE($D873)&lt;100000000,VALUE($D873),1000000000),IFERROR(IF(VALUE(MID($D873,2,20))&lt;100000000,VALUE(MID($D873,2,20)),1000000000),1000000000))+ROW()/100000,"")</f>
        <v/>
      </c>
    </row>
    <row r="874">
      <c r="F874" s="11" t="n"/>
      <c r="P874" s="7">
        <f>IF($D874="","",O874*X874/100)</f>
        <v/>
      </c>
      <c r="Q874" s="7" t="n"/>
      <c r="W874" s="7" t="n"/>
      <c r="X874" s="7" t="n"/>
      <c r="AA874">
        <f>IF($D874="","",IF($AP874=1,0,IF($AO874=1,Settings!$C$6,Settings!$C$7))*100)</f>
        <v/>
      </c>
      <c r="AB874" s="7">
        <f>IF($D874="","",X874*AA874/100)</f>
        <v/>
      </c>
      <c r="AC874" s="7">
        <f>IF($D874="","",X874-AB874)</f>
        <v/>
      </c>
      <c r="AD874" s="7">
        <f>IF($D874="","",AC874-P874)</f>
        <v/>
      </c>
      <c r="AH874" s="7" t="n"/>
      <c r="AK874" s="11" t="n"/>
      <c r="AM874">
        <f>IF($D874="","",IF(COUNTIF($D$2:$D874,$D874)=1,1,0))</f>
        <v/>
      </c>
      <c r="AN874">
        <f>IF($AM874=1,SUMPRODUCT(--($AQ$2:$AQ$1001&lt;$AQ874))+1,"")</f>
        <v/>
      </c>
      <c r="AO874">
        <f>IF($D874="","",IF(OR($T874=TRUE(),$T874="TRUE"),1,0))</f>
        <v/>
      </c>
      <c r="AP874">
        <f>IF($D874="","",IF($Z874="Yes",1,0))</f>
        <v/>
      </c>
      <c r="AQ874">
        <f>IF($AM874=1,IFERROR(IF(VALUE($D874)&lt;100000000,VALUE($D874),1000000000),IFERROR(IF(VALUE(MID($D874,2,20))&lt;100000000,VALUE(MID($D874,2,20)),1000000000),1000000000))+ROW()/100000,"")</f>
        <v/>
      </c>
    </row>
    <row r="875">
      <c r="F875" s="11" t="n"/>
      <c r="P875" s="7">
        <f>IF($D875="","",O875*X875/100)</f>
        <v/>
      </c>
      <c r="Q875" s="7" t="n"/>
      <c r="W875" s="7" t="n"/>
      <c r="X875" s="7" t="n"/>
      <c r="AA875">
        <f>IF($D875="","",IF($AP875=1,0,IF($AO875=1,Settings!$C$6,Settings!$C$7))*100)</f>
        <v/>
      </c>
      <c r="AB875" s="7">
        <f>IF($D875="","",X875*AA875/100)</f>
        <v/>
      </c>
      <c r="AC875" s="7">
        <f>IF($D875="","",X875-AB875)</f>
        <v/>
      </c>
      <c r="AD875" s="7">
        <f>IF($D875="","",AC875-P875)</f>
        <v/>
      </c>
      <c r="AH875" s="7" t="n"/>
      <c r="AK875" s="11" t="n"/>
      <c r="AM875">
        <f>IF($D875="","",IF(COUNTIF($D$2:$D875,$D875)=1,1,0))</f>
        <v/>
      </c>
      <c r="AN875">
        <f>IF($AM875=1,SUMPRODUCT(--($AQ$2:$AQ$1001&lt;$AQ875))+1,"")</f>
        <v/>
      </c>
      <c r="AO875">
        <f>IF($D875="","",IF(OR($T875=TRUE(),$T875="TRUE"),1,0))</f>
        <v/>
      </c>
      <c r="AP875">
        <f>IF($D875="","",IF($Z875="Yes",1,0))</f>
        <v/>
      </c>
      <c r="AQ875">
        <f>IF($AM875=1,IFERROR(IF(VALUE($D875)&lt;100000000,VALUE($D875),1000000000),IFERROR(IF(VALUE(MID($D875,2,20))&lt;100000000,VALUE(MID($D875,2,20)),1000000000),1000000000))+ROW()/100000,"")</f>
        <v/>
      </c>
    </row>
    <row r="876">
      <c r="F876" s="11" t="n"/>
      <c r="P876" s="7">
        <f>IF($D876="","",O876*X876/100)</f>
        <v/>
      </c>
      <c r="Q876" s="7" t="n"/>
      <c r="W876" s="7" t="n"/>
      <c r="X876" s="7" t="n"/>
      <c r="AA876">
        <f>IF($D876="","",IF($AP876=1,0,IF($AO876=1,Settings!$C$6,Settings!$C$7))*100)</f>
        <v/>
      </c>
      <c r="AB876" s="7">
        <f>IF($D876="","",X876*AA876/100)</f>
        <v/>
      </c>
      <c r="AC876" s="7">
        <f>IF($D876="","",X876-AB876)</f>
        <v/>
      </c>
      <c r="AD876" s="7">
        <f>IF($D876="","",AC876-P876)</f>
        <v/>
      </c>
      <c r="AH876" s="7" t="n"/>
      <c r="AK876" s="11" t="n"/>
      <c r="AM876">
        <f>IF($D876="","",IF(COUNTIF($D$2:$D876,$D876)=1,1,0))</f>
        <v/>
      </c>
      <c r="AN876">
        <f>IF($AM876=1,SUMPRODUCT(--($AQ$2:$AQ$1001&lt;$AQ876))+1,"")</f>
        <v/>
      </c>
      <c r="AO876">
        <f>IF($D876="","",IF(OR($T876=TRUE(),$T876="TRUE"),1,0))</f>
        <v/>
      </c>
      <c r="AP876">
        <f>IF($D876="","",IF($Z876="Yes",1,0))</f>
        <v/>
      </c>
      <c r="AQ876">
        <f>IF($AM876=1,IFERROR(IF(VALUE($D876)&lt;100000000,VALUE($D876),1000000000),IFERROR(IF(VALUE(MID($D876,2,20))&lt;100000000,VALUE(MID($D876,2,20)),1000000000),1000000000))+ROW()/100000,"")</f>
        <v/>
      </c>
    </row>
    <row r="877">
      <c r="F877" s="11" t="n"/>
      <c r="P877" s="7">
        <f>IF($D877="","",O877*X877/100)</f>
        <v/>
      </c>
      <c r="Q877" s="7" t="n"/>
      <c r="W877" s="7" t="n"/>
      <c r="X877" s="7" t="n"/>
      <c r="AA877">
        <f>IF($D877="","",IF($AP877=1,0,IF($AO877=1,Settings!$C$6,Settings!$C$7))*100)</f>
        <v/>
      </c>
      <c r="AB877" s="7">
        <f>IF($D877="","",X877*AA877/100)</f>
        <v/>
      </c>
      <c r="AC877" s="7">
        <f>IF($D877="","",X877-AB877)</f>
        <v/>
      </c>
      <c r="AD877" s="7">
        <f>IF($D877="","",AC877-P877)</f>
        <v/>
      </c>
      <c r="AH877" s="7" t="n"/>
      <c r="AK877" s="11" t="n"/>
      <c r="AM877">
        <f>IF($D877="","",IF(COUNTIF($D$2:$D877,$D877)=1,1,0))</f>
        <v/>
      </c>
      <c r="AN877">
        <f>IF($AM877=1,SUMPRODUCT(--($AQ$2:$AQ$1001&lt;$AQ877))+1,"")</f>
        <v/>
      </c>
      <c r="AO877">
        <f>IF($D877="","",IF(OR($T877=TRUE(),$T877="TRUE"),1,0))</f>
        <v/>
      </c>
      <c r="AP877">
        <f>IF($D877="","",IF($Z877="Yes",1,0))</f>
        <v/>
      </c>
      <c r="AQ877">
        <f>IF($AM877=1,IFERROR(IF(VALUE($D877)&lt;100000000,VALUE($D877),1000000000),IFERROR(IF(VALUE(MID($D877,2,20))&lt;100000000,VALUE(MID($D877,2,20)),1000000000),1000000000))+ROW()/100000,"")</f>
        <v/>
      </c>
    </row>
    <row r="878">
      <c r="F878" s="11" t="n"/>
      <c r="P878" s="7">
        <f>IF($D878="","",O878*X878/100)</f>
        <v/>
      </c>
      <c r="Q878" s="7" t="n"/>
      <c r="W878" s="7" t="n"/>
      <c r="X878" s="7" t="n"/>
      <c r="AA878">
        <f>IF($D878="","",IF($AP878=1,0,IF($AO878=1,Settings!$C$6,Settings!$C$7))*100)</f>
        <v/>
      </c>
      <c r="AB878" s="7">
        <f>IF($D878="","",X878*AA878/100)</f>
        <v/>
      </c>
      <c r="AC878" s="7">
        <f>IF($D878="","",X878-AB878)</f>
        <v/>
      </c>
      <c r="AD878" s="7">
        <f>IF($D878="","",AC878-P878)</f>
        <v/>
      </c>
      <c r="AH878" s="7" t="n"/>
      <c r="AK878" s="11" t="n"/>
      <c r="AM878">
        <f>IF($D878="","",IF(COUNTIF($D$2:$D878,$D878)=1,1,0))</f>
        <v/>
      </c>
      <c r="AN878">
        <f>IF($AM878=1,SUMPRODUCT(--($AQ$2:$AQ$1001&lt;$AQ878))+1,"")</f>
        <v/>
      </c>
      <c r="AO878">
        <f>IF($D878="","",IF(OR($T878=TRUE(),$T878="TRUE"),1,0))</f>
        <v/>
      </c>
      <c r="AP878">
        <f>IF($D878="","",IF($Z878="Yes",1,0))</f>
        <v/>
      </c>
      <c r="AQ878">
        <f>IF($AM878=1,IFERROR(IF(VALUE($D878)&lt;100000000,VALUE($D878),1000000000),IFERROR(IF(VALUE(MID($D878,2,20))&lt;100000000,VALUE(MID($D878,2,20)),1000000000),1000000000))+ROW()/100000,"")</f>
        <v/>
      </c>
    </row>
    <row r="879">
      <c r="F879" s="11" t="n"/>
      <c r="P879" s="7">
        <f>IF($D879="","",O879*X879/100)</f>
        <v/>
      </c>
      <c r="Q879" s="7" t="n"/>
      <c r="W879" s="7" t="n"/>
      <c r="X879" s="7" t="n"/>
      <c r="AA879">
        <f>IF($D879="","",IF($AP879=1,0,IF($AO879=1,Settings!$C$6,Settings!$C$7))*100)</f>
        <v/>
      </c>
      <c r="AB879" s="7">
        <f>IF($D879="","",X879*AA879/100)</f>
        <v/>
      </c>
      <c r="AC879" s="7">
        <f>IF($D879="","",X879-AB879)</f>
        <v/>
      </c>
      <c r="AD879" s="7">
        <f>IF($D879="","",AC879-P879)</f>
        <v/>
      </c>
      <c r="AH879" s="7" t="n"/>
      <c r="AK879" s="11" t="n"/>
      <c r="AM879">
        <f>IF($D879="","",IF(COUNTIF($D$2:$D879,$D879)=1,1,0))</f>
        <v/>
      </c>
      <c r="AN879">
        <f>IF($AM879=1,SUMPRODUCT(--($AQ$2:$AQ$1001&lt;$AQ879))+1,"")</f>
        <v/>
      </c>
      <c r="AO879">
        <f>IF($D879="","",IF(OR($T879=TRUE(),$T879="TRUE"),1,0))</f>
        <v/>
      </c>
      <c r="AP879">
        <f>IF($D879="","",IF($Z879="Yes",1,0))</f>
        <v/>
      </c>
      <c r="AQ879">
        <f>IF($AM879=1,IFERROR(IF(VALUE($D879)&lt;100000000,VALUE($D879),1000000000),IFERROR(IF(VALUE(MID($D879,2,20))&lt;100000000,VALUE(MID($D879,2,20)),1000000000),1000000000))+ROW()/100000,"")</f>
        <v/>
      </c>
    </row>
    <row r="880">
      <c r="F880" s="11" t="n"/>
      <c r="P880" s="7">
        <f>IF($D880="","",O880*X880/100)</f>
        <v/>
      </c>
      <c r="Q880" s="7" t="n"/>
      <c r="W880" s="7" t="n"/>
      <c r="X880" s="7" t="n"/>
      <c r="AA880">
        <f>IF($D880="","",IF($AP880=1,0,IF($AO880=1,Settings!$C$6,Settings!$C$7))*100)</f>
        <v/>
      </c>
      <c r="AB880" s="7">
        <f>IF($D880="","",X880*AA880/100)</f>
        <v/>
      </c>
      <c r="AC880" s="7">
        <f>IF($D880="","",X880-AB880)</f>
        <v/>
      </c>
      <c r="AD880" s="7">
        <f>IF($D880="","",AC880-P880)</f>
        <v/>
      </c>
      <c r="AH880" s="7" t="n"/>
      <c r="AK880" s="11" t="n"/>
      <c r="AM880">
        <f>IF($D880="","",IF(COUNTIF($D$2:$D880,$D880)=1,1,0))</f>
        <v/>
      </c>
      <c r="AN880">
        <f>IF($AM880=1,SUMPRODUCT(--($AQ$2:$AQ$1001&lt;$AQ880))+1,"")</f>
        <v/>
      </c>
      <c r="AO880">
        <f>IF($D880="","",IF(OR($T880=TRUE(),$T880="TRUE"),1,0))</f>
        <v/>
      </c>
      <c r="AP880">
        <f>IF($D880="","",IF($Z880="Yes",1,0))</f>
        <v/>
      </c>
      <c r="AQ880">
        <f>IF($AM880=1,IFERROR(IF(VALUE($D880)&lt;100000000,VALUE($D880),1000000000),IFERROR(IF(VALUE(MID($D880,2,20))&lt;100000000,VALUE(MID($D880,2,20)),1000000000),1000000000))+ROW()/100000,"")</f>
        <v/>
      </c>
    </row>
    <row r="881">
      <c r="F881" s="11" t="n"/>
      <c r="P881" s="7">
        <f>IF($D881="","",O881*X881/100)</f>
        <v/>
      </c>
      <c r="Q881" s="7" t="n"/>
      <c r="W881" s="7" t="n"/>
      <c r="X881" s="7" t="n"/>
      <c r="AA881">
        <f>IF($D881="","",IF($AP881=1,0,IF($AO881=1,Settings!$C$6,Settings!$C$7))*100)</f>
        <v/>
      </c>
      <c r="AB881" s="7">
        <f>IF($D881="","",X881*AA881/100)</f>
        <v/>
      </c>
      <c r="AC881" s="7">
        <f>IF($D881="","",X881-AB881)</f>
        <v/>
      </c>
      <c r="AD881" s="7">
        <f>IF($D881="","",AC881-P881)</f>
        <v/>
      </c>
      <c r="AH881" s="7" t="n"/>
      <c r="AK881" s="11" t="n"/>
      <c r="AM881">
        <f>IF($D881="","",IF(COUNTIF($D$2:$D881,$D881)=1,1,0))</f>
        <v/>
      </c>
      <c r="AN881">
        <f>IF($AM881=1,SUMPRODUCT(--($AQ$2:$AQ$1001&lt;$AQ881))+1,"")</f>
        <v/>
      </c>
      <c r="AO881">
        <f>IF($D881="","",IF(OR($T881=TRUE(),$T881="TRUE"),1,0))</f>
        <v/>
      </c>
      <c r="AP881">
        <f>IF($D881="","",IF($Z881="Yes",1,0))</f>
        <v/>
      </c>
      <c r="AQ881">
        <f>IF($AM881=1,IFERROR(IF(VALUE($D881)&lt;100000000,VALUE($D881),1000000000),IFERROR(IF(VALUE(MID($D881,2,20))&lt;100000000,VALUE(MID($D881,2,20)),1000000000),1000000000))+ROW()/100000,"")</f>
        <v/>
      </c>
    </row>
    <row r="882">
      <c r="F882" s="11" t="n"/>
      <c r="P882" s="7">
        <f>IF($D882="","",O882*X882/100)</f>
        <v/>
      </c>
      <c r="Q882" s="7" t="n"/>
      <c r="W882" s="7" t="n"/>
      <c r="X882" s="7" t="n"/>
      <c r="AA882">
        <f>IF($D882="","",IF($AP882=1,0,IF($AO882=1,Settings!$C$6,Settings!$C$7))*100)</f>
        <v/>
      </c>
      <c r="AB882" s="7">
        <f>IF($D882="","",X882*AA882/100)</f>
        <v/>
      </c>
      <c r="AC882" s="7">
        <f>IF($D882="","",X882-AB882)</f>
        <v/>
      </c>
      <c r="AD882" s="7">
        <f>IF($D882="","",AC882-P882)</f>
        <v/>
      </c>
      <c r="AH882" s="7" t="n"/>
      <c r="AK882" s="11" t="n"/>
      <c r="AM882">
        <f>IF($D882="","",IF(COUNTIF($D$2:$D882,$D882)=1,1,0))</f>
        <v/>
      </c>
      <c r="AN882">
        <f>IF($AM882=1,SUMPRODUCT(--($AQ$2:$AQ$1001&lt;$AQ882))+1,"")</f>
        <v/>
      </c>
      <c r="AO882">
        <f>IF($D882="","",IF(OR($T882=TRUE(),$T882="TRUE"),1,0))</f>
        <v/>
      </c>
      <c r="AP882">
        <f>IF($D882="","",IF($Z882="Yes",1,0))</f>
        <v/>
      </c>
      <c r="AQ882">
        <f>IF($AM882=1,IFERROR(IF(VALUE($D882)&lt;100000000,VALUE($D882),1000000000),IFERROR(IF(VALUE(MID($D882,2,20))&lt;100000000,VALUE(MID($D882,2,20)),1000000000),1000000000))+ROW()/100000,"")</f>
        <v/>
      </c>
    </row>
    <row r="883">
      <c r="F883" s="11" t="n"/>
      <c r="P883" s="7">
        <f>IF($D883="","",O883*X883/100)</f>
        <v/>
      </c>
      <c r="Q883" s="7" t="n"/>
      <c r="W883" s="7" t="n"/>
      <c r="X883" s="7" t="n"/>
      <c r="AA883">
        <f>IF($D883="","",IF($AP883=1,0,IF($AO883=1,Settings!$C$6,Settings!$C$7))*100)</f>
        <v/>
      </c>
      <c r="AB883" s="7">
        <f>IF($D883="","",X883*AA883/100)</f>
        <v/>
      </c>
      <c r="AC883" s="7">
        <f>IF($D883="","",X883-AB883)</f>
        <v/>
      </c>
      <c r="AD883" s="7">
        <f>IF($D883="","",AC883-P883)</f>
        <v/>
      </c>
      <c r="AH883" s="7" t="n"/>
      <c r="AK883" s="11" t="n"/>
      <c r="AM883">
        <f>IF($D883="","",IF(COUNTIF($D$2:$D883,$D883)=1,1,0))</f>
        <v/>
      </c>
      <c r="AN883">
        <f>IF($AM883=1,SUMPRODUCT(--($AQ$2:$AQ$1001&lt;$AQ883))+1,"")</f>
        <v/>
      </c>
      <c r="AO883">
        <f>IF($D883="","",IF(OR($T883=TRUE(),$T883="TRUE"),1,0))</f>
        <v/>
      </c>
      <c r="AP883">
        <f>IF($D883="","",IF($Z883="Yes",1,0))</f>
        <v/>
      </c>
      <c r="AQ883">
        <f>IF($AM883=1,IFERROR(IF(VALUE($D883)&lt;100000000,VALUE($D883),1000000000),IFERROR(IF(VALUE(MID($D883,2,20))&lt;100000000,VALUE(MID($D883,2,20)),1000000000),1000000000))+ROW()/100000,"")</f>
        <v/>
      </c>
    </row>
    <row r="884">
      <c r="F884" s="11" t="n"/>
      <c r="P884" s="7">
        <f>IF($D884="","",O884*X884/100)</f>
        <v/>
      </c>
      <c r="Q884" s="7" t="n"/>
      <c r="W884" s="7" t="n"/>
      <c r="X884" s="7" t="n"/>
      <c r="AA884">
        <f>IF($D884="","",IF($AP884=1,0,IF($AO884=1,Settings!$C$6,Settings!$C$7))*100)</f>
        <v/>
      </c>
      <c r="AB884" s="7">
        <f>IF($D884="","",X884*AA884/100)</f>
        <v/>
      </c>
      <c r="AC884" s="7">
        <f>IF($D884="","",X884-AB884)</f>
        <v/>
      </c>
      <c r="AD884" s="7">
        <f>IF($D884="","",AC884-P884)</f>
        <v/>
      </c>
      <c r="AH884" s="7" t="n"/>
      <c r="AK884" s="11" t="n"/>
      <c r="AM884">
        <f>IF($D884="","",IF(COUNTIF($D$2:$D884,$D884)=1,1,0))</f>
        <v/>
      </c>
      <c r="AN884">
        <f>IF($AM884=1,SUMPRODUCT(--($AQ$2:$AQ$1001&lt;$AQ884))+1,"")</f>
        <v/>
      </c>
      <c r="AO884">
        <f>IF($D884="","",IF(OR($T884=TRUE(),$T884="TRUE"),1,0))</f>
        <v/>
      </c>
      <c r="AP884">
        <f>IF($D884="","",IF($Z884="Yes",1,0))</f>
        <v/>
      </c>
      <c r="AQ884">
        <f>IF($AM884=1,IFERROR(IF(VALUE($D884)&lt;100000000,VALUE($D884),1000000000),IFERROR(IF(VALUE(MID($D884,2,20))&lt;100000000,VALUE(MID($D884,2,20)),1000000000),1000000000))+ROW()/100000,"")</f>
        <v/>
      </c>
    </row>
    <row r="885">
      <c r="F885" s="11" t="n"/>
      <c r="P885" s="7">
        <f>IF($D885="","",O885*X885/100)</f>
        <v/>
      </c>
      <c r="Q885" s="7" t="n"/>
      <c r="W885" s="7" t="n"/>
      <c r="X885" s="7" t="n"/>
      <c r="AA885">
        <f>IF($D885="","",IF($AP885=1,0,IF($AO885=1,Settings!$C$6,Settings!$C$7))*100)</f>
        <v/>
      </c>
      <c r="AB885" s="7">
        <f>IF($D885="","",X885*AA885/100)</f>
        <v/>
      </c>
      <c r="AC885" s="7">
        <f>IF($D885="","",X885-AB885)</f>
        <v/>
      </c>
      <c r="AD885" s="7">
        <f>IF($D885="","",AC885-P885)</f>
        <v/>
      </c>
      <c r="AH885" s="7" t="n"/>
      <c r="AK885" s="11" t="n"/>
      <c r="AM885">
        <f>IF($D885="","",IF(COUNTIF($D$2:$D885,$D885)=1,1,0))</f>
        <v/>
      </c>
      <c r="AN885">
        <f>IF($AM885=1,SUMPRODUCT(--($AQ$2:$AQ$1001&lt;$AQ885))+1,"")</f>
        <v/>
      </c>
      <c r="AO885">
        <f>IF($D885="","",IF(OR($T885=TRUE(),$T885="TRUE"),1,0))</f>
        <v/>
      </c>
      <c r="AP885">
        <f>IF($D885="","",IF($Z885="Yes",1,0))</f>
        <v/>
      </c>
      <c r="AQ885">
        <f>IF($AM885=1,IFERROR(IF(VALUE($D885)&lt;100000000,VALUE($D885),1000000000),IFERROR(IF(VALUE(MID($D885,2,20))&lt;100000000,VALUE(MID($D885,2,20)),1000000000),1000000000))+ROW()/100000,"")</f>
        <v/>
      </c>
    </row>
    <row r="886">
      <c r="F886" s="11" t="n"/>
      <c r="P886" s="7">
        <f>IF($D886="","",O886*X886/100)</f>
        <v/>
      </c>
      <c r="Q886" s="7" t="n"/>
      <c r="W886" s="7" t="n"/>
      <c r="X886" s="7" t="n"/>
      <c r="AA886">
        <f>IF($D886="","",IF($AP886=1,0,IF($AO886=1,Settings!$C$6,Settings!$C$7))*100)</f>
        <v/>
      </c>
      <c r="AB886" s="7">
        <f>IF($D886="","",X886*AA886/100)</f>
        <v/>
      </c>
      <c r="AC886" s="7">
        <f>IF($D886="","",X886-AB886)</f>
        <v/>
      </c>
      <c r="AD886" s="7">
        <f>IF($D886="","",AC886-P886)</f>
        <v/>
      </c>
      <c r="AH886" s="7" t="n"/>
      <c r="AK886" s="11" t="n"/>
      <c r="AM886">
        <f>IF($D886="","",IF(COUNTIF($D$2:$D886,$D886)=1,1,0))</f>
        <v/>
      </c>
      <c r="AN886">
        <f>IF($AM886=1,SUMPRODUCT(--($AQ$2:$AQ$1001&lt;$AQ886))+1,"")</f>
        <v/>
      </c>
      <c r="AO886">
        <f>IF($D886="","",IF(OR($T886=TRUE(),$T886="TRUE"),1,0))</f>
        <v/>
      </c>
      <c r="AP886">
        <f>IF($D886="","",IF($Z886="Yes",1,0))</f>
        <v/>
      </c>
      <c r="AQ886">
        <f>IF($AM886=1,IFERROR(IF(VALUE($D886)&lt;100000000,VALUE($D886),1000000000),IFERROR(IF(VALUE(MID($D886,2,20))&lt;100000000,VALUE(MID($D886,2,20)),1000000000),1000000000))+ROW()/100000,"")</f>
        <v/>
      </c>
    </row>
    <row r="887">
      <c r="F887" s="11" t="n"/>
      <c r="P887" s="7">
        <f>IF($D887="","",O887*X887/100)</f>
        <v/>
      </c>
      <c r="Q887" s="7" t="n"/>
      <c r="W887" s="7" t="n"/>
      <c r="X887" s="7" t="n"/>
      <c r="AA887">
        <f>IF($D887="","",IF($AP887=1,0,IF($AO887=1,Settings!$C$6,Settings!$C$7))*100)</f>
        <v/>
      </c>
      <c r="AB887" s="7">
        <f>IF($D887="","",X887*AA887/100)</f>
        <v/>
      </c>
      <c r="AC887" s="7">
        <f>IF($D887="","",X887-AB887)</f>
        <v/>
      </c>
      <c r="AD887" s="7">
        <f>IF($D887="","",AC887-P887)</f>
        <v/>
      </c>
      <c r="AH887" s="7" t="n"/>
      <c r="AK887" s="11" t="n"/>
      <c r="AM887">
        <f>IF($D887="","",IF(COUNTIF($D$2:$D887,$D887)=1,1,0))</f>
        <v/>
      </c>
      <c r="AN887">
        <f>IF($AM887=1,SUMPRODUCT(--($AQ$2:$AQ$1001&lt;$AQ887))+1,"")</f>
        <v/>
      </c>
      <c r="AO887">
        <f>IF($D887="","",IF(OR($T887=TRUE(),$T887="TRUE"),1,0))</f>
        <v/>
      </c>
      <c r="AP887">
        <f>IF($D887="","",IF($Z887="Yes",1,0))</f>
        <v/>
      </c>
      <c r="AQ887">
        <f>IF($AM887=1,IFERROR(IF(VALUE($D887)&lt;100000000,VALUE($D887),1000000000),IFERROR(IF(VALUE(MID($D887,2,20))&lt;100000000,VALUE(MID($D887,2,20)),1000000000),1000000000))+ROW()/100000,"")</f>
        <v/>
      </c>
    </row>
    <row r="888">
      <c r="F888" s="11" t="n"/>
      <c r="P888" s="7">
        <f>IF($D888="","",O888*X888/100)</f>
        <v/>
      </c>
      <c r="Q888" s="7" t="n"/>
      <c r="W888" s="7" t="n"/>
      <c r="X888" s="7" t="n"/>
      <c r="AA888">
        <f>IF($D888="","",IF($AP888=1,0,IF($AO888=1,Settings!$C$6,Settings!$C$7))*100)</f>
        <v/>
      </c>
      <c r="AB888" s="7">
        <f>IF($D888="","",X888*AA888/100)</f>
        <v/>
      </c>
      <c r="AC888" s="7">
        <f>IF($D888="","",X888-AB888)</f>
        <v/>
      </c>
      <c r="AD888" s="7">
        <f>IF($D888="","",AC888-P888)</f>
        <v/>
      </c>
      <c r="AH888" s="7" t="n"/>
      <c r="AK888" s="11" t="n"/>
      <c r="AM888">
        <f>IF($D888="","",IF(COUNTIF($D$2:$D888,$D888)=1,1,0))</f>
        <v/>
      </c>
      <c r="AN888">
        <f>IF($AM888=1,SUMPRODUCT(--($AQ$2:$AQ$1001&lt;$AQ888))+1,"")</f>
        <v/>
      </c>
      <c r="AO888">
        <f>IF($D888="","",IF(OR($T888=TRUE(),$T888="TRUE"),1,0))</f>
        <v/>
      </c>
      <c r="AP888">
        <f>IF($D888="","",IF($Z888="Yes",1,0))</f>
        <v/>
      </c>
      <c r="AQ888">
        <f>IF($AM888=1,IFERROR(IF(VALUE($D888)&lt;100000000,VALUE($D888),1000000000),IFERROR(IF(VALUE(MID($D888,2,20))&lt;100000000,VALUE(MID($D888,2,20)),1000000000),1000000000))+ROW()/100000,"")</f>
        <v/>
      </c>
    </row>
    <row r="889">
      <c r="F889" s="11" t="n"/>
      <c r="P889" s="7">
        <f>IF($D889="","",O889*X889/100)</f>
        <v/>
      </c>
      <c r="Q889" s="7" t="n"/>
      <c r="W889" s="7" t="n"/>
      <c r="X889" s="7" t="n"/>
      <c r="AA889">
        <f>IF($D889="","",IF($AP889=1,0,IF($AO889=1,Settings!$C$6,Settings!$C$7))*100)</f>
        <v/>
      </c>
      <c r="AB889" s="7">
        <f>IF($D889="","",X889*AA889/100)</f>
        <v/>
      </c>
      <c r="AC889" s="7">
        <f>IF($D889="","",X889-AB889)</f>
        <v/>
      </c>
      <c r="AD889" s="7">
        <f>IF($D889="","",AC889-P889)</f>
        <v/>
      </c>
      <c r="AH889" s="7" t="n"/>
      <c r="AK889" s="11" t="n"/>
      <c r="AM889">
        <f>IF($D889="","",IF(COUNTIF($D$2:$D889,$D889)=1,1,0))</f>
        <v/>
      </c>
      <c r="AN889">
        <f>IF($AM889=1,SUMPRODUCT(--($AQ$2:$AQ$1001&lt;$AQ889))+1,"")</f>
        <v/>
      </c>
      <c r="AO889">
        <f>IF($D889="","",IF(OR($T889=TRUE(),$T889="TRUE"),1,0))</f>
        <v/>
      </c>
      <c r="AP889">
        <f>IF($D889="","",IF($Z889="Yes",1,0))</f>
        <v/>
      </c>
      <c r="AQ889">
        <f>IF($AM889=1,IFERROR(IF(VALUE($D889)&lt;100000000,VALUE($D889),1000000000),IFERROR(IF(VALUE(MID($D889,2,20))&lt;100000000,VALUE(MID($D889,2,20)),1000000000),1000000000))+ROW()/100000,"")</f>
        <v/>
      </c>
    </row>
    <row r="890">
      <c r="F890" s="11" t="n"/>
      <c r="P890" s="7">
        <f>IF($D890="","",O890*X890/100)</f>
        <v/>
      </c>
      <c r="Q890" s="7" t="n"/>
      <c r="W890" s="7" t="n"/>
      <c r="X890" s="7" t="n"/>
      <c r="AA890">
        <f>IF($D890="","",IF($AP890=1,0,IF($AO890=1,Settings!$C$6,Settings!$C$7))*100)</f>
        <v/>
      </c>
      <c r="AB890" s="7">
        <f>IF($D890="","",X890*AA890/100)</f>
        <v/>
      </c>
      <c r="AC890" s="7">
        <f>IF($D890="","",X890-AB890)</f>
        <v/>
      </c>
      <c r="AD890" s="7">
        <f>IF($D890="","",AC890-P890)</f>
        <v/>
      </c>
      <c r="AH890" s="7" t="n"/>
      <c r="AK890" s="11" t="n"/>
      <c r="AM890">
        <f>IF($D890="","",IF(COUNTIF($D$2:$D890,$D890)=1,1,0))</f>
        <v/>
      </c>
      <c r="AN890">
        <f>IF($AM890=1,SUMPRODUCT(--($AQ$2:$AQ$1001&lt;$AQ890))+1,"")</f>
        <v/>
      </c>
      <c r="AO890">
        <f>IF($D890="","",IF(OR($T890=TRUE(),$T890="TRUE"),1,0))</f>
        <v/>
      </c>
      <c r="AP890">
        <f>IF($D890="","",IF($Z890="Yes",1,0))</f>
        <v/>
      </c>
      <c r="AQ890">
        <f>IF($AM890=1,IFERROR(IF(VALUE($D890)&lt;100000000,VALUE($D890),1000000000),IFERROR(IF(VALUE(MID($D890,2,20))&lt;100000000,VALUE(MID($D890,2,20)),1000000000),1000000000))+ROW()/100000,"")</f>
        <v/>
      </c>
    </row>
    <row r="891">
      <c r="F891" s="11" t="n"/>
      <c r="P891" s="7">
        <f>IF($D891="","",O891*X891/100)</f>
        <v/>
      </c>
      <c r="Q891" s="7" t="n"/>
      <c r="W891" s="7" t="n"/>
      <c r="X891" s="7" t="n"/>
      <c r="AA891">
        <f>IF($D891="","",IF($AP891=1,0,IF($AO891=1,Settings!$C$6,Settings!$C$7))*100)</f>
        <v/>
      </c>
      <c r="AB891" s="7">
        <f>IF($D891="","",X891*AA891/100)</f>
        <v/>
      </c>
      <c r="AC891" s="7">
        <f>IF($D891="","",X891-AB891)</f>
        <v/>
      </c>
      <c r="AD891" s="7">
        <f>IF($D891="","",AC891-P891)</f>
        <v/>
      </c>
      <c r="AH891" s="7" t="n"/>
      <c r="AK891" s="11" t="n"/>
      <c r="AM891">
        <f>IF($D891="","",IF(COUNTIF($D$2:$D891,$D891)=1,1,0))</f>
        <v/>
      </c>
      <c r="AN891">
        <f>IF($AM891=1,SUMPRODUCT(--($AQ$2:$AQ$1001&lt;$AQ891))+1,"")</f>
        <v/>
      </c>
      <c r="AO891">
        <f>IF($D891="","",IF(OR($T891=TRUE(),$T891="TRUE"),1,0))</f>
        <v/>
      </c>
      <c r="AP891">
        <f>IF($D891="","",IF($Z891="Yes",1,0))</f>
        <v/>
      </c>
      <c r="AQ891">
        <f>IF($AM891=1,IFERROR(IF(VALUE($D891)&lt;100000000,VALUE($D891),1000000000),IFERROR(IF(VALUE(MID($D891,2,20))&lt;100000000,VALUE(MID($D891,2,20)),1000000000),1000000000))+ROW()/100000,"")</f>
        <v/>
      </c>
    </row>
    <row r="892">
      <c r="F892" s="11" t="n"/>
      <c r="P892" s="7">
        <f>IF($D892="","",O892*X892/100)</f>
        <v/>
      </c>
      <c r="Q892" s="7" t="n"/>
      <c r="W892" s="7" t="n"/>
      <c r="X892" s="7" t="n"/>
      <c r="AA892">
        <f>IF($D892="","",IF($AP892=1,0,IF($AO892=1,Settings!$C$6,Settings!$C$7))*100)</f>
        <v/>
      </c>
      <c r="AB892" s="7">
        <f>IF($D892="","",X892*AA892/100)</f>
        <v/>
      </c>
      <c r="AC892" s="7">
        <f>IF($D892="","",X892-AB892)</f>
        <v/>
      </c>
      <c r="AD892" s="7">
        <f>IF($D892="","",AC892-P892)</f>
        <v/>
      </c>
      <c r="AH892" s="7" t="n"/>
      <c r="AK892" s="11" t="n"/>
      <c r="AM892">
        <f>IF($D892="","",IF(COUNTIF($D$2:$D892,$D892)=1,1,0))</f>
        <v/>
      </c>
      <c r="AN892">
        <f>IF($AM892=1,SUMPRODUCT(--($AQ$2:$AQ$1001&lt;$AQ892))+1,"")</f>
        <v/>
      </c>
      <c r="AO892">
        <f>IF($D892="","",IF(OR($T892=TRUE(),$T892="TRUE"),1,0))</f>
        <v/>
      </c>
      <c r="AP892">
        <f>IF($D892="","",IF($Z892="Yes",1,0))</f>
        <v/>
      </c>
      <c r="AQ892">
        <f>IF($AM892=1,IFERROR(IF(VALUE($D892)&lt;100000000,VALUE($D892),1000000000),IFERROR(IF(VALUE(MID($D892,2,20))&lt;100000000,VALUE(MID($D892,2,20)),1000000000),1000000000))+ROW()/100000,"")</f>
        <v/>
      </c>
    </row>
    <row r="893">
      <c r="F893" s="11" t="n"/>
      <c r="P893" s="7">
        <f>IF($D893="","",O893*X893/100)</f>
        <v/>
      </c>
      <c r="Q893" s="7" t="n"/>
      <c r="W893" s="7" t="n"/>
      <c r="X893" s="7" t="n"/>
      <c r="AA893">
        <f>IF($D893="","",IF($AP893=1,0,IF($AO893=1,Settings!$C$6,Settings!$C$7))*100)</f>
        <v/>
      </c>
      <c r="AB893" s="7">
        <f>IF($D893="","",X893*AA893/100)</f>
        <v/>
      </c>
      <c r="AC893" s="7">
        <f>IF($D893="","",X893-AB893)</f>
        <v/>
      </c>
      <c r="AD893" s="7">
        <f>IF($D893="","",AC893-P893)</f>
        <v/>
      </c>
      <c r="AH893" s="7" t="n"/>
      <c r="AK893" s="11" t="n"/>
      <c r="AM893">
        <f>IF($D893="","",IF(COUNTIF($D$2:$D893,$D893)=1,1,0))</f>
        <v/>
      </c>
      <c r="AN893">
        <f>IF($AM893=1,SUMPRODUCT(--($AQ$2:$AQ$1001&lt;$AQ893))+1,"")</f>
        <v/>
      </c>
      <c r="AO893">
        <f>IF($D893="","",IF(OR($T893=TRUE(),$T893="TRUE"),1,0))</f>
        <v/>
      </c>
      <c r="AP893">
        <f>IF($D893="","",IF($Z893="Yes",1,0))</f>
        <v/>
      </c>
      <c r="AQ893">
        <f>IF($AM893=1,IFERROR(IF(VALUE($D893)&lt;100000000,VALUE($D893),1000000000),IFERROR(IF(VALUE(MID($D893,2,20))&lt;100000000,VALUE(MID($D893,2,20)),1000000000),1000000000))+ROW()/100000,"")</f>
        <v/>
      </c>
    </row>
    <row r="894">
      <c r="F894" s="11" t="n"/>
      <c r="P894" s="7">
        <f>IF($D894="","",O894*X894/100)</f>
        <v/>
      </c>
      <c r="Q894" s="7" t="n"/>
      <c r="W894" s="7" t="n"/>
      <c r="X894" s="7" t="n"/>
      <c r="AA894">
        <f>IF($D894="","",IF($AP894=1,0,IF($AO894=1,Settings!$C$6,Settings!$C$7))*100)</f>
        <v/>
      </c>
      <c r="AB894" s="7">
        <f>IF($D894="","",X894*AA894/100)</f>
        <v/>
      </c>
      <c r="AC894" s="7">
        <f>IF($D894="","",X894-AB894)</f>
        <v/>
      </c>
      <c r="AD894" s="7">
        <f>IF($D894="","",AC894-P894)</f>
        <v/>
      </c>
      <c r="AH894" s="7" t="n"/>
      <c r="AK894" s="11" t="n"/>
      <c r="AM894">
        <f>IF($D894="","",IF(COUNTIF($D$2:$D894,$D894)=1,1,0))</f>
        <v/>
      </c>
      <c r="AN894">
        <f>IF($AM894=1,SUMPRODUCT(--($AQ$2:$AQ$1001&lt;$AQ894))+1,"")</f>
        <v/>
      </c>
      <c r="AO894">
        <f>IF($D894="","",IF(OR($T894=TRUE(),$T894="TRUE"),1,0))</f>
        <v/>
      </c>
      <c r="AP894">
        <f>IF($D894="","",IF($Z894="Yes",1,0))</f>
        <v/>
      </c>
      <c r="AQ894">
        <f>IF($AM894=1,IFERROR(IF(VALUE($D894)&lt;100000000,VALUE($D894),1000000000),IFERROR(IF(VALUE(MID($D894,2,20))&lt;100000000,VALUE(MID($D894,2,20)),1000000000),1000000000))+ROW()/100000,"")</f>
        <v/>
      </c>
    </row>
    <row r="895">
      <c r="F895" s="11" t="n"/>
      <c r="P895" s="7">
        <f>IF($D895="","",O895*X895/100)</f>
        <v/>
      </c>
      <c r="Q895" s="7" t="n"/>
      <c r="W895" s="7" t="n"/>
      <c r="X895" s="7" t="n"/>
      <c r="AA895">
        <f>IF($D895="","",IF($AP895=1,0,IF($AO895=1,Settings!$C$6,Settings!$C$7))*100)</f>
        <v/>
      </c>
      <c r="AB895" s="7">
        <f>IF($D895="","",X895*AA895/100)</f>
        <v/>
      </c>
      <c r="AC895" s="7">
        <f>IF($D895="","",X895-AB895)</f>
        <v/>
      </c>
      <c r="AD895" s="7">
        <f>IF($D895="","",AC895-P895)</f>
        <v/>
      </c>
      <c r="AH895" s="7" t="n"/>
      <c r="AK895" s="11" t="n"/>
      <c r="AM895">
        <f>IF($D895="","",IF(COUNTIF($D$2:$D895,$D895)=1,1,0))</f>
        <v/>
      </c>
      <c r="AN895">
        <f>IF($AM895=1,SUMPRODUCT(--($AQ$2:$AQ$1001&lt;$AQ895))+1,"")</f>
        <v/>
      </c>
      <c r="AO895">
        <f>IF($D895="","",IF(OR($T895=TRUE(),$T895="TRUE"),1,0))</f>
        <v/>
      </c>
      <c r="AP895">
        <f>IF($D895="","",IF($Z895="Yes",1,0))</f>
        <v/>
      </c>
      <c r="AQ895">
        <f>IF($AM895=1,IFERROR(IF(VALUE($D895)&lt;100000000,VALUE($D895),1000000000),IFERROR(IF(VALUE(MID($D895,2,20))&lt;100000000,VALUE(MID($D895,2,20)),1000000000),1000000000))+ROW()/100000,"")</f>
        <v/>
      </c>
    </row>
    <row r="896">
      <c r="F896" s="11" t="n"/>
      <c r="P896" s="7">
        <f>IF($D896="","",O896*X896/100)</f>
        <v/>
      </c>
      <c r="Q896" s="7" t="n"/>
      <c r="W896" s="7" t="n"/>
      <c r="X896" s="7" t="n"/>
      <c r="AA896">
        <f>IF($D896="","",IF($AP896=1,0,IF($AO896=1,Settings!$C$6,Settings!$C$7))*100)</f>
        <v/>
      </c>
      <c r="AB896" s="7">
        <f>IF($D896="","",X896*AA896/100)</f>
        <v/>
      </c>
      <c r="AC896" s="7">
        <f>IF($D896="","",X896-AB896)</f>
        <v/>
      </c>
      <c r="AD896" s="7">
        <f>IF($D896="","",AC896-P896)</f>
        <v/>
      </c>
      <c r="AH896" s="7" t="n"/>
      <c r="AK896" s="11" t="n"/>
      <c r="AM896">
        <f>IF($D896="","",IF(COUNTIF($D$2:$D896,$D896)=1,1,0))</f>
        <v/>
      </c>
      <c r="AN896">
        <f>IF($AM896=1,SUMPRODUCT(--($AQ$2:$AQ$1001&lt;$AQ896))+1,"")</f>
        <v/>
      </c>
      <c r="AO896">
        <f>IF($D896="","",IF(OR($T896=TRUE(),$T896="TRUE"),1,0))</f>
        <v/>
      </c>
      <c r="AP896">
        <f>IF($D896="","",IF($Z896="Yes",1,0))</f>
        <v/>
      </c>
      <c r="AQ896">
        <f>IF($AM896=1,IFERROR(IF(VALUE($D896)&lt;100000000,VALUE($D896),1000000000),IFERROR(IF(VALUE(MID($D896,2,20))&lt;100000000,VALUE(MID($D896,2,20)),1000000000),1000000000))+ROW()/100000,"")</f>
        <v/>
      </c>
    </row>
    <row r="897">
      <c r="F897" s="11" t="n"/>
      <c r="P897" s="7">
        <f>IF($D897="","",O897*X897/100)</f>
        <v/>
      </c>
      <c r="Q897" s="7" t="n"/>
      <c r="W897" s="7" t="n"/>
      <c r="X897" s="7" t="n"/>
      <c r="AA897">
        <f>IF($D897="","",IF($AP897=1,0,IF($AO897=1,Settings!$C$6,Settings!$C$7))*100)</f>
        <v/>
      </c>
      <c r="AB897" s="7">
        <f>IF($D897="","",X897*AA897/100)</f>
        <v/>
      </c>
      <c r="AC897" s="7">
        <f>IF($D897="","",X897-AB897)</f>
        <v/>
      </c>
      <c r="AD897" s="7">
        <f>IF($D897="","",AC897-P897)</f>
        <v/>
      </c>
      <c r="AH897" s="7" t="n"/>
      <c r="AK897" s="11" t="n"/>
      <c r="AM897">
        <f>IF($D897="","",IF(COUNTIF($D$2:$D897,$D897)=1,1,0))</f>
        <v/>
      </c>
      <c r="AN897">
        <f>IF($AM897=1,SUMPRODUCT(--($AQ$2:$AQ$1001&lt;$AQ897))+1,"")</f>
        <v/>
      </c>
      <c r="AO897">
        <f>IF($D897="","",IF(OR($T897=TRUE(),$T897="TRUE"),1,0))</f>
        <v/>
      </c>
      <c r="AP897">
        <f>IF($D897="","",IF($Z897="Yes",1,0))</f>
        <v/>
      </c>
      <c r="AQ897">
        <f>IF($AM897=1,IFERROR(IF(VALUE($D897)&lt;100000000,VALUE($D897),1000000000),IFERROR(IF(VALUE(MID($D897,2,20))&lt;100000000,VALUE(MID($D897,2,20)),1000000000),1000000000))+ROW()/100000,"")</f>
        <v/>
      </c>
    </row>
    <row r="898">
      <c r="F898" s="11" t="n"/>
      <c r="P898" s="7">
        <f>IF($D898="","",O898*X898/100)</f>
        <v/>
      </c>
      <c r="Q898" s="7" t="n"/>
      <c r="W898" s="7" t="n"/>
      <c r="X898" s="7" t="n"/>
      <c r="AA898">
        <f>IF($D898="","",IF($AP898=1,0,IF($AO898=1,Settings!$C$6,Settings!$C$7))*100)</f>
        <v/>
      </c>
      <c r="AB898" s="7">
        <f>IF($D898="","",X898*AA898/100)</f>
        <v/>
      </c>
      <c r="AC898" s="7">
        <f>IF($D898="","",X898-AB898)</f>
        <v/>
      </c>
      <c r="AD898" s="7">
        <f>IF($D898="","",AC898-P898)</f>
        <v/>
      </c>
      <c r="AH898" s="7" t="n"/>
      <c r="AK898" s="11" t="n"/>
      <c r="AM898">
        <f>IF($D898="","",IF(COUNTIF($D$2:$D898,$D898)=1,1,0))</f>
        <v/>
      </c>
      <c r="AN898">
        <f>IF($AM898=1,SUMPRODUCT(--($AQ$2:$AQ$1001&lt;$AQ898))+1,"")</f>
        <v/>
      </c>
      <c r="AO898">
        <f>IF($D898="","",IF(OR($T898=TRUE(),$T898="TRUE"),1,0))</f>
        <v/>
      </c>
      <c r="AP898">
        <f>IF($D898="","",IF($Z898="Yes",1,0))</f>
        <v/>
      </c>
      <c r="AQ898">
        <f>IF($AM898=1,IFERROR(IF(VALUE($D898)&lt;100000000,VALUE($D898),1000000000),IFERROR(IF(VALUE(MID($D898,2,20))&lt;100000000,VALUE(MID($D898,2,20)),1000000000),1000000000))+ROW()/100000,"")</f>
        <v/>
      </c>
    </row>
    <row r="899">
      <c r="F899" s="11" t="n"/>
      <c r="P899" s="7">
        <f>IF($D899="","",O899*X899/100)</f>
        <v/>
      </c>
      <c r="Q899" s="7" t="n"/>
      <c r="W899" s="7" t="n"/>
      <c r="X899" s="7" t="n"/>
      <c r="AA899">
        <f>IF($D899="","",IF($AP899=1,0,IF($AO899=1,Settings!$C$6,Settings!$C$7))*100)</f>
        <v/>
      </c>
      <c r="AB899" s="7">
        <f>IF($D899="","",X899*AA899/100)</f>
        <v/>
      </c>
      <c r="AC899" s="7">
        <f>IF($D899="","",X899-AB899)</f>
        <v/>
      </c>
      <c r="AD899" s="7">
        <f>IF($D899="","",AC899-P899)</f>
        <v/>
      </c>
      <c r="AH899" s="7" t="n"/>
      <c r="AK899" s="11" t="n"/>
      <c r="AM899">
        <f>IF($D899="","",IF(COUNTIF($D$2:$D899,$D899)=1,1,0))</f>
        <v/>
      </c>
      <c r="AN899">
        <f>IF($AM899=1,SUMPRODUCT(--($AQ$2:$AQ$1001&lt;$AQ899))+1,"")</f>
        <v/>
      </c>
      <c r="AO899">
        <f>IF($D899="","",IF(OR($T899=TRUE(),$T899="TRUE"),1,0))</f>
        <v/>
      </c>
      <c r="AP899">
        <f>IF($D899="","",IF($Z899="Yes",1,0))</f>
        <v/>
      </c>
      <c r="AQ899">
        <f>IF($AM899=1,IFERROR(IF(VALUE($D899)&lt;100000000,VALUE($D899),1000000000),IFERROR(IF(VALUE(MID($D899,2,20))&lt;100000000,VALUE(MID($D899,2,20)),1000000000),1000000000))+ROW()/100000,"")</f>
        <v/>
      </c>
    </row>
    <row r="900">
      <c r="F900" s="11" t="n"/>
      <c r="P900" s="7">
        <f>IF($D900="","",O900*X900/100)</f>
        <v/>
      </c>
      <c r="Q900" s="7" t="n"/>
      <c r="W900" s="7" t="n"/>
      <c r="X900" s="7" t="n"/>
      <c r="AA900">
        <f>IF($D900="","",IF($AP900=1,0,IF($AO900=1,Settings!$C$6,Settings!$C$7))*100)</f>
        <v/>
      </c>
      <c r="AB900" s="7">
        <f>IF($D900="","",X900*AA900/100)</f>
        <v/>
      </c>
      <c r="AC900" s="7">
        <f>IF($D900="","",X900-AB900)</f>
        <v/>
      </c>
      <c r="AD900" s="7">
        <f>IF($D900="","",AC900-P900)</f>
        <v/>
      </c>
      <c r="AH900" s="7" t="n"/>
      <c r="AK900" s="11" t="n"/>
      <c r="AM900">
        <f>IF($D900="","",IF(COUNTIF($D$2:$D900,$D900)=1,1,0))</f>
        <v/>
      </c>
      <c r="AN900">
        <f>IF($AM900=1,SUMPRODUCT(--($AQ$2:$AQ$1001&lt;$AQ900))+1,"")</f>
        <v/>
      </c>
      <c r="AO900">
        <f>IF($D900="","",IF(OR($T900=TRUE(),$T900="TRUE"),1,0))</f>
        <v/>
      </c>
      <c r="AP900">
        <f>IF($D900="","",IF($Z900="Yes",1,0))</f>
        <v/>
      </c>
      <c r="AQ900">
        <f>IF($AM900=1,IFERROR(IF(VALUE($D900)&lt;100000000,VALUE($D900),1000000000),IFERROR(IF(VALUE(MID($D900,2,20))&lt;100000000,VALUE(MID($D900,2,20)),1000000000),1000000000))+ROW()/100000,"")</f>
        <v/>
      </c>
    </row>
    <row r="901">
      <c r="F901" s="11" t="n"/>
      <c r="P901" s="7">
        <f>IF($D901="","",O901*X901/100)</f>
        <v/>
      </c>
      <c r="Q901" s="7" t="n"/>
      <c r="W901" s="7" t="n"/>
      <c r="X901" s="7" t="n"/>
      <c r="AA901">
        <f>IF($D901="","",IF($AP901=1,0,IF($AO901=1,Settings!$C$6,Settings!$C$7))*100)</f>
        <v/>
      </c>
      <c r="AB901" s="7">
        <f>IF($D901="","",X901*AA901/100)</f>
        <v/>
      </c>
      <c r="AC901" s="7">
        <f>IF($D901="","",X901-AB901)</f>
        <v/>
      </c>
      <c r="AD901" s="7">
        <f>IF($D901="","",AC901-P901)</f>
        <v/>
      </c>
      <c r="AH901" s="7" t="n"/>
      <c r="AK901" s="11" t="n"/>
      <c r="AM901">
        <f>IF($D901="","",IF(COUNTIF($D$2:$D901,$D901)=1,1,0))</f>
        <v/>
      </c>
      <c r="AN901">
        <f>IF($AM901=1,SUMPRODUCT(--($AQ$2:$AQ$1001&lt;$AQ901))+1,"")</f>
        <v/>
      </c>
      <c r="AO901">
        <f>IF($D901="","",IF(OR($T901=TRUE(),$T901="TRUE"),1,0))</f>
        <v/>
      </c>
      <c r="AP901">
        <f>IF($D901="","",IF($Z901="Yes",1,0))</f>
        <v/>
      </c>
      <c r="AQ901">
        <f>IF($AM901=1,IFERROR(IF(VALUE($D901)&lt;100000000,VALUE($D901),1000000000),IFERROR(IF(VALUE(MID($D901,2,20))&lt;100000000,VALUE(MID($D901,2,20)),1000000000),1000000000))+ROW()/100000,"")</f>
        <v/>
      </c>
    </row>
    <row r="902">
      <c r="F902" s="11" t="n"/>
      <c r="P902" s="7">
        <f>IF($D902="","",O902*X902/100)</f>
        <v/>
      </c>
      <c r="Q902" s="7" t="n"/>
      <c r="W902" s="7" t="n"/>
      <c r="X902" s="7" t="n"/>
      <c r="AA902">
        <f>IF($D902="","",IF($AP902=1,0,IF($AO902=1,Settings!$C$6,Settings!$C$7))*100)</f>
        <v/>
      </c>
      <c r="AB902" s="7">
        <f>IF($D902="","",X902*AA902/100)</f>
        <v/>
      </c>
      <c r="AC902" s="7">
        <f>IF($D902="","",X902-AB902)</f>
        <v/>
      </c>
      <c r="AD902" s="7">
        <f>IF($D902="","",AC902-P902)</f>
        <v/>
      </c>
      <c r="AH902" s="7" t="n"/>
      <c r="AK902" s="11" t="n"/>
      <c r="AM902">
        <f>IF($D902="","",IF(COUNTIF($D$2:$D902,$D902)=1,1,0))</f>
        <v/>
      </c>
      <c r="AN902">
        <f>IF($AM902=1,SUMPRODUCT(--($AQ$2:$AQ$1001&lt;$AQ902))+1,"")</f>
        <v/>
      </c>
      <c r="AO902">
        <f>IF($D902="","",IF(OR($T902=TRUE(),$T902="TRUE"),1,0))</f>
        <v/>
      </c>
      <c r="AP902">
        <f>IF($D902="","",IF($Z902="Yes",1,0))</f>
        <v/>
      </c>
      <c r="AQ902">
        <f>IF($AM902=1,IFERROR(IF(VALUE($D902)&lt;100000000,VALUE($D902),1000000000),IFERROR(IF(VALUE(MID($D902,2,20))&lt;100000000,VALUE(MID($D902,2,20)),1000000000),1000000000))+ROW()/100000,"")</f>
        <v/>
      </c>
    </row>
    <row r="903">
      <c r="F903" s="11" t="n"/>
      <c r="P903" s="7">
        <f>IF($D903="","",O903*X903/100)</f>
        <v/>
      </c>
      <c r="Q903" s="7" t="n"/>
      <c r="W903" s="7" t="n"/>
      <c r="X903" s="7" t="n"/>
      <c r="AA903">
        <f>IF($D903="","",IF($AP903=1,0,IF($AO903=1,Settings!$C$6,Settings!$C$7))*100)</f>
        <v/>
      </c>
      <c r="AB903" s="7">
        <f>IF($D903="","",X903*AA903/100)</f>
        <v/>
      </c>
      <c r="AC903" s="7">
        <f>IF($D903="","",X903-AB903)</f>
        <v/>
      </c>
      <c r="AD903" s="7">
        <f>IF($D903="","",AC903-P903)</f>
        <v/>
      </c>
      <c r="AH903" s="7" t="n"/>
      <c r="AK903" s="11" t="n"/>
      <c r="AM903">
        <f>IF($D903="","",IF(COUNTIF($D$2:$D903,$D903)=1,1,0))</f>
        <v/>
      </c>
      <c r="AN903">
        <f>IF($AM903=1,SUMPRODUCT(--($AQ$2:$AQ$1001&lt;$AQ903))+1,"")</f>
        <v/>
      </c>
      <c r="AO903">
        <f>IF($D903="","",IF(OR($T903=TRUE(),$T903="TRUE"),1,0))</f>
        <v/>
      </c>
      <c r="AP903">
        <f>IF($D903="","",IF($Z903="Yes",1,0))</f>
        <v/>
      </c>
      <c r="AQ903">
        <f>IF($AM903=1,IFERROR(IF(VALUE($D903)&lt;100000000,VALUE($D903),1000000000),IFERROR(IF(VALUE(MID($D903,2,20))&lt;100000000,VALUE(MID($D903,2,20)),1000000000),1000000000))+ROW()/100000,"")</f>
        <v/>
      </c>
    </row>
    <row r="904">
      <c r="F904" s="11" t="n"/>
      <c r="P904" s="7">
        <f>IF($D904="","",O904*X904/100)</f>
        <v/>
      </c>
      <c r="Q904" s="7" t="n"/>
      <c r="W904" s="7" t="n"/>
      <c r="X904" s="7" t="n"/>
      <c r="AA904">
        <f>IF($D904="","",IF($AP904=1,0,IF($AO904=1,Settings!$C$6,Settings!$C$7))*100)</f>
        <v/>
      </c>
      <c r="AB904" s="7">
        <f>IF($D904="","",X904*AA904/100)</f>
        <v/>
      </c>
      <c r="AC904" s="7">
        <f>IF($D904="","",X904-AB904)</f>
        <v/>
      </c>
      <c r="AD904" s="7">
        <f>IF($D904="","",AC904-P904)</f>
        <v/>
      </c>
      <c r="AH904" s="7" t="n"/>
      <c r="AK904" s="11" t="n"/>
      <c r="AM904">
        <f>IF($D904="","",IF(COUNTIF($D$2:$D904,$D904)=1,1,0))</f>
        <v/>
      </c>
      <c r="AN904">
        <f>IF($AM904=1,SUMPRODUCT(--($AQ$2:$AQ$1001&lt;$AQ904))+1,"")</f>
        <v/>
      </c>
      <c r="AO904">
        <f>IF($D904="","",IF(OR($T904=TRUE(),$T904="TRUE"),1,0))</f>
        <v/>
      </c>
      <c r="AP904">
        <f>IF($D904="","",IF($Z904="Yes",1,0))</f>
        <v/>
      </c>
      <c r="AQ904">
        <f>IF($AM904=1,IFERROR(IF(VALUE($D904)&lt;100000000,VALUE($D904),1000000000),IFERROR(IF(VALUE(MID($D904,2,20))&lt;100000000,VALUE(MID($D904,2,20)),1000000000),1000000000))+ROW()/100000,"")</f>
        <v/>
      </c>
    </row>
    <row r="905">
      <c r="F905" s="11" t="n"/>
      <c r="P905" s="7">
        <f>IF($D905="","",O905*X905/100)</f>
        <v/>
      </c>
      <c r="Q905" s="7" t="n"/>
      <c r="W905" s="7" t="n"/>
      <c r="X905" s="7" t="n"/>
      <c r="AA905">
        <f>IF($D905="","",IF($AP905=1,0,IF($AO905=1,Settings!$C$6,Settings!$C$7))*100)</f>
        <v/>
      </c>
      <c r="AB905" s="7">
        <f>IF($D905="","",X905*AA905/100)</f>
        <v/>
      </c>
      <c r="AC905" s="7">
        <f>IF($D905="","",X905-AB905)</f>
        <v/>
      </c>
      <c r="AD905" s="7">
        <f>IF($D905="","",AC905-P905)</f>
        <v/>
      </c>
      <c r="AH905" s="7" t="n"/>
      <c r="AK905" s="11" t="n"/>
      <c r="AM905">
        <f>IF($D905="","",IF(COUNTIF($D$2:$D905,$D905)=1,1,0))</f>
        <v/>
      </c>
      <c r="AN905">
        <f>IF($AM905=1,SUMPRODUCT(--($AQ$2:$AQ$1001&lt;$AQ905))+1,"")</f>
        <v/>
      </c>
      <c r="AO905">
        <f>IF($D905="","",IF(OR($T905=TRUE(),$T905="TRUE"),1,0))</f>
        <v/>
      </c>
      <c r="AP905">
        <f>IF($D905="","",IF($Z905="Yes",1,0))</f>
        <v/>
      </c>
      <c r="AQ905">
        <f>IF($AM905=1,IFERROR(IF(VALUE($D905)&lt;100000000,VALUE($D905),1000000000),IFERROR(IF(VALUE(MID($D905,2,20))&lt;100000000,VALUE(MID($D905,2,20)),1000000000),1000000000))+ROW()/100000,"")</f>
        <v/>
      </c>
    </row>
    <row r="906">
      <c r="F906" s="11" t="n"/>
      <c r="P906" s="7">
        <f>IF($D906="","",O906*X906/100)</f>
        <v/>
      </c>
      <c r="Q906" s="7" t="n"/>
      <c r="W906" s="7" t="n"/>
      <c r="X906" s="7" t="n"/>
      <c r="AA906">
        <f>IF($D906="","",IF($AP906=1,0,IF($AO906=1,Settings!$C$6,Settings!$C$7))*100)</f>
        <v/>
      </c>
      <c r="AB906" s="7">
        <f>IF($D906="","",X906*AA906/100)</f>
        <v/>
      </c>
      <c r="AC906" s="7">
        <f>IF($D906="","",X906-AB906)</f>
        <v/>
      </c>
      <c r="AD906" s="7">
        <f>IF($D906="","",AC906-P906)</f>
        <v/>
      </c>
      <c r="AH906" s="7" t="n"/>
      <c r="AK906" s="11" t="n"/>
      <c r="AM906">
        <f>IF($D906="","",IF(COUNTIF($D$2:$D906,$D906)=1,1,0))</f>
        <v/>
      </c>
      <c r="AN906">
        <f>IF($AM906=1,SUMPRODUCT(--($AQ$2:$AQ$1001&lt;$AQ906))+1,"")</f>
        <v/>
      </c>
      <c r="AO906">
        <f>IF($D906="","",IF(OR($T906=TRUE(),$T906="TRUE"),1,0))</f>
        <v/>
      </c>
      <c r="AP906">
        <f>IF($D906="","",IF($Z906="Yes",1,0))</f>
        <v/>
      </c>
      <c r="AQ906">
        <f>IF($AM906=1,IFERROR(IF(VALUE($D906)&lt;100000000,VALUE($D906),1000000000),IFERROR(IF(VALUE(MID($D906,2,20))&lt;100000000,VALUE(MID($D906,2,20)),1000000000),1000000000))+ROW()/100000,"")</f>
        <v/>
      </c>
    </row>
    <row r="907">
      <c r="F907" s="11" t="n"/>
      <c r="P907" s="7">
        <f>IF($D907="","",O907*X907/100)</f>
        <v/>
      </c>
      <c r="Q907" s="7" t="n"/>
      <c r="W907" s="7" t="n"/>
      <c r="X907" s="7" t="n"/>
      <c r="AA907">
        <f>IF($D907="","",IF($AP907=1,0,IF($AO907=1,Settings!$C$6,Settings!$C$7))*100)</f>
        <v/>
      </c>
      <c r="AB907" s="7">
        <f>IF($D907="","",X907*AA907/100)</f>
        <v/>
      </c>
      <c r="AC907" s="7">
        <f>IF($D907="","",X907-AB907)</f>
        <v/>
      </c>
      <c r="AD907" s="7">
        <f>IF($D907="","",AC907-P907)</f>
        <v/>
      </c>
      <c r="AH907" s="7" t="n"/>
      <c r="AK907" s="11" t="n"/>
      <c r="AM907">
        <f>IF($D907="","",IF(COUNTIF($D$2:$D907,$D907)=1,1,0))</f>
        <v/>
      </c>
      <c r="AN907">
        <f>IF($AM907=1,SUMPRODUCT(--($AQ$2:$AQ$1001&lt;$AQ907))+1,"")</f>
        <v/>
      </c>
      <c r="AO907">
        <f>IF($D907="","",IF(OR($T907=TRUE(),$T907="TRUE"),1,0))</f>
        <v/>
      </c>
      <c r="AP907">
        <f>IF($D907="","",IF($Z907="Yes",1,0))</f>
        <v/>
      </c>
      <c r="AQ907">
        <f>IF($AM907=1,IFERROR(IF(VALUE($D907)&lt;100000000,VALUE($D907),1000000000),IFERROR(IF(VALUE(MID($D907,2,20))&lt;100000000,VALUE(MID($D907,2,20)),1000000000),1000000000))+ROW()/100000,"")</f>
        <v/>
      </c>
    </row>
    <row r="908">
      <c r="F908" s="11" t="n"/>
      <c r="P908" s="7">
        <f>IF($D908="","",O908*X908/100)</f>
        <v/>
      </c>
      <c r="Q908" s="7" t="n"/>
      <c r="W908" s="7" t="n"/>
      <c r="X908" s="7" t="n"/>
      <c r="AA908">
        <f>IF($D908="","",IF($AP908=1,0,IF($AO908=1,Settings!$C$6,Settings!$C$7))*100)</f>
        <v/>
      </c>
      <c r="AB908" s="7">
        <f>IF($D908="","",X908*AA908/100)</f>
        <v/>
      </c>
      <c r="AC908" s="7">
        <f>IF($D908="","",X908-AB908)</f>
        <v/>
      </c>
      <c r="AD908" s="7">
        <f>IF($D908="","",AC908-P908)</f>
        <v/>
      </c>
      <c r="AH908" s="7" t="n"/>
      <c r="AK908" s="11" t="n"/>
      <c r="AM908">
        <f>IF($D908="","",IF(COUNTIF($D$2:$D908,$D908)=1,1,0))</f>
        <v/>
      </c>
      <c r="AN908">
        <f>IF($AM908=1,SUMPRODUCT(--($AQ$2:$AQ$1001&lt;$AQ908))+1,"")</f>
        <v/>
      </c>
      <c r="AO908">
        <f>IF($D908="","",IF(OR($T908=TRUE(),$T908="TRUE"),1,0))</f>
        <v/>
      </c>
      <c r="AP908">
        <f>IF($D908="","",IF($Z908="Yes",1,0))</f>
        <v/>
      </c>
      <c r="AQ908">
        <f>IF($AM908=1,IFERROR(IF(VALUE($D908)&lt;100000000,VALUE($D908),1000000000),IFERROR(IF(VALUE(MID($D908,2,20))&lt;100000000,VALUE(MID($D908,2,20)),1000000000),1000000000))+ROW()/100000,"")</f>
        <v/>
      </c>
    </row>
    <row r="909">
      <c r="F909" s="11" t="n"/>
      <c r="P909" s="7">
        <f>IF($D909="","",O909*X909/100)</f>
        <v/>
      </c>
      <c r="Q909" s="7" t="n"/>
      <c r="W909" s="7" t="n"/>
      <c r="X909" s="7" t="n"/>
      <c r="AA909">
        <f>IF($D909="","",IF($AP909=1,0,IF($AO909=1,Settings!$C$6,Settings!$C$7))*100)</f>
        <v/>
      </c>
      <c r="AB909" s="7">
        <f>IF($D909="","",X909*AA909/100)</f>
        <v/>
      </c>
      <c r="AC909" s="7">
        <f>IF($D909="","",X909-AB909)</f>
        <v/>
      </c>
      <c r="AD909" s="7">
        <f>IF($D909="","",AC909-P909)</f>
        <v/>
      </c>
      <c r="AH909" s="7" t="n"/>
      <c r="AK909" s="11" t="n"/>
      <c r="AM909">
        <f>IF($D909="","",IF(COUNTIF($D$2:$D909,$D909)=1,1,0))</f>
        <v/>
      </c>
      <c r="AN909">
        <f>IF($AM909=1,SUMPRODUCT(--($AQ$2:$AQ$1001&lt;$AQ909))+1,"")</f>
        <v/>
      </c>
      <c r="AO909">
        <f>IF($D909="","",IF(OR($T909=TRUE(),$T909="TRUE"),1,0))</f>
        <v/>
      </c>
      <c r="AP909">
        <f>IF($D909="","",IF($Z909="Yes",1,0))</f>
        <v/>
      </c>
      <c r="AQ909">
        <f>IF($AM909=1,IFERROR(IF(VALUE($D909)&lt;100000000,VALUE($D909),1000000000),IFERROR(IF(VALUE(MID($D909,2,20))&lt;100000000,VALUE(MID($D909,2,20)),1000000000),1000000000))+ROW()/100000,"")</f>
        <v/>
      </c>
    </row>
    <row r="910">
      <c r="F910" s="11" t="n"/>
      <c r="P910" s="7">
        <f>IF($D910="","",O910*X910/100)</f>
        <v/>
      </c>
      <c r="Q910" s="7" t="n"/>
      <c r="W910" s="7" t="n"/>
      <c r="X910" s="7" t="n"/>
      <c r="AA910">
        <f>IF($D910="","",IF($AP910=1,0,IF($AO910=1,Settings!$C$6,Settings!$C$7))*100)</f>
        <v/>
      </c>
      <c r="AB910" s="7">
        <f>IF($D910="","",X910*AA910/100)</f>
        <v/>
      </c>
      <c r="AC910" s="7">
        <f>IF($D910="","",X910-AB910)</f>
        <v/>
      </c>
      <c r="AD910" s="7">
        <f>IF($D910="","",AC910-P910)</f>
        <v/>
      </c>
      <c r="AH910" s="7" t="n"/>
      <c r="AK910" s="11" t="n"/>
      <c r="AM910">
        <f>IF($D910="","",IF(COUNTIF($D$2:$D910,$D910)=1,1,0))</f>
        <v/>
      </c>
      <c r="AN910">
        <f>IF($AM910=1,SUMPRODUCT(--($AQ$2:$AQ$1001&lt;$AQ910))+1,"")</f>
        <v/>
      </c>
      <c r="AO910">
        <f>IF($D910="","",IF(OR($T910=TRUE(),$T910="TRUE"),1,0))</f>
        <v/>
      </c>
      <c r="AP910">
        <f>IF($D910="","",IF($Z910="Yes",1,0))</f>
        <v/>
      </c>
      <c r="AQ910">
        <f>IF($AM910=1,IFERROR(IF(VALUE($D910)&lt;100000000,VALUE($D910),1000000000),IFERROR(IF(VALUE(MID($D910,2,20))&lt;100000000,VALUE(MID($D910,2,20)),1000000000),1000000000))+ROW()/100000,"")</f>
        <v/>
      </c>
    </row>
    <row r="911">
      <c r="F911" s="11" t="n"/>
      <c r="P911" s="7">
        <f>IF($D911="","",O911*X911/100)</f>
        <v/>
      </c>
      <c r="Q911" s="7" t="n"/>
      <c r="W911" s="7" t="n"/>
      <c r="X911" s="7" t="n"/>
      <c r="AA911">
        <f>IF($D911="","",IF($AP911=1,0,IF($AO911=1,Settings!$C$6,Settings!$C$7))*100)</f>
        <v/>
      </c>
      <c r="AB911" s="7">
        <f>IF($D911="","",X911*AA911/100)</f>
        <v/>
      </c>
      <c r="AC911" s="7">
        <f>IF($D911="","",X911-AB911)</f>
        <v/>
      </c>
      <c r="AD911" s="7">
        <f>IF($D911="","",AC911-P911)</f>
        <v/>
      </c>
      <c r="AH911" s="7" t="n"/>
      <c r="AK911" s="11" t="n"/>
      <c r="AM911">
        <f>IF($D911="","",IF(COUNTIF($D$2:$D911,$D911)=1,1,0))</f>
        <v/>
      </c>
      <c r="AN911">
        <f>IF($AM911=1,SUMPRODUCT(--($AQ$2:$AQ$1001&lt;$AQ911))+1,"")</f>
        <v/>
      </c>
      <c r="AO911">
        <f>IF($D911="","",IF(OR($T911=TRUE(),$T911="TRUE"),1,0))</f>
        <v/>
      </c>
      <c r="AP911">
        <f>IF($D911="","",IF($Z911="Yes",1,0))</f>
        <v/>
      </c>
      <c r="AQ911">
        <f>IF($AM911=1,IFERROR(IF(VALUE($D911)&lt;100000000,VALUE($D911),1000000000),IFERROR(IF(VALUE(MID($D911,2,20))&lt;100000000,VALUE(MID($D911,2,20)),1000000000),1000000000))+ROW()/100000,"")</f>
        <v/>
      </c>
    </row>
    <row r="912">
      <c r="F912" s="11" t="n"/>
      <c r="P912" s="7">
        <f>IF($D912="","",O912*X912/100)</f>
        <v/>
      </c>
      <c r="Q912" s="7" t="n"/>
      <c r="W912" s="7" t="n"/>
      <c r="X912" s="7" t="n"/>
      <c r="AA912">
        <f>IF($D912="","",IF($AP912=1,0,IF($AO912=1,Settings!$C$6,Settings!$C$7))*100)</f>
        <v/>
      </c>
      <c r="AB912" s="7">
        <f>IF($D912="","",X912*AA912/100)</f>
        <v/>
      </c>
      <c r="AC912" s="7">
        <f>IF($D912="","",X912-AB912)</f>
        <v/>
      </c>
      <c r="AD912" s="7">
        <f>IF($D912="","",AC912-P912)</f>
        <v/>
      </c>
      <c r="AH912" s="7" t="n"/>
      <c r="AK912" s="11" t="n"/>
      <c r="AM912">
        <f>IF($D912="","",IF(COUNTIF($D$2:$D912,$D912)=1,1,0))</f>
        <v/>
      </c>
      <c r="AN912">
        <f>IF($AM912=1,SUMPRODUCT(--($AQ$2:$AQ$1001&lt;$AQ912))+1,"")</f>
        <v/>
      </c>
      <c r="AO912">
        <f>IF($D912="","",IF(OR($T912=TRUE(),$T912="TRUE"),1,0))</f>
        <v/>
      </c>
      <c r="AP912">
        <f>IF($D912="","",IF($Z912="Yes",1,0))</f>
        <v/>
      </c>
      <c r="AQ912">
        <f>IF($AM912=1,IFERROR(IF(VALUE($D912)&lt;100000000,VALUE($D912),1000000000),IFERROR(IF(VALUE(MID($D912,2,20))&lt;100000000,VALUE(MID($D912,2,20)),1000000000),1000000000))+ROW()/100000,"")</f>
        <v/>
      </c>
    </row>
    <row r="913">
      <c r="F913" s="11" t="n"/>
      <c r="P913" s="7">
        <f>IF($D913="","",O913*X913/100)</f>
        <v/>
      </c>
      <c r="Q913" s="7" t="n"/>
      <c r="W913" s="7" t="n"/>
      <c r="X913" s="7" t="n"/>
      <c r="AA913">
        <f>IF($D913="","",IF($AP913=1,0,IF($AO913=1,Settings!$C$6,Settings!$C$7))*100)</f>
        <v/>
      </c>
      <c r="AB913" s="7">
        <f>IF($D913="","",X913*AA913/100)</f>
        <v/>
      </c>
      <c r="AC913" s="7">
        <f>IF($D913="","",X913-AB913)</f>
        <v/>
      </c>
      <c r="AD913" s="7">
        <f>IF($D913="","",AC913-P913)</f>
        <v/>
      </c>
      <c r="AH913" s="7" t="n"/>
      <c r="AK913" s="11" t="n"/>
      <c r="AM913">
        <f>IF($D913="","",IF(COUNTIF($D$2:$D913,$D913)=1,1,0))</f>
        <v/>
      </c>
      <c r="AN913">
        <f>IF($AM913=1,SUMPRODUCT(--($AQ$2:$AQ$1001&lt;$AQ913))+1,"")</f>
        <v/>
      </c>
      <c r="AO913">
        <f>IF($D913="","",IF(OR($T913=TRUE(),$T913="TRUE"),1,0))</f>
        <v/>
      </c>
      <c r="AP913">
        <f>IF($D913="","",IF($Z913="Yes",1,0))</f>
        <v/>
      </c>
      <c r="AQ913">
        <f>IF($AM913=1,IFERROR(IF(VALUE($D913)&lt;100000000,VALUE($D913),1000000000),IFERROR(IF(VALUE(MID($D913,2,20))&lt;100000000,VALUE(MID($D913,2,20)),1000000000),1000000000))+ROW()/100000,"")</f>
        <v/>
      </c>
    </row>
    <row r="914">
      <c r="F914" s="11" t="n"/>
      <c r="P914" s="7">
        <f>IF($D914="","",O914*X914/100)</f>
        <v/>
      </c>
      <c r="Q914" s="7" t="n"/>
      <c r="W914" s="7" t="n"/>
      <c r="X914" s="7" t="n"/>
      <c r="AA914">
        <f>IF($D914="","",IF($AP914=1,0,IF($AO914=1,Settings!$C$6,Settings!$C$7))*100)</f>
        <v/>
      </c>
      <c r="AB914" s="7">
        <f>IF($D914="","",X914*AA914/100)</f>
        <v/>
      </c>
      <c r="AC914" s="7">
        <f>IF($D914="","",X914-AB914)</f>
        <v/>
      </c>
      <c r="AD914" s="7">
        <f>IF($D914="","",AC914-P914)</f>
        <v/>
      </c>
      <c r="AH914" s="7" t="n"/>
      <c r="AK914" s="11" t="n"/>
      <c r="AM914">
        <f>IF($D914="","",IF(COUNTIF($D$2:$D914,$D914)=1,1,0))</f>
        <v/>
      </c>
      <c r="AN914">
        <f>IF($AM914=1,SUMPRODUCT(--($AQ$2:$AQ$1001&lt;$AQ914))+1,"")</f>
        <v/>
      </c>
      <c r="AO914">
        <f>IF($D914="","",IF(OR($T914=TRUE(),$T914="TRUE"),1,0))</f>
        <v/>
      </c>
      <c r="AP914">
        <f>IF($D914="","",IF($Z914="Yes",1,0))</f>
        <v/>
      </c>
      <c r="AQ914">
        <f>IF($AM914=1,IFERROR(IF(VALUE($D914)&lt;100000000,VALUE($D914),1000000000),IFERROR(IF(VALUE(MID($D914,2,20))&lt;100000000,VALUE(MID($D914,2,20)),1000000000),1000000000))+ROW()/100000,"")</f>
        <v/>
      </c>
    </row>
    <row r="915">
      <c r="F915" s="11" t="n"/>
      <c r="P915" s="7">
        <f>IF($D915="","",O915*X915/100)</f>
        <v/>
      </c>
      <c r="Q915" s="7" t="n"/>
      <c r="W915" s="7" t="n"/>
      <c r="X915" s="7" t="n"/>
      <c r="AA915">
        <f>IF($D915="","",IF($AP915=1,0,IF($AO915=1,Settings!$C$6,Settings!$C$7))*100)</f>
        <v/>
      </c>
      <c r="AB915" s="7">
        <f>IF($D915="","",X915*AA915/100)</f>
        <v/>
      </c>
      <c r="AC915" s="7">
        <f>IF($D915="","",X915-AB915)</f>
        <v/>
      </c>
      <c r="AD915" s="7">
        <f>IF($D915="","",AC915-P915)</f>
        <v/>
      </c>
      <c r="AH915" s="7" t="n"/>
      <c r="AK915" s="11" t="n"/>
      <c r="AM915">
        <f>IF($D915="","",IF(COUNTIF($D$2:$D915,$D915)=1,1,0))</f>
        <v/>
      </c>
      <c r="AN915">
        <f>IF($AM915=1,SUMPRODUCT(--($AQ$2:$AQ$1001&lt;$AQ915))+1,"")</f>
        <v/>
      </c>
      <c r="AO915">
        <f>IF($D915="","",IF(OR($T915=TRUE(),$T915="TRUE"),1,0))</f>
        <v/>
      </c>
      <c r="AP915">
        <f>IF($D915="","",IF($Z915="Yes",1,0))</f>
        <v/>
      </c>
      <c r="AQ915">
        <f>IF($AM915=1,IFERROR(IF(VALUE($D915)&lt;100000000,VALUE($D915),1000000000),IFERROR(IF(VALUE(MID($D915,2,20))&lt;100000000,VALUE(MID($D915,2,20)),1000000000),1000000000))+ROW()/100000,"")</f>
        <v/>
      </c>
    </row>
    <row r="916">
      <c r="F916" s="11" t="n"/>
      <c r="P916" s="7">
        <f>IF($D916="","",O916*X916/100)</f>
        <v/>
      </c>
      <c r="Q916" s="7" t="n"/>
      <c r="W916" s="7" t="n"/>
      <c r="X916" s="7" t="n"/>
      <c r="AA916">
        <f>IF($D916="","",IF($AP916=1,0,IF($AO916=1,Settings!$C$6,Settings!$C$7))*100)</f>
        <v/>
      </c>
      <c r="AB916" s="7">
        <f>IF($D916="","",X916*AA916/100)</f>
        <v/>
      </c>
      <c r="AC916" s="7">
        <f>IF($D916="","",X916-AB916)</f>
        <v/>
      </c>
      <c r="AD916" s="7">
        <f>IF($D916="","",AC916-P916)</f>
        <v/>
      </c>
      <c r="AH916" s="7" t="n"/>
      <c r="AK916" s="11" t="n"/>
      <c r="AM916">
        <f>IF($D916="","",IF(COUNTIF($D$2:$D916,$D916)=1,1,0))</f>
        <v/>
      </c>
      <c r="AN916">
        <f>IF($AM916=1,SUMPRODUCT(--($AQ$2:$AQ$1001&lt;$AQ916))+1,"")</f>
        <v/>
      </c>
      <c r="AO916">
        <f>IF($D916="","",IF(OR($T916=TRUE(),$T916="TRUE"),1,0))</f>
        <v/>
      </c>
      <c r="AP916">
        <f>IF($D916="","",IF($Z916="Yes",1,0))</f>
        <v/>
      </c>
      <c r="AQ916">
        <f>IF($AM916=1,IFERROR(IF(VALUE($D916)&lt;100000000,VALUE($D916),1000000000),IFERROR(IF(VALUE(MID($D916,2,20))&lt;100000000,VALUE(MID($D916,2,20)),1000000000),1000000000))+ROW()/100000,"")</f>
        <v/>
      </c>
    </row>
    <row r="917">
      <c r="F917" s="11" t="n"/>
      <c r="P917" s="7">
        <f>IF($D917="","",O917*X917/100)</f>
        <v/>
      </c>
      <c r="Q917" s="7" t="n"/>
      <c r="W917" s="7" t="n"/>
      <c r="X917" s="7" t="n"/>
      <c r="AA917">
        <f>IF($D917="","",IF($AP917=1,0,IF($AO917=1,Settings!$C$6,Settings!$C$7))*100)</f>
        <v/>
      </c>
      <c r="AB917" s="7">
        <f>IF($D917="","",X917*AA917/100)</f>
        <v/>
      </c>
      <c r="AC917" s="7">
        <f>IF($D917="","",X917-AB917)</f>
        <v/>
      </c>
      <c r="AD917" s="7">
        <f>IF($D917="","",AC917-P917)</f>
        <v/>
      </c>
      <c r="AH917" s="7" t="n"/>
      <c r="AK917" s="11" t="n"/>
      <c r="AM917">
        <f>IF($D917="","",IF(COUNTIF($D$2:$D917,$D917)=1,1,0))</f>
        <v/>
      </c>
      <c r="AN917">
        <f>IF($AM917=1,SUMPRODUCT(--($AQ$2:$AQ$1001&lt;$AQ917))+1,"")</f>
        <v/>
      </c>
      <c r="AO917">
        <f>IF($D917="","",IF(OR($T917=TRUE(),$T917="TRUE"),1,0))</f>
        <v/>
      </c>
      <c r="AP917">
        <f>IF($D917="","",IF($Z917="Yes",1,0))</f>
        <v/>
      </c>
      <c r="AQ917">
        <f>IF($AM917=1,IFERROR(IF(VALUE($D917)&lt;100000000,VALUE($D917),1000000000),IFERROR(IF(VALUE(MID($D917,2,20))&lt;100000000,VALUE(MID($D917,2,20)),1000000000),1000000000))+ROW()/100000,"")</f>
        <v/>
      </c>
    </row>
    <row r="918">
      <c r="F918" s="11" t="n"/>
      <c r="P918" s="7">
        <f>IF($D918="","",O918*X918/100)</f>
        <v/>
      </c>
      <c r="Q918" s="7" t="n"/>
      <c r="W918" s="7" t="n"/>
      <c r="X918" s="7" t="n"/>
      <c r="AA918">
        <f>IF($D918="","",IF($AP918=1,0,IF($AO918=1,Settings!$C$6,Settings!$C$7))*100)</f>
        <v/>
      </c>
      <c r="AB918" s="7">
        <f>IF($D918="","",X918*AA918/100)</f>
        <v/>
      </c>
      <c r="AC918" s="7">
        <f>IF($D918="","",X918-AB918)</f>
        <v/>
      </c>
      <c r="AD918" s="7">
        <f>IF($D918="","",AC918-P918)</f>
        <v/>
      </c>
      <c r="AH918" s="7" t="n"/>
      <c r="AK918" s="11" t="n"/>
      <c r="AM918">
        <f>IF($D918="","",IF(COUNTIF($D$2:$D918,$D918)=1,1,0))</f>
        <v/>
      </c>
      <c r="AN918">
        <f>IF($AM918=1,SUMPRODUCT(--($AQ$2:$AQ$1001&lt;$AQ918))+1,"")</f>
        <v/>
      </c>
      <c r="AO918">
        <f>IF($D918="","",IF(OR($T918=TRUE(),$T918="TRUE"),1,0))</f>
        <v/>
      </c>
      <c r="AP918">
        <f>IF($D918="","",IF($Z918="Yes",1,0))</f>
        <v/>
      </c>
      <c r="AQ918">
        <f>IF($AM918=1,IFERROR(IF(VALUE($D918)&lt;100000000,VALUE($D918),1000000000),IFERROR(IF(VALUE(MID($D918,2,20))&lt;100000000,VALUE(MID($D918,2,20)),1000000000),1000000000))+ROW()/100000,"")</f>
        <v/>
      </c>
    </row>
    <row r="919">
      <c r="F919" s="11" t="n"/>
      <c r="P919" s="7">
        <f>IF($D919="","",O919*X919/100)</f>
        <v/>
      </c>
      <c r="Q919" s="7" t="n"/>
      <c r="W919" s="7" t="n"/>
      <c r="X919" s="7" t="n"/>
      <c r="AA919">
        <f>IF($D919="","",IF($AP919=1,0,IF($AO919=1,Settings!$C$6,Settings!$C$7))*100)</f>
        <v/>
      </c>
      <c r="AB919" s="7">
        <f>IF($D919="","",X919*AA919/100)</f>
        <v/>
      </c>
      <c r="AC919" s="7">
        <f>IF($D919="","",X919-AB919)</f>
        <v/>
      </c>
      <c r="AD919" s="7">
        <f>IF($D919="","",AC919-P919)</f>
        <v/>
      </c>
      <c r="AH919" s="7" t="n"/>
      <c r="AK919" s="11" t="n"/>
      <c r="AM919">
        <f>IF($D919="","",IF(COUNTIF($D$2:$D919,$D919)=1,1,0))</f>
        <v/>
      </c>
      <c r="AN919">
        <f>IF($AM919=1,SUMPRODUCT(--($AQ$2:$AQ$1001&lt;$AQ919))+1,"")</f>
        <v/>
      </c>
      <c r="AO919">
        <f>IF($D919="","",IF(OR($T919=TRUE(),$T919="TRUE"),1,0))</f>
        <v/>
      </c>
      <c r="AP919">
        <f>IF($D919="","",IF($Z919="Yes",1,0))</f>
        <v/>
      </c>
      <c r="AQ919">
        <f>IF($AM919=1,IFERROR(IF(VALUE($D919)&lt;100000000,VALUE($D919),1000000000),IFERROR(IF(VALUE(MID($D919,2,20))&lt;100000000,VALUE(MID($D919,2,20)),1000000000),1000000000))+ROW()/100000,"")</f>
        <v/>
      </c>
    </row>
    <row r="920">
      <c r="F920" s="11" t="n"/>
      <c r="P920" s="7">
        <f>IF($D920="","",O920*X920/100)</f>
        <v/>
      </c>
      <c r="Q920" s="7" t="n"/>
      <c r="W920" s="7" t="n"/>
      <c r="X920" s="7" t="n"/>
      <c r="AA920">
        <f>IF($D920="","",IF($AP920=1,0,IF($AO920=1,Settings!$C$6,Settings!$C$7))*100)</f>
        <v/>
      </c>
      <c r="AB920" s="7">
        <f>IF($D920="","",X920*AA920/100)</f>
        <v/>
      </c>
      <c r="AC920" s="7">
        <f>IF($D920="","",X920-AB920)</f>
        <v/>
      </c>
      <c r="AD920" s="7">
        <f>IF($D920="","",AC920-P920)</f>
        <v/>
      </c>
      <c r="AH920" s="7" t="n"/>
      <c r="AK920" s="11" t="n"/>
      <c r="AM920">
        <f>IF($D920="","",IF(COUNTIF($D$2:$D920,$D920)=1,1,0))</f>
        <v/>
      </c>
      <c r="AN920">
        <f>IF($AM920=1,SUMPRODUCT(--($AQ$2:$AQ$1001&lt;$AQ920))+1,"")</f>
        <v/>
      </c>
      <c r="AO920">
        <f>IF($D920="","",IF(OR($T920=TRUE(),$T920="TRUE"),1,0))</f>
        <v/>
      </c>
      <c r="AP920">
        <f>IF($D920="","",IF($Z920="Yes",1,0))</f>
        <v/>
      </c>
      <c r="AQ920">
        <f>IF($AM920=1,IFERROR(IF(VALUE($D920)&lt;100000000,VALUE($D920),1000000000),IFERROR(IF(VALUE(MID($D920,2,20))&lt;100000000,VALUE(MID($D920,2,20)),1000000000),1000000000))+ROW()/100000,"")</f>
        <v/>
      </c>
    </row>
    <row r="921">
      <c r="F921" s="11" t="n"/>
      <c r="P921" s="7">
        <f>IF($D921="","",O921*X921/100)</f>
        <v/>
      </c>
      <c r="Q921" s="7" t="n"/>
      <c r="W921" s="7" t="n"/>
      <c r="X921" s="7" t="n"/>
      <c r="AA921">
        <f>IF($D921="","",IF($AP921=1,0,IF($AO921=1,Settings!$C$6,Settings!$C$7))*100)</f>
        <v/>
      </c>
      <c r="AB921" s="7">
        <f>IF($D921="","",X921*AA921/100)</f>
        <v/>
      </c>
      <c r="AC921" s="7">
        <f>IF($D921="","",X921-AB921)</f>
        <v/>
      </c>
      <c r="AD921" s="7">
        <f>IF($D921="","",AC921-P921)</f>
        <v/>
      </c>
      <c r="AH921" s="7" t="n"/>
      <c r="AK921" s="11" t="n"/>
      <c r="AM921">
        <f>IF($D921="","",IF(COUNTIF($D$2:$D921,$D921)=1,1,0))</f>
        <v/>
      </c>
      <c r="AN921">
        <f>IF($AM921=1,SUMPRODUCT(--($AQ$2:$AQ$1001&lt;$AQ921))+1,"")</f>
        <v/>
      </c>
      <c r="AO921">
        <f>IF($D921="","",IF(OR($T921=TRUE(),$T921="TRUE"),1,0))</f>
        <v/>
      </c>
      <c r="AP921">
        <f>IF($D921="","",IF($Z921="Yes",1,0))</f>
        <v/>
      </c>
      <c r="AQ921">
        <f>IF($AM921=1,IFERROR(IF(VALUE($D921)&lt;100000000,VALUE($D921),1000000000),IFERROR(IF(VALUE(MID($D921,2,20))&lt;100000000,VALUE(MID($D921,2,20)),1000000000),1000000000))+ROW()/100000,"")</f>
        <v/>
      </c>
    </row>
    <row r="922">
      <c r="F922" s="11" t="n"/>
      <c r="P922" s="7">
        <f>IF($D922="","",O922*X922/100)</f>
        <v/>
      </c>
      <c r="Q922" s="7" t="n"/>
      <c r="W922" s="7" t="n"/>
      <c r="X922" s="7" t="n"/>
      <c r="AA922">
        <f>IF($D922="","",IF($AP922=1,0,IF($AO922=1,Settings!$C$6,Settings!$C$7))*100)</f>
        <v/>
      </c>
      <c r="AB922" s="7">
        <f>IF($D922="","",X922*AA922/100)</f>
        <v/>
      </c>
      <c r="AC922" s="7">
        <f>IF($D922="","",X922-AB922)</f>
        <v/>
      </c>
      <c r="AD922" s="7">
        <f>IF($D922="","",AC922-P922)</f>
        <v/>
      </c>
      <c r="AH922" s="7" t="n"/>
      <c r="AK922" s="11" t="n"/>
      <c r="AM922">
        <f>IF($D922="","",IF(COUNTIF($D$2:$D922,$D922)=1,1,0))</f>
        <v/>
      </c>
      <c r="AN922">
        <f>IF($AM922=1,SUMPRODUCT(--($AQ$2:$AQ$1001&lt;$AQ922))+1,"")</f>
        <v/>
      </c>
      <c r="AO922">
        <f>IF($D922="","",IF(OR($T922=TRUE(),$T922="TRUE"),1,0))</f>
        <v/>
      </c>
      <c r="AP922">
        <f>IF($D922="","",IF($Z922="Yes",1,0))</f>
        <v/>
      </c>
      <c r="AQ922">
        <f>IF($AM922=1,IFERROR(IF(VALUE($D922)&lt;100000000,VALUE($D922),1000000000),IFERROR(IF(VALUE(MID($D922,2,20))&lt;100000000,VALUE(MID($D922,2,20)),1000000000),1000000000))+ROW()/100000,"")</f>
        <v/>
      </c>
    </row>
    <row r="923">
      <c r="F923" s="11" t="n"/>
      <c r="P923" s="7">
        <f>IF($D923="","",O923*X923/100)</f>
        <v/>
      </c>
      <c r="Q923" s="7" t="n"/>
      <c r="W923" s="7" t="n"/>
      <c r="X923" s="7" t="n"/>
      <c r="AA923">
        <f>IF($D923="","",IF($AP923=1,0,IF($AO923=1,Settings!$C$6,Settings!$C$7))*100)</f>
        <v/>
      </c>
      <c r="AB923" s="7">
        <f>IF($D923="","",X923*AA923/100)</f>
        <v/>
      </c>
      <c r="AC923" s="7">
        <f>IF($D923="","",X923-AB923)</f>
        <v/>
      </c>
      <c r="AD923" s="7">
        <f>IF($D923="","",AC923-P923)</f>
        <v/>
      </c>
      <c r="AH923" s="7" t="n"/>
      <c r="AK923" s="11" t="n"/>
      <c r="AM923">
        <f>IF($D923="","",IF(COUNTIF($D$2:$D923,$D923)=1,1,0))</f>
        <v/>
      </c>
      <c r="AN923">
        <f>IF($AM923=1,SUMPRODUCT(--($AQ$2:$AQ$1001&lt;$AQ923))+1,"")</f>
        <v/>
      </c>
      <c r="AO923">
        <f>IF($D923="","",IF(OR($T923=TRUE(),$T923="TRUE"),1,0))</f>
        <v/>
      </c>
      <c r="AP923">
        <f>IF($D923="","",IF($Z923="Yes",1,0))</f>
        <v/>
      </c>
      <c r="AQ923">
        <f>IF($AM923=1,IFERROR(IF(VALUE($D923)&lt;100000000,VALUE($D923),1000000000),IFERROR(IF(VALUE(MID($D923,2,20))&lt;100000000,VALUE(MID($D923,2,20)),1000000000),1000000000))+ROW()/100000,"")</f>
        <v/>
      </c>
    </row>
    <row r="924">
      <c r="F924" s="11" t="n"/>
      <c r="P924" s="7">
        <f>IF($D924="","",O924*X924/100)</f>
        <v/>
      </c>
      <c r="Q924" s="7" t="n"/>
      <c r="W924" s="7" t="n"/>
      <c r="X924" s="7" t="n"/>
      <c r="AA924">
        <f>IF($D924="","",IF($AP924=1,0,IF($AO924=1,Settings!$C$6,Settings!$C$7))*100)</f>
        <v/>
      </c>
      <c r="AB924" s="7">
        <f>IF($D924="","",X924*AA924/100)</f>
        <v/>
      </c>
      <c r="AC924" s="7">
        <f>IF($D924="","",X924-AB924)</f>
        <v/>
      </c>
      <c r="AD924" s="7">
        <f>IF($D924="","",AC924-P924)</f>
        <v/>
      </c>
      <c r="AH924" s="7" t="n"/>
      <c r="AK924" s="11" t="n"/>
      <c r="AM924">
        <f>IF($D924="","",IF(COUNTIF($D$2:$D924,$D924)=1,1,0))</f>
        <v/>
      </c>
      <c r="AN924">
        <f>IF($AM924=1,SUMPRODUCT(--($AQ$2:$AQ$1001&lt;$AQ924))+1,"")</f>
        <v/>
      </c>
      <c r="AO924">
        <f>IF($D924="","",IF(OR($T924=TRUE(),$T924="TRUE"),1,0))</f>
        <v/>
      </c>
      <c r="AP924">
        <f>IF($D924="","",IF($Z924="Yes",1,0))</f>
        <v/>
      </c>
      <c r="AQ924">
        <f>IF($AM924=1,IFERROR(IF(VALUE($D924)&lt;100000000,VALUE($D924),1000000000),IFERROR(IF(VALUE(MID($D924,2,20))&lt;100000000,VALUE(MID($D924,2,20)),1000000000),1000000000))+ROW()/100000,"")</f>
        <v/>
      </c>
    </row>
    <row r="925">
      <c r="F925" s="11" t="n"/>
      <c r="P925" s="7">
        <f>IF($D925="","",O925*X925/100)</f>
        <v/>
      </c>
      <c r="Q925" s="7" t="n"/>
      <c r="W925" s="7" t="n"/>
      <c r="X925" s="7" t="n"/>
      <c r="AA925">
        <f>IF($D925="","",IF($AP925=1,0,IF($AO925=1,Settings!$C$6,Settings!$C$7))*100)</f>
        <v/>
      </c>
      <c r="AB925" s="7">
        <f>IF($D925="","",X925*AA925/100)</f>
        <v/>
      </c>
      <c r="AC925" s="7">
        <f>IF($D925="","",X925-AB925)</f>
        <v/>
      </c>
      <c r="AD925" s="7">
        <f>IF($D925="","",AC925-P925)</f>
        <v/>
      </c>
      <c r="AH925" s="7" t="n"/>
      <c r="AK925" s="11" t="n"/>
      <c r="AM925">
        <f>IF($D925="","",IF(COUNTIF($D$2:$D925,$D925)=1,1,0))</f>
        <v/>
      </c>
      <c r="AN925">
        <f>IF($AM925=1,SUMPRODUCT(--($AQ$2:$AQ$1001&lt;$AQ925))+1,"")</f>
        <v/>
      </c>
      <c r="AO925">
        <f>IF($D925="","",IF(OR($T925=TRUE(),$T925="TRUE"),1,0))</f>
        <v/>
      </c>
      <c r="AP925">
        <f>IF($D925="","",IF($Z925="Yes",1,0))</f>
        <v/>
      </c>
      <c r="AQ925">
        <f>IF($AM925=1,IFERROR(IF(VALUE($D925)&lt;100000000,VALUE($D925),1000000000),IFERROR(IF(VALUE(MID($D925,2,20))&lt;100000000,VALUE(MID($D925,2,20)),1000000000),1000000000))+ROW()/100000,"")</f>
        <v/>
      </c>
    </row>
    <row r="926">
      <c r="F926" s="11" t="n"/>
      <c r="P926" s="7">
        <f>IF($D926="","",O926*X926/100)</f>
        <v/>
      </c>
      <c r="Q926" s="7" t="n"/>
      <c r="W926" s="7" t="n"/>
      <c r="X926" s="7" t="n"/>
      <c r="AA926">
        <f>IF($D926="","",IF($AP926=1,0,IF($AO926=1,Settings!$C$6,Settings!$C$7))*100)</f>
        <v/>
      </c>
      <c r="AB926" s="7">
        <f>IF($D926="","",X926*AA926/100)</f>
        <v/>
      </c>
      <c r="AC926" s="7">
        <f>IF($D926="","",X926-AB926)</f>
        <v/>
      </c>
      <c r="AD926" s="7">
        <f>IF($D926="","",AC926-P926)</f>
        <v/>
      </c>
      <c r="AH926" s="7" t="n"/>
      <c r="AK926" s="11" t="n"/>
      <c r="AM926">
        <f>IF($D926="","",IF(COUNTIF($D$2:$D926,$D926)=1,1,0))</f>
        <v/>
      </c>
      <c r="AN926">
        <f>IF($AM926=1,SUMPRODUCT(--($AQ$2:$AQ$1001&lt;$AQ926))+1,"")</f>
        <v/>
      </c>
      <c r="AO926">
        <f>IF($D926="","",IF(OR($T926=TRUE(),$T926="TRUE"),1,0))</f>
        <v/>
      </c>
      <c r="AP926">
        <f>IF($D926="","",IF($Z926="Yes",1,0))</f>
        <v/>
      </c>
      <c r="AQ926">
        <f>IF($AM926=1,IFERROR(IF(VALUE($D926)&lt;100000000,VALUE($D926),1000000000),IFERROR(IF(VALUE(MID($D926,2,20))&lt;100000000,VALUE(MID($D926,2,20)),1000000000),1000000000))+ROW()/100000,"")</f>
        <v/>
      </c>
    </row>
    <row r="927">
      <c r="F927" s="11" t="n"/>
      <c r="P927" s="7">
        <f>IF($D927="","",O927*X927/100)</f>
        <v/>
      </c>
      <c r="Q927" s="7" t="n"/>
      <c r="W927" s="7" t="n"/>
      <c r="X927" s="7" t="n"/>
      <c r="AA927">
        <f>IF($D927="","",IF($AP927=1,0,IF($AO927=1,Settings!$C$6,Settings!$C$7))*100)</f>
        <v/>
      </c>
      <c r="AB927" s="7">
        <f>IF($D927="","",X927*AA927/100)</f>
        <v/>
      </c>
      <c r="AC927" s="7">
        <f>IF($D927="","",X927-AB927)</f>
        <v/>
      </c>
      <c r="AD927" s="7">
        <f>IF($D927="","",AC927-P927)</f>
        <v/>
      </c>
      <c r="AH927" s="7" t="n"/>
      <c r="AK927" s="11" t="n"/>
      <c r="AM927">
        <f>IF($D927="","",IF(COUNTIF($D$2:$D927,$D927)=1,1,0))</f>
        <v/>
      </c>
      <c r="AN927">
        <f>IF($AM927=1,SUMPRODUCT(--($AQ$2:$AQ$1001&lt;$AQ927))+1,"")</f>
        <v/>
      </c>
      <c r="AO927">
        <f>IF($D927="","",IF(OR($T927=TRUE(),$T927="TRUE"),1,0))</f>
        <v/>
      </c>
      <c r="AP927">
        <f>IF($D927="","",IF($Z927="Yes",1,0))</f>
        <v/>
      </c>
      <c r="AQ927">
        <f>IF($AM927=1,IFERROR(IF(VALUE($D927)&lt;100000000,VALUE($D927),1000000000),IFERROR(IF(VALUE(MID($D927,2,20))&lt;100000000,VALUE(MID($D927,2,20)),1000000000),1000000000))+ROW()/100000,"")</f>
        <v/>
      </c>
    </row>
    <row r="928">
      <c r="F928" s="11" t="n"/>
      <c r="P928" s="7">
        <f>IF($D928="","",O928*X928/100)</f>
        <v/>
      </c>
      <c r="Q928" s="7" t="n"/>
      <c r="W928" s="7" t="n"/>
      <c r="X928" s="7" t="n"/>
      <c r="AA928">
        <f>IF($D928="","",IF($AP928=1,0,IF($AO928=1,Settings!$C$6,Settings!$C$7))*100)</f>
        <v/>
      </c>
      <c r="AB928" s="7">
        <f>IF($D928="","",X928*AA928/100)</f>
        <v/>
      </c>
      <c r="AC928" s="7">
        <f>IF($D928="","",X928-AB928)</f>
        <v/>
      </c>
      <c r="AD928" s="7">
        <f>IF($D928="","",AC928-P928)</f>
        <v/>
      </c>
      <c r="AH928" s="7" t="n"/>
      <c r="AK928" s="11" t="n"/>
      <c r="AM928">
        <f>IF($D928="","",IF(COUNTIF($D$2:$D928,$D928)=1,1,0))</f>
        <v/>
      </c>
      <c r="AN928">
        <f>IF($AM928=1,SUMPRODUCT(--($AQ$2:$AQ$1001&lt;$AQ928))+1,"")</f>
        <v/>
      </c>
      <c r="AO928">
        <f>IF($D928="","",IF(OR($T928=TRUE(),$T928="TRUE"),1,0))</f>
        <v/>
      </c>
      <c r="AP928">
        <f>IF($D928="","",IF($Z928="Yes",1,0))</f>
        <v/>
      </c>
      <c r="AQ928">
        <f>IF($AM928=1,IFERROR(IF(VALUE($D928)&lt;100000000,VALUE($D928),1000000000),IFERROR(IF(VALUE(MID($D928,2,20))&lt;100000000,VALUE(MID($D928,2,20)),1000000000),1000000000))+ROW()/100000,"")</f>
        <v/>
      </c>
    </row>
    <row r="929">
      <c r="F929" s="11" t="n"/>
      <c r="P929" s="7">
        <f>IF($D929="","",O929*X929/100)</f>
        <v/>
      </c>
      <c r="Q929" s="7" t="n"/>
      <c r="W929" s="7" t="n"/>
      <c r="X929" s="7" t="n"/>
      <c r="AA929">
        <f>IF($D929="","",IF($AP929=1,0,IF($AO929=1,Settings!$C$6,Settings!$C$7))*100)</f>
        <v/>
      </c>
      <c r="AB929" s="7">
        <f>IF($D929="","",X929*AA929/100)</f>
        <v/>
      </c>
      <c r="AC929" s="7">
        <f>IF($D929="","",X929-AB929)</f>
        <v/>
      </c>
      <c r="AD929" s="7">
        <f>IF($D929="","",AC929-P929)</f>
        <v/>
      </c>
      <c r="AH929" s="7" t="n"/>
      <c r="AK929" s="11" t="n"/>
      <c r="AM929">
        <f>IF($D929="","",IF(COUNTIF($D$2:$D929,$D929)=1,1,0))</f>
        <v/>
      </c>
      <c r="AN929">
        <f>IF($AM929=1,SUMPRODUCT(--($AQ$2:$AQ$1001&lt;$AQ929))+1,"")</f>
        <v/>
      </c>
      <c r="AO929">
        <f>IF($D929="","",IF(OR($T929=TRUE(),$T929="TRUE"),1,0))</f>
        <v/>
      </c>
      <c r="AP929">
        <f>IF($D929="","",IF($Z929="Yes",1,0))</f>
        <v/>
      </c>
      <c r="AQ929">
        <f>IF($AM929=1,IFERROR(IF(VALUE($D929)&lt;100000000,VALUE($D929),1000000000),IFERROR(IF(VALUE(MID($D929,2,20))&lt;100000000,VALUE(MID($D929,2,20)),1000000000),1000000000))+ROW()/100000,"")</f>
        <v/>
      </c>
    </row>
    <row r="930">
      <c r="F930" s="11" t="n"/>
      <c r="P930" s="7">
        <f>IF($D930="","",O930*X930/100)</f>
        <v/>
      </c>
      <c r="Q930" s="7" t="n"/>
      <c r="W930" s="7" t="n"/>
      <c r="X930" s="7" t="n"/>
      <c r="AA930">
        <f>IF($D930="","",IF($AP930=1,0,IF($AO930=1,Settings!$C$6,Settings!$C$7))*100)</f>
        <v/>
      </c>
      <c r="AB930" s="7">
        <f>IF($D930="","",X930*AA930/100)</f>
        <v/>
      </c>
      <c r="AC930" s="7">
        <f>IF($D930="","",X930-AB930)</f>
        <v/>
      </c>
      <c r="AD930" s="7">
        <f>IF($D930="","",AC930-P930)</f>
        <v/>
      </c>
      <c r="AH930" s="7" t="n"/>
      <c r="AK930" s="11" t="n"/>
      <c r="AM930">
        <f>IF($D930="","",IF(COUNTIF($D$2:$D930,$D930)=1,1,0))</f>
        <v/>
      </c>
      <c r="AN930">
        <f>IF($AM930=1,SUMPRODUCT(--($AQ$2:$AQ$1001&lt;$AQ930))+1,"")</f>
        <v/>
      </c>
      <c r="AO930">
        <f>IF($D930="","",IF(OR($T930=TRUE(),$T930="TRUE"),1,0))</f>
        <v/>
      </c>
      <c r="AP930">
        <f>IF($D930="","",IF($Z930="Yes",1,0))</f>
        <v/>
      </c>
      <c r="AQ930">
        <f>IF($AM930=1,IFERROR(IF(VALUE($D930)&lt;100000000,VALUE($D930),1000000000),IFERROR(IF(VALUE(MID($D930,2,20))&lt;100000000,VALUE(MID($D930,2,20)),1000000000),1000000000))+ROW()/100000,"")</f>
        <v/>
      </c>
    </row>
    <row r="931">
      <c r="F931" s="11" t="n"/>
      <c r="P931" s="7">
        <f>IF($D931="","",O931*X931/100)</f>
        <v/>
      </c>
      <c r="Q931" s="7" t="n"/>
      <c r="W931" s="7" t="n"/>
      <c r="X931" s="7" t="n"/>
      <c r="AA931">
        <f>IF($D931="","",IF($AP931=1,0,IF($AO931=1,Settings!$C$6,Settings!$C$7))*100)</f>
        <v/>
      </c>
      <c r="AB931" s="7">
        <f>IF($D931="","",X931*AA931/100)</f>
        <v/>
      </c>
      <c r="AC931" s="7">
        <f>IF($D931="","",X931-AB931)</f>
        <v/>
      </c>
      <c r="AD931" s="7">
        <f>IF($D931="","",AC931-P931)</f>
        <v/>
      </c>
      <c r="AH931" s="7" t="n"/>
      <c r="AK931" s="11" t="n"/>
      <c r="AM931">
        <f>IF($D931="","",IF(COUNTIF($D$2:$D931,$D931)=1,1,0))</f>
        <v/>
      </c>
      <c r="AN931">
        <f>IF($AM931=1,SUMPRODUCT(--($AQ$2:$AQ$1001&lt;$AQ931))+1,"")</f>
        <v/>
      </c>
      <c r="AO931">
        <f>IF($D931="","",IF(OR($T931=TRUE(),$T931="TRUE"),1,0))</f>
        <v/>
      </c>
      <c r="AP931">
        <f>IF($D931="","",IF($Z931="Yes",1,0))</f>
        <v/>
      </c>
      <c r="AQ931">
        <f>IF($AM931=1,IFERROR(IF(VALUE($D931)&lt;100000000,VALUE($D931),1000000000),IFERROR(IF(VALUE(MID($D931,2,20))&lt;100000000,VALUE(MID($D931,2,20)),1000000000),1000000000))+ROW()/100000,"")</f>
        <v/>
      </c>
    </row>
    <row r="932">
      <c r="F932" s="11" t="n"/>
      <c r="P932" s="7">
        <f>IF($D932="","",O932*X932/100)</f>
        <v/>
      </c>
      <c r="Q932" s="7" t="n"/>
      <c r="W932" s="7" t="n"/>
      <c r="X932" s="7" t="n"/>
      <c r="AA932">
        <f>IF($D932="","",IF($AP932=1,0,IF($AO932=1,Settings!$C$6,Settings!$C$7))*100)</f>
        <v/>
      </c>
      <c r="AB932" s="7">
        <f>IF($D932="","",X932*AA932/100)</f>
        <v/>
      </c>
      <c r="AC932" s="7">
        <f>IF($D932="","",X932-AB932)</f>
        <v/>
      </c>
      <c r="AD932" s="7">
        <f>IF($D932="","",AC932-P932)</f>
        <v/>
      </c>
      <c r="AH932" s="7" t="n"/>
      <c r="AK932" s="11" t="n"/>
      <c r="AM932">
        <f>IF($D932="","",IF(COUNTIF($D$2:$D932,$D932)=1,1,0))</f>
        <v/>
      </c>
      <c r="AN932">
        <f>IF($AM932=1,SUMPRODUCT(--($AQ$2:$AQ$1001&lt;$AQ932))+1,"")</f>
        <v/>
      </c>
      <c r="AO932">
        <f>IF($D932="","",IF(OR($T932=TRUE(),$T932="TRUE"),1,0))</f>
        <v/>
      </c>
      <c r="AP932">
        <f>IF($D932="","",IF($Z932="Yes",1,0))</f>
        <v/>
      </c>
      <c r="AQ932">
        <f>IF($AM932=1,IFERROR(IF(VALUE($D932)&lt;100000000,VALUE($D932),1000000000),IFERROR(IF(VALUE(MID($D932,2,20))&lt;100000000,VALUE(MID($D932,2,20)),1000000000),1000000000))+ROW()/100000,"")</f>
        <v/>
      </c>
    </row>
    <row r="933">
      <c r="F933" s="11" t="n"/>
      <c r="P933" s="7">
        <f>IF($D933="","",O933*X933/100)</f>
        <v/>
      </c>
      <c r="Q933" s="7" t="n"/>
      <c r="W933" s="7" t="n"/>
      <c r="X933" s="7" t="n"/>
      <c r="AA933">
        <f>IF($D933="","",IF($AP933=1,0,IF($AO933=1,Settings!$C$6,Settings!$C$7))*100)</f>
        <v/>
      </c>
      <c r="AB933" s="7">
        <f>IF($D933="","",X933*AA933/100)</f>
        <v/>
      </c>
      <c r="AC933" s="7">
        <f>IF($D933="","",X933-AB933)</f>
        <v/>
      </c>
      <c r="AD933" s="7">
        <f>IF($D933="","",AC933-P933)</f>
        <v/>
      </c>
      <c r="AH933" s="7" t="n"/>
      <c r="AK933" s="11" t="n"/>
      <c r="AM933">
        <f>IF($D933="","",IF(COUNTIF($D$2:$D933,$D933)=1,1,0))</f>
        <v/>
      </c>
      <c r="AN933">
        <f>IF($AM933=1,SUMPRODUCT(--($AQ$2:$AQ$1001&lt;$AQ933))+1,"")</f>
        <v/>
      </c>
      <c r="AO933">
        <f>IF($D933="","",IF(OR($T933=TRUE(),$T933="TRUE"),1,0))</f>
        <v/>
      </c>
      <c r="AP933">
        <f>IF($D933="","",IF($Z933="Yes",1,0))</f>
        <v/>
      </c>
      <c r="AQ933">
        <f>IF($AM933=1,IFERROR(IF(VALUE($D933)&lt;100000000,VALUE($D933),1000000000),IFERROR(IF(VALUE(MID($D933,2,20))&lt;100000000,VALUE(MID($D933,2,20)),1000000000),1000000000))+ROW()/100000,"")</f>
        <v/>
      </c>
    </row>
    <row r="934">
      <c r="F934" s="11" t="n"/>
      <c r="P934" s="7">
        <f>IF($D934="","",O934*X934/100)</f>
        <v/>
      </c>
      <c r="Q934" s="7" t="n"/>
      <c r="W934" s="7" t="n"/>
      <c r="X934" s="7" t="n"/>
      <c r="AA934">
        <f>IF($D934="","",IF($AP934=1,0,IF($AO934=1,Settings!$C$6,Settings!$C$7))*100)</f>
        <v/>
      </c>
      <c r="AB934" s="7">
        <f>IF($D934="","",X934*AA934/100)</f>
        <v/>
      </c>
      <c r="AC934" s="7">
        <f>IF($D934="","",X934-AB934)</f>
        <v/>
      </c>
      <c r="AD934" s="7">
        <f>IF($D934="","",AC934-P934)</f>
        <v/>
      </c>
      <c r="AH934" s="7" t="n"/>
      <c r="AK934" s="11" t="n"/>
      <c r="AM934">
        <f>IF($D934="","",IF(COUNTIF($D$2:$D934,$D934)=1,1,0))</f>
        <v/>
      </c>
      <c r="AN934">
        <f>IF($AM934=1,SUMPRODUCT(--($AQ$2:$AQ$1001&lt;$AQ934))+1,"")</f>
        <v/>
      </c>
      <c r="AO934">
        <f>IF($D934="","",IF(OR($T934=TRUE(),$T934="TRUE"),1,0))</f>
        <v/>
      </c>
      <c r="AP934">
        <f>IF($D934="","",IF($Z934="Yes",1,0))</f>
        <v/>
      </c>
      <c r="AQ934">
        <f>IF($AM934=1,IFERROR(IF(VALUE($D934)&lt;100000000,VALUE($D934),1000000000),IFERROR(IF(VALUE(MID($D934,2,20))&lt;100000000,VALUE(MID($D934,2,20)),1000000000),1000000000))+ROW()/100000,"")</f>
        <v/>
      </c>
    </row>
    <row r="935">
      <c r="F935" s="11" t="n"/>
      <c r="P935" s="7">
        <f>IF($D935="","",O935*X935/100)</f>
        <v/>
      </c>
      <c r="Q935" s="7" t="n"/>
      <c r="W935" s="7" t="n"/>
      <c r="X935" s="7" t="n"/>
      <c r="AA935">
        <f>IF($D935="","",IF($AP935=1,0,IF($AO935=1,Settings!$C$6,Settings!$C$7))*100)</f>
        <v/>
      </c>
      <c r="AB935" s="7">
        <f>IF($D935="","",X935*AA935/100)</f>
        <v/>
      </c>
      <c r="AC935" s="7">
        <f>IF($D935="","",X935-AB935)</f>
        <v/>
      </c>
      <c r="AD935" s="7">
        <f>IF($D935="","",AC935-P935)</f>
        <v/>
      </c>
      <c r="AH935" s="7" t="n"/>
      <c r="AK935" s="11" t="n"/>
      <c r="AM935">
        <f>IF($D935="","",IF(COUNTIF($D$2:$D935,$D935)=1,1,0))</f>
        <v/>
      </c>
      <c r="AN935">
        <f>IF($AM935=1,SUMPRODUCT(--($AQ$2:$AQ$1001&lt;$AQ935))+1,"")</f>
        <v/>
      </c>
      <c r="AO935">
        <f>IF($D935="","",IF(OR($T935=TRUE(),$T935="TRUE"),1,0))</f>
        <v/>
      </c>
      <c r="AP935">
        <f>IF($D935="","",IF($Z935="Yes",1,0))</f>
        <v/>
      </c>
      <c r="AQ935">
        <f>IF($AM935=1,IFERROR(IF(VALUE($D935)&lt;100000000,VALUE($D935),1000000000),IFERROR(IF(VALUE(MID($D935,2,20))&lt;100000000,VALUE(MID($D935,2,20)),1000000000),1000000000))+ROW()/100000,"")</f>
        <v/>
      </c>
    </row>
    <row r="936">
      <c r="F936" s="11" t="n"/>
      <c r="P936" s="7">
        <f>IF($D936="","",O936*X936/100)</f>
        <v/>
      </c>
      <c r="Q936" s="7" t="n"/>
      <c r="W936" s="7" t="n"/>
      <c r="X936" s="7" t="n"/>
      <c r="AA936">
        <f>IF($D936="","",IF($AP936=1,0,IF($AO936=1,Settings!$C$6,Settings!$C$7))*100)</f>
        <v/>
      </c>
      <c r="AB936" s="7">
        <f>IF($D936="","",X936*AA936/100)</f>
        <v/>
      </c>
      <c r="AC936" s="7">
        <f>IF($D936="","",X936-AB936)</f>
        <v/>
      </c>
      <c r="AD936" s="7">
        <f>IF($D936="","",AC936-P936)</f>
        <v/>
      </c>
      <c r="AH936" s="7" t="n"/>
      <c r="AK936" s="11" t="n"/>
      <c r="AM936">
        <f>IF($D936="","",IF(COUNTIF($D$2:$D936,$D936)=1,1,0))</f>
        <v/>
      </c>
      <c r="AN936">
        <f>IF($AM936=1,SUMPRODUCT(--($AQ$2:$AQ$1001&lt;$AQ936))+1,"")</f>
        <v/>
      </c>
      <c r="AO936">
        <f>IF($D936="","",IF(OR($T936=TRUE(),$T936="TRUE"),1,0))</f>
        <v/>
      </c>
      <c r="AP936">
        <f>IF($D936="","",IF($Z936="Yes",1,0))</f>
        <v/>
      </c>
      <c r="AQ936">
        <f>IF($AM936=1,IFERROR(IF(VALUE($D936)&lt;100000000,VALUE($D936),1000000000),IFERROR(IF(VALUE(MID($D936,2,20))&lt;100000000,VALUE(MID($D936,2,20)),1000000000),1000000000))+ROW()/100000,"")</f>
        <v/>
      </c>
    </row>
    <row r="937">
      <c r="F937" s="11" t="n"/>
      <c r="P937" s="7">
        <f>IF($D937="","",O937*X937/100)</f>
        <v/>
      </c>
      <c r="Q937" s="7" t="n"/>
      <c r="W937" s="7" t="n"/>
      <c r="X937" s="7" t="n"/>
      <c r="AA937">
        <f>IF($D937="","",IF($AP937=1,0,IF($AO937=1,Settings!$C$6,Settings!$C$7))*100)</f>
        <v/>
      </c>
      <c r="AB937" s="7">
        <f>IF($D937="","",X937*AA937/100)</f>
        <v/>
      </c>
      <c r="AC937" s="7">
        <f>IF($D937="","",X937-AB937)</f>
        <v/>
      </c>
      <c r="AD937" s="7">
        <f>IF($D937="","",AC937-P937)</f>
        <v/>
      </c>
      <c r="AH937" s="7" t="n"/>
      <c r="AK937" s="11" t="n"/>
      <c r="AM937">
        <f>IF($D937="","",IF(COUNTIF($D$2:$D937,$D937)=1,1,0))</f>
        <v/>
      </c>
      <c r="AN937">
        <f>IF($AM937=1,SUMPRODUCT(--($AQ$2:$AQ$1001&lt;$AQ937))+1,"")</f>
        <v/>
      </c>
      <c r="AO937">
        <f>IF($D937="","",IF(OR($T937=TRUE(),$T937="TRUE"),1,0))</f>
        <v/>
      </c>
      <c r="AP937">
        <f>IF($D937="","",IF($Z937="Yes",1,0))</f>
        <v/>
      </c>
      <c r="AQ937">
        <f>IF($AM937=1,IFERROR(IF(VALUE($D937)&lt;100000000,VALUE($D937),1000000000),IFERROR(IF(VALUE(MID($D937,2,20))&lt;100000000,VALUE(MID($D937,2,20)),1000000000),1000000000))+ROW()/100000,"")</f>
        <v/>
      </c>
    </row>
    <row r="938">
      <c r="F938" s="11" t="n"/>
      <c r="P938" s="7">
        <f>IF($D938="","",O938*X938/100)</f>
        <v/>
      </c>
      <c r="Q938" s="7" t="n"/>
      <c r="W938" s="7" t="n"/>
      <c r="X938" s="7" t="n"/>
      <c r="AA938">
        <f>IF($D938="","",IF($AP938=1,0,IF($AO938=1,Settings!$C$6,Settings!$C$7))*100)</f>
        <v/>
      </c>
      <c r="AB938" s="7">
        <f>IF($D938="","",X938*AA938/100)</f>
        <v/>
      </c>
      <c r="AC938" s="7">
        <f>IF($D938="","",X938-AB938)</f>
        <v/>
      </c>
      <c r="AD938" s="7">
        <f>IF($D938="","",AC938-P938)</f>
        <v/>
      </c>
      <c r="AH938" s="7" t="n"/>
      <c r="AK938" s="11" t="n"/>
      <c r="AM938">
        <f>IF($D938="","",IF(COUNTIF($D$2:$D938,$D938)=1,1,0))</f>
        <v/>
      </c>
      <c r="AN938">
        <f>IF($AM938=1,SUMPRODUCT(--($AQ$2:$AQ$1001&lt;$AQ938))+1,"")</f>
        <v/>
      </c>
      <c r="AO938">
        <f>IF($D938="","",IF(OR($T938=TRUE(),$T938="TRUE"),1,0))</f>
        <v/>
      </c>
      <c r="AP938">
        <f>IF($D938="","",IF($Z938="Yes",1,0))</f>
        <v/>
      </c>
      <c r="AQ938">
        <f>IF($AM938=1,IFERROR(IF(VALUE($D938)&lt;100000000,VALUE($D938),1000000000),IFERROR(IF(VALUE(MID($D938,2,20))&lt;100000000,VALUE(MID($D938,2,20)),1000000000),1000000000))+ROW()/100000,"")</f>
        <v/>
      </c>
    </row>
    <row r="939">
      <c r="F939" s="11" t="n"/>
      <c r="P939" s="7">
        <f>IF($D939="","",O939*X939/100)</f>
        <v/>
      </c>
      <c r="Q939" s="7" t="n"/>
      <c r="W939" s="7" t="n"/>
      <c r="X939" s="7" t="n"/>
      <c r="AA939">
        <f>IF($D939="","",IF($AP939=1,0,IF($AO939=1,Settings!$C$6,Settings!$C$7))*100)</f>
        <v/>
      </c>
      <c r="AB939" s="7">
        <f>IF($D939="","",X939*AA939/100)</f>
        <v/>
      </c>
      <c r="AC939" s="7">
        <f>IF($D939="","",X939-AB939)</f>
        <v/>
      </c>
      <c r="AD939" s="7">
        <f>IF($D939="","",AC939-P939)</f>
        <v/>
      </c>
      <c r="AH939" s="7" t="n"/>
      <c r="AK939" s="11" t="n"/>
      <c r="AM939">
        <f>IF($D939="","",IF(COUNTIF($D$2:$D939,$D939)=1,1,0))</f>
        <v/>
      </c>
      <c r="AN939">
        <f>IF($AM939=1,SUMPRODUCT(--($AQ$2:$AQ$1001&lt;$AQ939))+1,"")</f>
        <v/>
      </c>
      <c r="AO939">
        <f>IF($D939="","",IF(OR($T939=TRUE(),$T939="TRUE"),1,0))</f>
        <v/>
      </c>
      <c r="AP939">
        <f>IF($D939="","",IF($Z939="Yes",1,0))</f>
        <v/>
      </c>
      <c r="AQ939">
        <f>IF($AM939=1,IFERROR(IF(VALUE($D939)&lt;100000000,VALUE($D939),1000000000),IFERROR(IF(VALUE(MID($D939,2,20))&lt;100000000,VALUE(MID($D939,2,20)),1000000000),1000000000))+ROW()/100000,"")</f>
        <v/>
      </c>
    </row>
    <row r="940">
      <c r="F940" s="11" t="n"/>
      <c r="P940" s="7">
        <f>IF($D940="","",O940*X940/100)</f>
        <v/>
      </c>
      <c r="Q940" s="7" t="n"/>
      <c r="W940" s="7" t="n"/>
      <c r="X940" s="7" t="n"/>
      <c r="AA940">
        <f>IF($D940="","",IF($AP940=1,0,IF($AO940=1,Settings!$C$6,Settings!$C$7))*100)</f>
        <v/>
      </c>
      <c r="AB940" s="7">
        <f>IF($D940="","",X940*AA940/100)</f>
        <v/>
      </c>
      <c r="AC940" s="7">
        <f>IF($D940="","",X940-AB940)</f>
        <v/>
      </c>
      <c r="AD940" s="7">
        <f>IF($D940="","",AC940-P940)</f>
        <v/>
      </c>
      <c r="AH940" s="7" t="n"/>
      <c r="AK940" s="11" t="n"/>
      <c r="AM940">
        <f>IF($D940="","",IF(COUNTIF($D$2:$D940,$D940)=1,1,0))</f>
        <v/>
      </c>
      <c r="AN940">
        <f>IF($AM940=1,SUMPRODUCT(--($AQ$2:$AQ$1001&lt;$AQ940))+1,"")</f>
        <v/>
      </c>
      <c r="AO940">
        <f>IF($D940="","",IF(OR($T940=TRUE(),$T940="TRUE"),1,0))</f>
        <v/>
      </c>
      <c r="AP940">
        <f>IF($D940="","",IF($Z940="Yes",1,0))</f>
        <v/>
      </c>
      <c r="AQ940">
        <f>IF($AM940=1,IFERROR(IF(VALUE($D940)&lt;100000000,VALUE($D940),1000000000),IFERROR(IF(VALUE(MID($D940,2,20))&lt;100000000,VALUE(MID($D940,2,20)),1000000000),1000000000))+ROW()/100000,"")</f>
        <v/>
      </c>
    </row>
    <row r="941">
      <c r="F941" s="11" t="n"/>
      <c r="P941" s="7">
        <f>IF($D941="","",O941*X941/100)</f>
        <v/>
      </c>
      <c r="Q941" s="7" t="n"/>
      <c r="W941" s="7" t="n"/>
      <c r="X941" s="7" t="n"/>
      <c r="AA941">
        <f>IF($D941="","",IF($AP941=1,0,IF($AO941=1,Settings!$C$6,Settings!$C$7))*100)</f>
        <v/>
      </c>
      <c r="AB941" s="7">
        <f>IF($D941="","",X941*AA941/100)</f>
        <v/>
      </c>
      <c r="AC941" s="7">
        <f>IF($D941="","",X941-AB941)</f>
        <v/>
      </c>
      <c r="AD941" s="7">
        <f>IF($D941="","",AC941-P941)</f>
        <v/>
      </c>
      <c r="AH941" s="7" t="n"/>
      <c r="AK941" s="11" t="n"/>
      <c r="AM941">
        <f>IF($D941="","",IF(COUNTIF($D$2:$D941,$D941)=1,1,0))</f>
        <v/>
      </c>
      <c r="AN941">
        <f>IF($AM941=1,SUMPRODUCT(--($AQ$2:$AQ$1001&lt;$AQ941))+1,"")</f>
        <v/>
      </c>
      <c r="AO941">
        <f>IF($D941="","",IF(OR($T941=TRUE(),$T941="TRUE"),1,0))</f>
        <v/>
      </c>
      <c r="AP941">
        <f>IF($D941="","",IF($Z941="Yes",1,0))</f>
        <v/>
      </c>
      <c r="AQ941">
        <f>IF($AM941=1,IFERROR(IF(VALUE($D941)&lt;100000000,VALUE($D941),1000000000),IFERROR(IF(VALUE(MID($D941,2,20))&lt;100000000,VALUE(MID($D941,2,20)),1000000000),1000000000))+ROW()/100000,"")</f>
        <v/>
      </c>
    </row>
    <row r="942">
      <c r="F942" s="11" t="n"/>
      <c r="P942" s="7">
        <f>IF($D942="","",O942*X942/100)</f>
        <v/>
      </c>
      <c r="Q942" s="7" t="n"/>
      <c r="W942" s="7" t="n"/>
      <c r="X942" s="7" t="n"/>
      <c r="AA942">
        <f>IF($D942="","",IF($AP942=1,0,IF($AO942=1,Settings!$C$6,Settings!$C$7))*100)</f>
        <v/>
      </c>
      <c r="AB942" s="7">
        <f>IF($D942="","",X942*AA942/100)</f>
        <v/>
      </c>
      <c r="AC942" s="7">
        <f>IF($D942="","",X942-AB942)</f>
        <v/>
      </c>
      <c r="AD942" s="7">
        <f>IF($D942="","",AC942-P942)</f>
        <v/>
      </c>
      <c r="AH942" s="7" t="n"/>
      <c r="AK942" s="11" t="n"/>
      <c r="AM942">
        <f>IF($D942="","",IF(COUNTIF($D$2:$D942,$D942)=1,1,0))</f>
        <v/>
      </c>
      <c r="AN942">
        <f>IF($AM942=1,SUMPRODUCT(--($AQ$2:$AQ$1001&lt;$AQ942))+1,"")</f>
        <v/>
      </c>
      <c r="AO942">
        <f>IF($D942="","",IF(OR($T942=TRUE(),$T942="TRUE"),1,0))</f>
        <v/>
      </c>
      <c r="AP942">
        <f>IF($D942="","",IF($Z942="Yes",1,0))</f>
        <v/>
      </c>
      <c r="AQ942">
        <f>IF($AM942=1,IFERROR(IF(VALUE($D942)&lt;100000000,VALUE($D942),1000000000),IFERROR(IF(VALUE(MID($D942,2,20))&lt;100000000,VALUE(MID($D942,2,20)),1000000000),1000000000))+ROW()/100000,"")</f>
        <v/>
      </c>
    </row>
    <row r="943">
      <c r="F943" s="11" t="n"/>
      <c r="P943" s="7">
        <f>IF($D943="","",O943*X943/100)</f>
        <v/>
      </c>
      <c r="Q943" s="7" t="n"/>
      <c r="W943" s="7" t="n"/>
      <c r="X943" s="7" t="n"/>
      <c r="AA943">
        <f>IF($D943="","",IF($AP943=1,0,IF($AO943=1,Settings!$C$6,Settings!$C$7))*100)</f>
        <v/>
      </c>
      <c r="AB943" s="7">
        <f>IF($D943="","",X943*AA943/100)</f>
        <v/>
      </c>
      <c r="AC943" s="7">
        <f>IF($D943="","",X943-AB943)</f>
        <v/>
      </c>
      <c r="AD943" s="7">
        <f>IF($D943="","",AC943-P943)</f>
        <v/>
      </c>
      <c r="AH943" s="7" t="n"/>
      <c r="AK943" s="11" t="n"/>
      <c r="AM943">
        <f>IF($D943="","",IF(COUNTIF($D$2:$D943,$D943)=1,1,0))</f>
        <v/>
      </c>
      <c r="AN943">
        <f>IF($AM943=1,SUMPRODUCT(--($AQ$2:$AQ$1001&lt;$AQ943))+1,"")</f>
        <v/>
      </c>
      <c r="AO943">
        <f>IF($D943="","",IF(OR($T943=TRUE(),$T943="TRUE"),1,0))</f>
        <v/>
      </c>
      <c r="AP943">
        <f>IF($D943="","",IF($Z943="Yes",1,0))</f>
        <v/>
      </c>
      <c r="AQ943">
        <f>IF($AM943=1,IFERROR(IF(VALUE($D943)&lt;100000000,VALUE($D943),1000000000),IFERROR(IF(VALUE(MID($D943,2,20))&lt;100000000,VALUE(MID($D943,2,20)),1000000000),1000000000))+ROW()/100000,"")</f>
        <v/>
      </c>
    </row>
    <row r="944">
      <c r="F944" s="11" t="n"/>
      <c r="P944" s="7">
        <f>IF($D944="","",O944*X944/100)</f>
        <v/>
      </c>
      <c r="Q944" s="7" t="n"/>
      <c r="W944" s="7" t="n"/>
      <c r="X944" s="7" t="n"/>
      <c r="AA944">
        <f>IF($D944="","",IF($AP944=1,0,IF($AO944=1,Settings!$C$6,Settings!$C$7))*100)</f>
        <v/>
      </c>
      <c r="AB944" s="7">
        <f>IF($D944="","",X944*AA944/100)</f>
        <v/>
      </c>
      <c r="AC944" s="7">
        <f>IF($D944="","",X944-AB944)</f>
        <v/>
      </c>
      <c r="AD944" s="7">
        <f>IF($D944="","",AC944-P944)</f>
        <v/>
      </c>
      <c r="AH944" s="7" t="n"/>
      <c r="AK944" s="11" t="n"/>
      <c r="AM944">
        <f>IF($D944="","",IF(COUNTIF($D$2:$D944,$D944)=1,1,0))</f>
        <v/>
      </c>
      <c r="AN944">
        <f>IF($AM944=1,SUMPRODUCT(--($AQ$2:$AQ$1001&lt;$AQ944))+1,"")</f>
        <v/>
      </c>
      <c r="AO944">
        <f>IF($D944="","",IF(OR($T944=TRUE(),$T944="TRUE"),1,0))</f>
        <v/>
      </c>
      <c r="AP944">
        <f>IF($D944="","",IF($Z944="Yes",1,0))</f>
        <v/>
      </c>
      <c r="AQ944">
        <f>IF($AM944=1,IFERROR(IF(VALUE($D944)&lt;100000000,VALUE($D944),1000000000),IFERROR(IF(VALUE(MID($D944,2,20))&lt;100000000,VALUE(MID($D944,2,20)),1000000000),1000000000))+ROW()/100000,"")</f>
        <v/>
      </c>
    </row>
    <row r="945">
      <c r="F945" s="11" t="n"/>
      <c r="P945" s="7">
        <f>IF($D945="","",O945*X945/100)</f>
        <v/>
      </c>
      <c r="Q945" s="7" t="n"/>
      <c r="W945" s="7" t="n"/>
      <c r="X945" s="7" t="n"/>
      <c r="AA945">
        <f>IF($D945="","",IF($AP945=1,0,IF($AO945=1,Settings!$C$6,Settings!$C$7))*100)</f>
        <v/>
      </c>
      <c r="AB945" s="7">
        <f>IF($D945="","",X945*AA945/100)</f>
        <v/>
      </c>
      <c r="AC945" s="7">
        <f>IF($D945="","",X945-AB945)</f>
        <v/>
      </c>
      <c r="AD945" s="7">
        <f>IF($D945="","",AC945-P945)</f>
        <v/>
      </c>
      <c r="AH945" s="7" t="n"/>
      <c r="AK945" s="11" t="n"/>
      <c r="AM945">
        <f>IF($D945="","",IF(COUNTIF($D$2:$D945,$D945)=1,1,0))</f>
        <v/>
      </c>
      <c r="AN945">
        <f>IF($AM945=1,SUMPRODUCT(--($AQ$2:$AQ$1001&lt;$AQ945))+1,"")</f>
        <v/>
      </c>
      <c r="AO945">
        <f>IF($D945="","",IF(OR($T945=TRUE(),$T945="TRUE"),1,0))</f>
        <v/>
      </c>
      <c r="AP945">
        <f>IF($D945="","",IF($Z945="Yes",1,0))</f>
        <v/>
      </c>
      <c r="AQ945">
        <f>IF($AM945=1,IFERROR(IF(VALUE($D945)&lt;100000000,VALUE($D945),1000000000),IFERROR(IF(VALUE(MID($D945,2,20))&lt;100000000,VALUE(MID($D945,2,20)),1000000000),1000000000))+ROW()/100000,"")</f>
        <v/>
      </c>
    </row>
    <row r="946">
      <c r="F946" s="11" t="n"/>
      <c r="P946" s="7">
        <f>IF($D946="","",O946*X946/100)</f>
        <v/>
      </c>
      <c r="Q946" s="7" t="n"/>
      <c r="W946" s="7" t="n"/>
      <c r="X946" s="7" t="n"/>
      <c r="AA946">
        <f>IF($D946="","",IF($AP946=1,0,IF($AO946=1,Settings!$C$6,Settings!$C$7))*100)</f>
        <v/>
      </c>
      <c r="AB946" s="7">
        <f>IF($D946="","",X946*AA946/100)</f>
        <v/>
      </c>
      <c r="AC946" s="7">
        <f>IF($D946="","",X946-AB946)</f>
        <v/>
      </c>
      <c r="AD946" s="7">
        <f>IF($D946="","",AC946-P946)</f>
        <v/>
      </c>
      <c r="AH946" s="7" t="n"/>
      <c r="AK946" s="11" t="n"/>
      <c r="AM946">
        <f>IF($D946="","",IF(COUNTIF($D$2:$D946,$D946)=1,1,0))</f>
        <v/>
      </c>
      <c r="AN946">
        <f>IF($AM946=1,SUMPRODUCT(--($AQ$2:$AQ$1001&lt;$AQ946))+1,"")</f>
        <v/>
      </c>
      <c r="AO946">
        <f>IF($D946="","",IF(OR($T946=TRUE(),$T946="TRUE"),1,0))</f>
        <v/>
      </c>
      <c r="AP946">
        <f>IF($D946="","",IF($Z946="Yes",1,0))</f>
        <v/>
      </c>
      <c r="AQ946">
        <f>IF($AM946=1,IFERROR(IF(VALUE($D946)&lt;100000000,VALUE($D946),1000000000),IFERROR(IF(VALUE(MID($D946,2,20))&lt;100000000,VALUE(MID($D946,2,20)),1000000000),1000000000))+ROW()/100000,"")</f>
        <v/>
      </c>
    </row>
    <row r="947">
      <c r="F947" s="11" t="n"/>
      <c r="P947" s="7">
        <f>IF($D947="","",O947*X947/100)</f>
        <v/>
      </c>
      <c r="Q947" s="7" t="n"/>
      <c r="W947" s="7" t="n"/>
      <c r="X947" s="7" t="n"/>
      <c r="AA947">
        <f>IF($D947="","",IF($AP947=1,0,IF($AO947=1,Settings!$C$6,Settings!$C$7))*100)</f>
        <v/>
      </c>
      <c r="AB947" s="7">
        <f>IF($D947="","",X947*AA947/100)</f>
        <v/>
      </c>
      <c r="AC947" s="7">
        <f>IF($D947="","",X947-AB947)</f>
        <v/>
      </c>
      <c r="AD947" s="7">
        <f>IF($D947="","",AC947-P947)</f>
        <v/>
      </c>
      <c r="AH947" s="7" t="n"/>
      <c r="AK947" s="11" t="n"/>
      <c r="AM947">
        <f>IF($D947="","",IF(COUNTIF($D$2:$D947,$D947)=1,1,0))</f>
        <v/>
      </c>
      <c r="AN947">
        <f>IF($AM947=1,SUMPRODUCT(--($AQ$2:$AQ$1001&lt;$AQ947))+1,"")</f>
        <v/>
      </c>
      <c r="AO947">
        <f>IF($D947="","",IF(OR($T947=TRUE(),$T947="TRUE"),1,0))</f>
        <v/>
      </c>
      <c r="AP947">
        <f>IF($D947="","",IF($Z947="Yes",1,0))</f>
        <v/>
      </c>
      <c r="AQ947">
        <f>IF($AM947=1,IFERROR(IF(VALUE($D947)&lt;100000000,VALUE($D947),1000000000),IFERROR(IF(VALUE(MID($D947,2,20))&lt;100000000,VALUE(MID($D947,2,20)),1000000000),1000000000))+ROW()/100000,"")</f>
        <v/>
      </c>
    </row>
    <row r="948">
      <c r="F948" s="11" t="n"/>
      <c r="P948" s="7">
        <f>IF($D948="","",O948*X948/100)</f>
        <v/>
      </c>
      <c r="Q948" s="7" t="n"/>
      <c r="W948" s="7" t="n"/>
      <c r="X948" s="7" t="n"/>
      <c r="AA948">
        <f>IF($D948="","",IF($AP948=1,0,IF($AO948=1,Settings!$C$6,Settings!$C$7))*100)</f>
        <v/>
      </c>
      <c r="AB948" s="7">
        <f>IF($D948="","",X948*AA948/100)</f>
        <v/>
      </c>
      <c r="AC948" s="7">
        <f>IF($D948="","",X948-AB948)</f>
        <v/>
      </c>
      <c r="AD948" s="7">
        <f>IF($D948="","",AC948-P948)</f>
        <v/>
      </c>
      <c r="AH948" s="7" t="n"/>
      <c r="AK948" s="11" t="n"/>
      <c r="AM948">
        <f>IF($D948="","",IF(COUNTIF($D$2:$D948,$D948)=1,1,0))</f>
        <v/>
      </c>
      <c r="AN948">
        <f>IF($AM948=1,SUMPRODUCT(--($AQ$2:$AQ$1001&lt;$AQ948))+1,"")</f>
        <v/>
      </c>
      <c r="AO948">
        <f>IF($D948="","",IF(OR($T948=TRUE(),$T948="TRUE"),1,0))</f>
        <v/>
      </c>
      <c r="AP948">
        <f>IF($D948="","",IF($Z948="Yes",1,0))</f>
        <v/>
      </c>
      <c r="AQ948">
        <f>IF($AM948=1,IFERROR(IF(VALUE($D948)&lt;100000000,VALUE($D948),1000000000),IFERROR(IF(VALUE(MID($D948,2,20))&lt;100000000,VALUE(MID($D948,2,20)),1000000000),1000000000))+ROW()/100000,"")</f>
        <v/>
      </c>
    </row>
    <row r="949">
      <c r="F949" s="11" t="n"/>
      <c r="P949" s="7">
        <f>IF($D949="","",O949*X949/100)</f>
        <v/>
      </c>
      <c r="Q949" s="7" t="n"/>
      <c r="W949" s="7" t="n"/>
      <c r="X949" s="7" t="n"/>
      <c r="AA949">
        <f>IF($D949="","",IF($AP949=1,0,IF($AO949=1,Settings!$C$6,Settings!$C$7))*100)</f>
        <v/>
      </c>
      <c r="AB949" s="7">
        <f>IF($D949="","",X949*AA949/100)</f>
        <v/>
      </c>
      <c r="AC949" s="7">
        <f>IF($D949="","",X949-AB949)</f>
        <v/>
      </c>
      <c r="AD949" s="7">
        <f>IF($D949="","",AC949-P949)</f>
        <v/>
      </c>
      <c r="AH949" s="7" t="n"/>
      <c r="AK949" s="11" t="n"/>
      <c r="AM949">
        <f>IF($D949="","",IF(COUNTIF($D$2:$D949,$D949)=1,1,0))</f>
        <v/>
      </c>
      <c r="AN949">
        <f>IF($AM949=1,SUMPRODUCT(--($AQ$2:$AQ$1001&lt;$AQ949))+1,"")</f>
        <v/>
      </c>
      <c r="AO949">
        <f>IF($D949="","",IF(OR($T949=TRUE(),$T949="TRUE"),1,0))</f>
        <v/>
      </c>
      <c r="AP949">
        <f>IF($D949="","",IF($Z949="Yes",1,0))</f>
        <v/>
      </c>
      <c r="AQ949">
        <f>IF($AM949=1,IFERROR(IF(VALUE($D949)&lt;100000000,VALUE($D949),1000000000),IFERROR(IF(VALUE(MID($D949,2,20))&lt;100000000,VALUE(MID($D949,2,20)),1000000000),1000000000))+ROW()/100000,"")</f>
        <v/>
      </c>
    </row>
    <row r="950">
      <c r="F950" s="11" t="n"/>
      <c r="P950" s="7">
        <f>IF($D950="","",O950*X950/100)</f>
        <v/>
      </c>
      <c r="Q950" s="7" t="n"/>
      <c r="W950" s="7" t="n"/>
      <c r="X950" s="7" t="n"/>
      <c r="AA950">
        <f>IF($D950="","",IF($AP950=1,0,IF($AO950=1,Settings!$C$6,Settings!$C$7))*100)</f>
        <v/>
      </c>
      <c r="AB950" s="7">
        <f>IF($D950="","",X950*AA950/100)</f>
        <v/>
      </c>
      <c r="AC950" s="7">
        <f>IF($D950="","",X950-AB950)</f>
        <v/>
      </c>
      <c r="AD950" s="7">
        <f>IF($D950="","",AC950-P950)</f>
        <v/>
      </c>
      <c r="AH950" s="7" t="n"/>
      <c r="AK950" s="11" t="n"/>
      <c r="AM950">
        <f>IF($D950="","",IF(COUNTIF($D$2:$D950,$D950)=1,1,0))</f>
        <v/>
      </c>
      <c r="AN950">
        <f>IF($AM950=1,SUMPRODUCT(--($AQ$2:$AQ$1001&lt;$AQ950))+1,"")</f>
        <v/>
      </c>
      <c r="AO950">
        <f>IF($D950="","",IF(OR($T950=TRUE(),$T950="TRUE"),1,0))</f>
        <v/>
      </c>
      <c r="AP950">
        <f>IF($D950="","",IF($Z950="Yes",1,0))</f>
        <v/>
      </c>
      <c r="AQ950">
        <f>IF($AM950=1,IFERROR(IF(VALUE($D950)&lt;100000000,VALUE($D950),1000000000),IFERROR(IF(VALUE(MID($D950,2,20))&lt;100000000,VALUE(MID($D950,2,20)),1000000000),1000000000))+ROW()/100000,"")</f>
        <v/>
      </c>
    </row>
    <row r="951">
      <c r="F951" s="11" t="n"/>
      <c r="P951" s="7">
        <f>IF($D951="","",O951*X951/100)</f>
        <v/>
      </c>
      <c r="Q951" s="7" t="n"/>
      <c r="W951" s="7" t="n"/>
      <c r="X951" s="7" t="n"/>
      <c r="AA951">
        <f>IF($D951="","",IF($AP951=1,0,IF($AO951=1,Settings!$C$6,Settings!$C$7))*100)</f>
        <v/>
      </c>
      <c r="AB951" s="7">
        <f>IF($D951="","",X951*AA951/100)</f>
        <v/>
      </c>
      <c r="AC951" s="7">
        <f>IF($D951="","",X951-AB951)</f>
        <v/>
      </c>
      <c r="AD951" s="7">
        <f>IF($D951="","",AC951-P951)</f>
        <v/>
      </c>
      <c r="AH951" s="7" t="n"/>
      <c r="AK951" s="11" t="n"/>
      <c r="AM951">
        <f>IF($D951="","",IF(COUNTIF($D$2:$D951,$D951)=1,1,0))</f>
        <v/>
      </c>
      <c r="AN951">
        <f>IF($AM951=1,SUMPRODUCT(--($AQ$2:$AQ$1001&lt;$AQ951))+1,"")</f>
        <v/>
      </c>
      <c r="AO951">
        <f>IF($D951="","",IF(OR($T951=TRUE(),$T951="TRUE"),1,0))</f>
        <v/>
      </c>
      <c r="AP951">
        <f>IF($D951="","",IF($Z951="Yes",1,0))</f>
        <v/>
      </c>
      <c r="AQ951">
        <f>IF($AM951=1,IFERROR(IF(VALUE($D951)&lt;100000000,VALUE($D951),1000000000),IFERROR(IF(VALUE(MID($D951,2,20))&lt;100000000,VALUE(MID($D951,2,20)),1000000000),1000000000))+ROW()/100000,"")</f>
        <v/>
      </c>
    </row>
    <row r="952">
      <c r="F952" s="11" t="n"/>
      <c r="P952" s="7">
        <f>IF($D952="","",O952*X952/100)</f>
        <v/>
      </c>
      <c r="Q952" s="7" t="n"/>
      <c r="W952" s="7" t="n"/>
      <c r="X952" s="7" t="n"/>
      <c r="AA952">
        <f>IF($D952="","",IF($AP952=1,0,IF($AO952=1,Settings!$C$6,Settings!$C$7))*100)</f>
        <v/>
      </c>
      <c r="AB952" s="7">
        <f>IF($D952="","",X952*AA952/100)</f>
        <v/>
      </c>
      <c r="AC952" s="7">
        <f>IF($D952="","",X952-AB952)</f>
        <v/>
      </c>
      <c r="AD952" s="7">
        <f>IF($D952="","",AC952-P952)</f>
        <v/>
      </c>
      <c r="AH952" s="7" t="n"/>
      <c r="AK952" s="11" t="n"/>
      <c r="AM952">
        <f>IF($D952="","",IF(COUNTIF($D$2:$D952,$D952)=1,1,0))</f>
        <v/>
      </c>
      <c r="AN952">
        <f>IF($AM952=1,SUMPRODUCT(--($AQ$2:$AQ$1001&lt;$AQ952))+1,"")</f>
        <v/>
      </c>
      <c r="AO952">
        <f>IF($D952="","",IF(OR($T952=TRUE(),$T952="TRUE"),1,0))</f>
        <v/>
      </c>
      <c r="AP952">
        <f>IF($D952="","",IF($Z952="Yes",1,0))</f>
        <v/>
      </c>
      <c r="AQ952">
        <f>IF($AM952=1,IFERROR(IF(VALUE($D952)&lt;100000000,VALUE($D952),1000000000),IFERROR(IF(VALUE(MID($D952,2,20))&lt;100000000,VALUE(MID($D952,2,20)),1000000000),1000000000))+ROW()/100000,"")</f>
        <v/>
      </c>
    </row>
    <row r="953">
      <c r="F953" s="11" t="n"/>
      <c r="P953" s="7">
        <f>IF($D953="","",O953*X953/100)</f>
        <v/>
      </c>
      <c r="Q953" s="7" t="n"/>
      <c r="W953" s="7" t="n"/>
      <c r="X953" s="7" t="n"/>
      <c r="AA953">
        <f>IF($D953="","",IF($AP953=1,0,IF($AO953=1,Settings!$C$6,Settings!$C$7))*100)</f>
        <v/>
      </c>
      <c r="AB953" s="7">
        <f>IF($D953="","",X953*AA953/100)</f>
        <v/>
      </c>
      <c r="AC953" s="7">
        <f>IF($D953="","",X953-AB953)</f>
        <v/>
      </c>
      <c r="AD953" s="7">
        <f>IF($D953="","",AC953-P953)</f>
        <v/>
      </c>
      <c r="AH953" s="7" t="n"/>
      <c r="AK953" s="11" t="n"/>
      <c r="AM953">
        <f>IF($D953="","",IF(COUNTIF($D$2:$D953,$D953)=1,1,0))</f>
        <v/>
      </c>
      <c r="AN953">
        <f>IF($AM953=1,SUMPRODUCT(--($AQ$2:$AQ$1001&lt;$AQ953))+1,"")</f>
        <v/>
      </c>
      <c r="AO953">
        <f>IF($D953="","",IF(OR($T953=TRUE(),$T953="TRUE"),1,0))</f>
        <v/>
      </c>
      <c r="AP953">
        <f>IF($D953="","",IF($Z953="Yes",1,0))</f>
        <v/>
      </c>
      <c r="AQ953">
        <f>IF($AM953=1,IFERROR(IF(VALUE($D953)&lt;100000000,VALUE($D953),1000000000),IFERROR(IF(VALUE(MID($D953,2,20))&lt;100000000,VALUE(MID($D953,2,20)),1000000000),1000000000))+ROW()/100000,"")</f>
        <v/>
      </c>
    </row>
    <row r="954">
      <c r="F954" s="11" t="n"/>
      <c r="P954" s="7">
        <f>IF($D954="","",O954*X954/100)</f>
        <v/>
      </c>
      <c r="Q954" s="7" t="n"/>
      <c r="W954" s="7" t="n"/>
      <c r="X954" s="7" t="n"/>
      <c r="AA954">
        <f>IF($D954="","",IF($AP954=1,0,IF($AO954=1,Settings!$C$6,Settings!$C$7))*100)</f>
        <v/>
      </c>
      <c r="AB954" s="7">
        <f>IF($D954="","",X954*AA954/100)</f>
        <v/>
      </c>
      <c r="AC954" s="7">
        <f>IF($D954="","",X954-AB954)</f>
        <v/>
      </c>
      <c r="AD954" s="7">
        <f>IF($D954="","",AC954-P954)</f>
        <v/>
      </c>
      <c r="AH954" s="7" t="n"/>
      <c r="AK954" s="11" t="n"/>
      <c r="AM954">
        <f>IF($D954="","",IF(COUNTIF($D$2:$D954,$D954)=1,1,0))</f>
        <v/>
      </c>
      <c r="AN954">
        <f>IF($AM954=1,SUMPRODUCT(--($AQ$2:$AQ$1001&lt;$AQ954))+1,"")</f>
        <v/>
      </c>
      <c r="AO954">
        <f>IF($D954="","",IF(OR($T954=TRUE(),$T954="TRUE"),1,0))</f>
        <v/>
      </c>
      <c r="AP954">
        <f>IF($D954="","",IF($Z954="Yes",1,0))</f>
        <v/>
      </c>
      <c r="AQ954">
        <f>IF($AM954=1,IFERROR(IF(VALUE($D954)&lt;100000000,VALUE($D954),1000000000),IFERROR(IF(VALUE(MID($D954,2,20))&lt;100000000,VALUE(MID($D954,2,20)),1000000000),1000000000))+ROW()/100000,"")</f>
        <v/>
      </c>
    </row>
    <row r="955">
      <c r="F955" s="11" t="n"/>
      <c r="P955" s="7">
        <f>IF($D955="","",O955*X955/100)</f>
        <v/>
      </c>
      <c r="Q955" s="7" t="n"/>
      <c r="W955" s="7" t="n"/>
      <c r="X955" s="7" t="n"/>
      <c r="AA955">
        <f>IF($D955="","",IF($AP955=1,0,IF($AO955=1,Settings!$C$6,Settings!$C$7))*100)</f>
        <v/>
      </c>
      <c r="AB955" s="7">
        <f>IF($D955="","",X955*AA955/100)</f>
        <v/>
      </c>
      <c r="AC955" s="7">
        <f>IF($D955="","",X955-AB955)</f>
        <v/>
      </c>
      <c r="AD955" s="7">
        <f>IF($D955="","",AC955-P955)</f>
        <v/>
      </c>
      <c r="AH955" s="7" t="n"/>
      <c r="AK955" s="11" t="n"/>
      <c r="AM955">
        <f>IF($D955="","",IF(COUNTIF($D$2:$D955,$D955)=1,1,0))</f>
        <v/>
      </c>
      <c r="AN955">
        <f>IF($AM955=1,SUMPRODUCT(--($AQ$2:$AQ$1001&lt;$AQ955))+1,"")</f>
        <v/>
      </c>
      <c r="AO955">
        <f>IF($D955="","",IF(OR($T955=TRUE(),$T955="TRUE"),1,0))</f>
        <v/>
      </c>
      <c r="AP955">
        <f>IF($D955="","",IF($Z955="Yes",1,0))</f>
        <v/>
      </c>
      <c r="AQ955">
        <f>IF($AM955=1,IFERROR(IF(VALUE($D955)&lt;100000000,VALUE($D955),1000000000),IFERROR(IF(VALUE(MID($D955,2,20))&lt;100000000,VALUE(MID($D955,2,20)),1000000000),1000000000))+ROW()/100000,"")</f>
        <v/>
      </c>
    </row>
    <row r="956">
      <c r="F956" s="11" t="n"/>
      <c r="P956" s="7">
        <f>IF($D956="","",O956*X956/100)</f>
        <v/>
      </c>
      <c r="Q956" s="7" t="n"/>
      <c r="W956" s="7" t="n"/>
      <c r="X956" s="7" t="n"/>
      <c r="AA956">
        <f>IF($D956="","",IF($AP956=1,0,IF($AO956=1,Settings!$C$6,Settings!$C$7))*100)</f>
        <v/>
      </c>
      <c r="AB956" s="7">
        <f>IF($D956="","",X956*AA956/100)</f>
        <v/>
      </c>
      <c r="AC956" s="7">
        <f>IF($D956="","",X956-AB956)</f>
        <v/>
      </c>
      <c r="AD956" s="7">
        <f>IF($D956="","",AC956-P956)</f>
        <v/>
      </c>
      <c r="AH956" s="7" t="n"/>
      <c r="AK956" s="11" t="n"/>
      <c r="AM956">
        <f>IF($D956="","",IF(COUNTIF($D$2:$D956,$D956)=1,1,0))</f>
        <v/>
      </c>
      <c r="AN956">
        <f>IF($AM956=1,SUMPRODUCT(--($AQ$2:$AQ$1001&lt;$AQ956))+1,"")</f>
        <v/>
      </c>
      <c r="AO956">
        <f>IF($D956="","",IF(OR($T956=TRUE(),$T956="TRUE"),1,0))</f>
        <v/>
      </c>
      <c r="AP956">
        <f>IF($D956="","",IF($Z956="Yes",1,0))</f>
        <v/>
      </c>
      <c r="AQ956">
        <f>IF($AM956=1,IFERROR(IF(VALUE($D956)&lt;100000000,VALUE($D956),1000000000),IFERROR(IF(VALUE(MID($D956,2,20))&lt;100000000,VALUE(MID($D956,2,20)),1000000000),1000000000))+ROW()/100000,"")</f>
        <v/>
      </c>
    </row>
    <row r="957">
      <c r="F957" s="11" t="n"/>
      <c r="P957" s="7">
        <f>IF($D957="","",O957*X957/100)</f>
        <v/>
      </c>
      <c r="Q957" s="7" t="n"/>
      <c r="W957" s="7" t="n"/>
      <c r="X957" s="7" t="n"/>
      <c r="AA957">
        <f>IF($D957="","",IF($AP957=1,0,IF($AO957=1,Settings!$C$6,Settings!$C$7))*100)</f>
        <v/>
      </c>
      <c r="AB957" s="7">
        <f>IF($D957="","",X957*AA957/100)</f>
        <v/>
      </c>
      <c r="AC957" s="7">
        <f>IF($D957="","",X957-AB957)</f>
        <v/>
      </c>
      <c r="AD957" s="7">
        <f>IF($D957="","",AC957-P957)</f>
        <v/>
      </c>
      <c r="AH957" s="7" t="n"/>
      <c r="AK957" s="11" t="n"/>
      <c r="AM957">
        <f>IF($D957="","",IF(COUNTIF($D$2:$D957,$D957)=1,1,0))</f>
        <v/>
      </c>
      <c r="AN957">
        <f>IF($AM957=1,SUMPRODUCT(--($AQ$2:$AQ$1001&lt;$AQ957))+1,"")</f>
        <v/>
      </c>
      <c r="AO957">
        <f>IF($D957="","",IF(OR($T957=TRUE(),$T957="TRUE"),1,0))</f>
        <v/>
      </c>
      <c r="AP957">
        <f>IF($D957="","",IF($Z957="Yes",1,0))</f>
        <v/>
      </c>
      <c r="AQ957">
        <f>IF($AM957=1,IFERROR(IF(VALUE($D957)&lt;100000000,VALUE($D957),1000000000),IFERROR(IF(VALUE(MID($D957,2,20))&lt;100000000,VALUE(MID($D957,2,20)),1000000000),1000000000))+ROW()/100000,"")</f>
        <v/>
      </c>
    </row>
    <row r="958">
      <c r="F958" s="11" t="n"/>
      <c r="P958" s="7">
        <f>IF($D958="","",O958*X958/100)</f>
        <v/>
      </c>
      <c r="Q958" s="7" t="n"/>
      <c r="W958" s="7" t="n"/>
      <c r="X958" s="7" t="n"/>
      <c r="AA958">
        <f>IF($D958="","",IF($AP958=1,0,IF($AO958=1,Settings!$C$6,Settings!$C$7))*100)</f>
        <v/>
      </c>
      <c r="AB958" s="7">
        <f>IF($D958="","",X958*AA958/100)</f>
        <v/>
      </c>
      <c r="AC958" s="7">
        <f>IF($D958="","",X958-AB958)</f>
        <v/>
      </c>
      <c r="AD958" s="7">
        <f>IF($D958="","",AC958-P958)</f>
        <v/>
      </c>
      <c r="AH958" s="7" t="n"/>
      <c r="AK958" s="11" t="n"/>
      <c r="AM958">
        <f>IF($D958="","",IF(COUNTIF($D$2:$D958,$D958)=1,1,0))</f>
        <v/>
      </c>
      <c r="AN958">
        <f>IF($AM958=1,SUMPRODUCT(--($AQ$2:$AQ$1001&lt;$AQ958))+1,"")</f>
        <v/>
      </c>
      <c r="AO958">
        <f>IF($D958="","",IF(OR($T958=TRUE(),$T958="TRUE"),1,0))</f>
        <v/>
      </c>
      <c r="AP958">
        <f>IF($D958="","",IF($Z958="Yes",1,0))</f>
        <v/>
      </c>
      <c r="AQ958">
        <f>IF($AM958=1,IFERROR(IF(VALUE($D958)&lt;100000000,VALUE($D958),1000000000),IFERROR(IF(VALUE(MID($D958,2,20))&lt;100000000,VALUE(MID($D958,2,20)),1000000000),1000000000))+ROW()/100000,"")</f>
        <v/>
      </c>
    </row>
    <row r="959">
      <c r="F959" s="11" t="n"/>
      <c r="P959" s="7">
        <f>IF($D959="","",O959*X959/100)</f>
        <v/>
      </c>
      <c r="Q959" s="7" t="n"/>
      <c r="W959" s="7" t="n"/>
      <c r="X959" s="7" t="n"/>
      <c r="AA959">
        <f>IF($D959="","",IF($AP959=1,0,IF($AO959=1,Settings!$C$6,Settings!$C$7))*100)</f>
        <v/>
      </c>
      <c r="AB959" s="7">
        <f>IF($D959="","",X959*AA959/100)</f>
        <v/>
      </c>
      <c r="AC959" s="7">
        <f>IF($D959="","",X959-AB959)</f>
        <v/>
      </c>
      <c r="AD959" s="7">
        <f>IF($D959="","",AC959-P959)</f>
        <v/>
      </c>
      <c r="AH959" s="7" t="n"/>
      <c r="AK959" s="11" t="n"/>
      <c r="AM959">
        <f>IF($D959="","",IF(COUNTIF($D$2:$D959,$D959)=1,1,0))</f>
        <v/>
      </c>
      <c r="AN959">
        <f>IF($AM959=1,SUMPRODUCT(--($AQ$2:$AQ$1001&lt;$AQ959))+1,"")</f>
        <v/>
      </c>
      <c r="AO959">
        <f>IF($D959="","",IF(OR($T959=TRUE(),$T959="TRUE"),1,0))</f>
        <v/>
      </c>
      <c r="AP959">
        <f>IF($D959="","",IF($Z959="Yes",1,0))</f>
        <v/>
      </c>
      <c r="AQ959">
        <f>IF($AM959=1,IFERROR(IF(VALUE($D959)&lt;100000000,VALUE($D959),1000000000),IFERROR(IF(VALUE(MID($D959,2,20))&lt;100000000,VALUE(MID($D959,2,20)),1000000000),1000000000))+ROW()/100000,"")</f>
        <v/>
      </c>
    </row>
    <row r="960">
      <c r="F960" s="11" t="n"/>
      <c r="P960" s="7">
        <f>IF($D960="","",O960*X960/100)</f>
        <v/>
      </c>
      <c r="Q960" s="7" t="n"/>
      <c r="W960" s="7" t="n"/>
      <c r="X960" s="7" t="n"/>
      <c r="AA960">
        <f>IF($D960="","",IF($AP960=1,0,IF($AO960=1,Settings!$C$6,Settings!$C$7))*100)</f>
        <v/>
      </c>
      <c r="AB960" s="7">
        <f>IF($D960="","",X960*AA960/100)</f>
        <v/>
      </c>
      <c r="AC960" s="7">
        <f>IF($D960="","",X960-AB960)</f>
        <v/>
      </c>
      <c r="AD960" s="7">
        <f>IF($D960="","",AC960-P960)</f>
        <v/>
      </c>
      <c r="AH960" s="7" t="n"/>
      <c r="AK960" s="11" t="n"/>
      <c r="AM960">
        <f>IF($D960="","",IF(COUNTIF($D$2:$D960,$D960)=1,1,0))</f>
        <v/>
      </c>
      <c r="AN960">
        <f>IF($AM960=1,SUMPRODUCT(--($AQ$2:$AQ$1001&lt;$AQ960))+1,"")</f>
        <v/>
      </c>
      <c r="AO960">
        <f>IF($D960="","",IF(OR($T960=TRUE(),$T960="TRUE"),1,0))</f>
        <v/>
      </c>
      <c r="AP960">
        <f>IF($D960="","",IF($Z960="Yes",1,0))</f>
        <v/>
      </c>
      <c r="AQ960">
        <f>IF($AM960=1,IFERROR(IF(VALUE($D960)&lt;100000000,VALUE($D960),1000000000),IFERROR(IF(VALUE(MID($D960,2,20))&lt;100000000,VALUE(MID($D960,2,20)),1000000000),1000000000))+ROW()/100000,"")</f>
        <v/>
      </c>
    </row>
    <row r="961">
      <c r="F961" s="11" t="n"/>
      <c r="P961" s="7">
        <f>IF($D961="","",O961*X961/100)</f>
        <v/>
      </c>
      <c r="Q961" s="7" t="n"/>
      <c r="W961" s="7" t="n"/>
      <c r="X961" s="7" t="n"/>
      <c r="AA961">
        <f>IF($D961="","",IF($AP961=1,0,IF($AO961=1,Settings!$C$6,Settings!$C$7))*100)</f>
        <v/>
      </c>
      <c r="AB961" s="7">
        <f>IF($D961="","",X961*AA961/100)</f>
        <v/>
      </c>
      <c r="AC961" s="7">
        <f>IF($D961="","",X961-AB961)</f>
        <v/>
      </c>
      <c r="AD961" s="7">
        <f>IF($D961="","",AC961-P961)</f>
        <v/>
      </c>
      <c r="AH961" s="7" t="n"/>
      <c r="AK961" s="11" t="n"/>
      <c r="AM961">
        <f>IF($D961="","",IF(COUNTIF($D$2:$D961,$D961)=1,1,0))</f>
        <v/>
      </c>
      <c r="AN961">
        <f>IF($AM961=1,SUMPRODUCT(--($AQ$2:$AQ$1001&lt;$AQ961))+1,"")</f>
        <v/>
      </c>
      <c r="AO961">
        <f>IF($D961="","",IF(OR($T961=TRUE(),$T961="TRUE"),1,0))</f>
        <v/>
      </c>
      <c r="AP961">
        <f>IF($D961="","",IF($Z961="Yes",1,0))</f>
        <v/>
      </c>
      <c r="AQ961">
        <f>IF($AM961=1,IFERROR(IF(VALUE($D961)&lt;100000000,VALUE($D961),1000000000),IFERROR(IF(VALUE(MID($D961,2,20))&lt;100000000,VALUE(MID($D961,2,20)),1000000000),1000000000))+ROW()/100000,"")</f>
        <v/>
      </c>
    </row>
    <row r="962">
      <c r="F962" s="11" t="n"/>
      <c r="P962" s="7">
        <f>IF($D962="","",O962*X962/100)</f>
        <v/>
      </c>
      <c r="Q962" s="7" t="n"/>
      <c r="W962" s="7" t="n"/>
      <c r="X962" s="7" t="n"/>
      <c r="AA962">
        <f>IF($D962="","",IF($AP962=1,0,IF($AO962=1,Settings!$C$6,Settings!$C$7))*100)</f>
        <v/>
      </c>
      <c r="AB962" s="7">
        <f>IF($D962="","",X962*AA962/100)</f>
        <v/>
      </c>
      <c r="AC962" s="7">
        <f>IF($D962="","",X962-AB962)</f>
        <v/>
      </c>
      <c r="AD962" s="7">
        <f>IF($D962="","",AC962-P962)</f>
        <v/>
      </c>
      <c r="AH962" s="7" t="n"/>
      <c r="AK962" s="11" t="n"/>
      <c r="AM962">
        <f>IF($D962="","",IF(COUNTIF($D$2:$D962,$D962)=1,1,0))</f>
        <v/>
      </c>
      <c r="AN962">
        <f>IF($AM962=1,SUMPRODUCT(--($AQ$2:$AQ$1001&lt;$AQ962))+1,"")</f>
        <v/>
      </c>
      <c r="AO962">
        <f>IF($D962="","",IF(OR($T962=TRUE(),$T962="TRUE"),1,0))</f>
        <v/>
      </c>
      <c r="AP962">
        <f>IF($D962="","",IF($Z962="Yes",1,0))</f>
        <v/>
      </c>
      <c r="AQ962">
        <f>IF($AM962=1,IFERROR(IF(VALUE($D962)&lt;100000000,VALUE($D962),1000000000),IFERROR(IF(VALUE(MID($D962,2,20))&lt;100000000,VALUE(MID($D962,2,20)),1000000000),1000000000))+ROW()/100000,"")</f>
        <v/>
      </c>
    </row>
    <row r="963">
      <c r="F963" s="11" t="n"/>
      <c r="P963" s="7">
        <f>IF($D963="","",O963*X963/100)</f>
        <v/>
      </c>
      <c r="Q963" s="7" t="n"/>
      <c r="W963" s="7" t="n"/>
      <c r="X963" s="7" t="n"/>
      <c r="AA963">
        <f>IF($D963="","",IF($AP963=1,0,IF($AO963=1,Settings!$C$6,Settings!$C$7))*100)</f>
        <v/>
      </c>
      <c r="AB963" s="7">
        <f>IF($D963="","",X963*AA963/100)</f>
        <v/>
      </c>
      <c r="AC963" s="7">
        <f>IF($D963="","",X963-AB963)</f>
        <v/>
      </c>
      <c r="AD963" s="7">
        <f>IF($D963="","",AC963-P963)</f>
        <v/>
      </c>
      <c r="AH963" s="7" t="n"/>
      <c r="AK963" s="11" t="n"/>
      <c r="AM963">
        <f>IF($D963="","",IF(COUNTIF($D$2:$D963,$D963)=1,1,0))</f>
        <v/>
      </c>
      <c r="AN963">
        <f>IF($AM963=1,SUMPRODUCT(--($AQ$2:$AQ$1001&lt;$AQ963))+1,"")</f>
        <v/>
      </c>
      <c r="AO963">
        <f>IF($D963="","",IF(OR($T963=TRUE(),$T963="TRUE"),1,0))</f>
        <v/>
      </c>
      <c r="AP963">
        <f>IF($D963="","",IF($Z963="Yes",1,0))</f>
        <v/>
      </c>
      <c r="AQ963">
        <f>IF($AM963=1,IFERROR(IF(VALUE($D963)&lt;100000000,VALUE($D963),1000000000),IFERROR(IF(VALUE(MID($D963,2,20))&lt;100000000,VALUE(MID($D963,2,20)),1000000000),1000000000))+ROW()/100000,"")</f>
        <v/>
      </c>
    </row>
    <row r="964">
      <c r="F964" s="11" t="n"/>
      <c r="P964" s="7">
        <f>IF($D964="","",O964*X964/100)</f>
        <v/>
      </c>
      <c r="Q964" s="7" t="n"/>
      <c r="W964" s="7" t="n"/>
      <c r="X964" s="7" t="n"/>
      <c r="AA964">
        <f>IF($D964="","",IF($AP964=1,0,IF($AO964=1,Settings!$C$6,Settings!$C$7))*100)</f>
        <v/>
      </c>
      <c r="AB964" s="7">
        <f>IF($D964="","",X964*AA964/100)</f>
        <v/>
      </c>
      <c r="AC964" s="7">
        <f>IF($D964="","",X964-AB964)</f>
        <v/>
      </c>
      <c r="AD964" s="7">
        <f>IF($D964="","",AC964-P964)</f>
        <v/>
      </c>
      <c r="AH964" s="7" t="n"/>
      <c r="AK964" s="11" t="n"/>
      <c r="AM964">
        <f>IF($D964="","",IF(COUNTIF($D$2:$D964,$D964)=1,1,0))</f>
        <v/>
      </c>
      <c r="AN964">
        <f>IF($AM964=1,SUMPRODUCT(--($AQ$2:$AQ$1001&lt;$AQ964))+1,"")</f>
        <v/>
      </c>
      <c r="AO964">
        <f>IF($D964="","",IF(OR($T964=TRUE(),$T964="TRUE"),1,0))</f>
        <v/>
      </c>
      <c r="AP964">
        <f>IF($D964="","",IF($Z964="Yes",1,0))</f>
        <v/>
      </c>
      <c r="AQ964">
        <f>IF($AM964=1,IFERROR(IF(VALUE($D964)&lt;100000000,VALUE($D964),1000000000),IFERROR(IF(VALUE(MID($D964,2,20))&lt;100000000,VALUE(MID($D964,2,20)),1000000000),1000000000))+ROW()/100000,"")</f>
        <v/>
      </c>
    </row>
    <row r="965">
      <c r="F965" s="11" t="n"/>
      <c r="P965" s="7">
        <f>IF($D965="","",O965*X965/100)</f>
        <v/>
      </c>
      <c r="Q965" s="7" t="n"/>
      <c r="W965" s="7" t="n"/>
      <c r="X965" s="7" t="n"/>
      <c r="AA965">
        <f>IF($D965="","",IF($AP965=1,0,IF($AO965=1,Settings!$C$6,Settings!$C$7))*100)</f>
        <v/>
      </c>
      <c r="AB965" s="7">
        <f>IF($D965="","",X965*AA965/100)</f>
        <v/>
      </c>
      <c r="AC965" s="7">
        <f>IF($D965="","",X965-AB965)</f>
        <v/>
      </c>
      <c r="AD965" s="7">
        <f>IF($D965="","",AC965-P965)</f>
        <v/>
      </c>
      <c r="AH965" s="7" t="n"/>
      <c r="AK965" s="11" t="n"/>
      <c r="AM965">
        <f>IF($D965="","",IF(COUNTIF($D$2:$D965,$D965)=1,1,0))</f>
        <v/>
      </c>
      <c r="AN965">
        <f>IF($AM965=1,SUMPRODUCT(--($AQ$2:$AQ$1001&lt;$AQ965))+1,"")</f>
        <v/>
      </c>
      <c r="AO965">
        <f>IF($D965="","",IF(OR($T965=TRUE(),$T965="TRUE"),1,0))</f>
        <v/>
      </c>
      <c r="AP965">
        <f>IF($D965="","",IF($Z965="Yes",1,0))</f>
        <v/>
      </c>
      <c r="AQ965">
        <f>IF($AM965=1,IFERROR(IF(VALUE($D965)&lt;100000000,VALUE($D965),1000000000),IFERROR(IF(VALUE(MID($D965,2,20))&lt;100000000,VALUE(MID($D965,2,20)),1000000000),1000000000))+ROW()/100000,"")</f>
        <v/>
      </c>
    </row>
    <row r="966">
      <c r="F966" s="11" t="n"/>
      <c r="P966" s="7">
        <f>IF($D966="","",O966*X966/100)</f>
        <v/>
      </c>
      <c r="Q966" s="7" t="n"/>
      <c r="W966" s="7" t="n"/>
      <c r="X966" s="7" t="n"/>
      <c r="AA966">
        <f>IF($D966="","",IF($AP966=1,0,IF($AO966=1,Settings!$C$6,Settings!$C$7))*100)</f>
        <v/>
      </c>
      <c r="AB966" s="7">
        <f>IF($D966="","",X966*AA966/100)</f>
        <v/>
      </c>
      <c r="AC966" s="7">
        <f>IF($D966="","",X966-AB966)</f>
        <v/>
      </c>
      <c r="AD966" s="7">
        <f>IF($D966="","",AC966-P966)</f>
        <v/>
      </c>
      <c r="AH966" s="7" t="n"/>
      <c r="AK966" s="11" t="n"/>
      <c r="AM966">
        <f>IF($D966="","",IF(COUNTIF($D$2:$D966,$D966)=1,1,0))</f>
        <v/>
      </c>
      <c r="AN966">
        <f>IF($AM966=1,SUMPRODUCT(--($AQ$2:$AQ$1001&lt;$AQ966))+1,"")</f>
        <v/>
      </c>
      <c r="AO966">
        <f>IF($D966="","",IF(OR($T966=TRUE(),$T966="TRUE"),1,0))</f>
        <v/>
      </c>
      <c r="AP966">
        <f>IF($D966="","",IF($Z966="Yes",1,0))</f>
        <v/>
      </c>
      <c r="AQ966">
        <f>IF($AM966=1,IFERROR(IF(VALUE($D966)&lt;100000000,VALUE($D966),1000000000),IFERROR(IF(VALUE(MID($D966,2,20))&lt;100000000,VALUE(MID($D966,2,20)),1000000000),1000000000))+ROW()/100000,"")</f>
        <v/>
      </c>
    </row>
    <row r="967">
      <c r="F967" s="11" t="n"/>
      <c r="P967" s="7">
        <f>IF($D967="","",O967*X967/100)</f>
        <v/>
      </c>
      <c r="Q967" s="7" t="n"/>
      <c r="W967" s="7" t="n"/>
      <c r="X967" s="7" t="n"/>
      <c r="AA967">
        <f>IF($D967="","",IF($AP967=1,0,IF($AO967=1,Settings!$C$6,Settings!$C$7))*100)</f>
        <v/>
      </c>
      <c r="AB967" s="7">
        <f>IF($D967="","",X967*AA967/100)</f>
        <v/>
      </c>
      <c r="AC967" s="7">
        <f>IF($D967="","",X967-AB967)</f>
        <v/>
      </c>
      <c r="AD967" s="7">
        <f>IF($D967="","",AC967-P967)</f>
        <v/>
      </c>
      <c r="AH967" s="7" t="n"/>
      <c r="AK967" s="11" t="n"/>
      <c r="AM967">
        <f>IF($D967="","",IF(COUNTIF($D$2:$D967,$D967)=1,1,0))</f>
        <v/>
      </c>
      <c r="AN967">
        <f>IF($AM967=1,SUMPRODUCT(--($AQ$2:$AQ$1001&lt;$AQ967))+1,"")</f>
        <v/>
      </c>
      <c r="AO967">
        <f>IF($D967="","",IF(OR($T967=TRUE(),$T967="TRUE"),1,0))</f>
        <v/>
      </c>
      <c r="AP967">
        <f>IF($D967="","",IF($Z967="Yes",1,0))</f>
        <v/>
      </c>
      <c r="AQ967">
        <f>IF($AM967=1,IFERROR(IF(VALUE($D967)&lt;100000000,VALUE($D967),1000000000),IFERROR(IF(VALUE(MID($D967,2,20))&lt;100000000,VALUE(MID($D967,2,20)),1000000000),1000000000))+ROW()/100000,"")</f>
        <v/>
      </c>
    </row>
    <row r="968">
      <c r="F968" s="11" t="n"/>
      <c r="P968" s="7">
        <f>IF($D968="","",O968*X968/100)</f>
        <v/>
      </c>
      <c r="Q968" s="7" t="n"/>
      <c r="W968" s="7" t="n"/>
      <c r="X968" s="7" t="n"/>
      <c r="AA968">
        <f>IF($D968="","",IF($AP968=1,0,IF($AO968=1,Settings!$C$6,Settings!$C$7))*100)</f>
        <v/>
      </c>
      <c r="AB968" s="7">
        <f>IF($D968="","",X968*AA968/100)</f>
        <v/>
      </c>
      <c r="AC968" s="7">
        <f>IF($D968="","",X968-AB968)</f>
        <v/>
      </c>
      <c r="AD968" s="7">
        <f>IF($D968="","",AC968-P968)</f>
        <v/>
      </c>
      <c r="AH968" s="7" t="n"/>
      <c r="AK968" s="11" t="n"/>
      <c r="AM968">
        <f>IF($D968="","",IF(COUNTIF($D$2:$D968,$D968)=1,1,0))</f>
        <v/>
      </c>
      <c r="AN968">
        <f>IF($AM968=1,SUMPRODUCT(--($AQ$2:$AQ$1001&lt;$AQ968))+1,"")</f>
        <v/>
      </c>
      <c r="AO968">
        <f>IF($D968="","",IF(OR($T968=TRUE(),$T968="TRUE"),1,0))</f>
        <v/>
      </c>
      <c r="AP968">
        <f>IF($D968="","",IF($Z968="Yes",1,0))</f>
        <v/>
      </c>
      <c r="AQ968">
        <f>IF($AM968=1,IFERROR(IF(VALUE($D968)&lt;100000000,VALUE($D968),1000000000),IFERROR(IF(VALUE(MID($D968,2,20))&lt;100000000,VALUE(MID($D968,2,20)),1000000000),1000000000))+ROW()/100000,"")</f>
        <v/>
      </c>
    </row>
    <row r="969">
      <c r="F969" s="11" t="n"/>
      <c r="P969" s="7">
        <f>IF($D969="","",O969*X969/100)</f>
        <v/>
      </c>
      <c r="Q969" s="7" t="n"/>
      <c r="W969" s="7" t="n"/>
      <c r="X969" s="7" t="n"/>
      <c r="AA969">
        <f>IF($D969="","",IF($AP969=1,0,IF($AO969=1,Settings!$C$6,Settings!$C$7))*100)</f>
        <v/>
      </c>
      <c r="AB969" s="7">
        <f>IF($D969="","",X969*AA969/100)</f>
        <v/>
      </c>
      <c r="AC969" s="7">
        <f>IF($D969="","",X969-AB969)</f>
        <v/>
      </c>
      <c r="AD969" s="7">
        <f>IF($D969="","",AC969-P969)</f>
        <v/>
      </c>
      <c r="AH969" s="7" t="n"/>
      <c r="AK969" s="11" t="n"/>
      <c r="AM969">
        <f>IF($D969="","",IF(COUNTIF($D$2:$D969,$D969)=1,1,0))</f>
        <v/>
      </c>
      <c r="AN969">
        <f>IF($AM969=1,SUMPRODUCT(--($AQ$2:$AQ$1001&lt;$AQ969))+1,"")</f>
        <v/>
      </c>
      <c r="AO969">
        <f>IF($D969="","",IF(OR($T969=TRUE(),$T969="TRUE"),1,0))</f>
        <v/>
      </c>
      <c r="AP969">
        <f>IF($D969="","",IF($Z969="Yes",1,0))</f>
        <v/>
      </c>
      <c r="AQ969">
        <f>IF($AM969=1,IFERROR(IF(VALUE($D969)&lt;100000000,VALUE($D969),1000000000),IFERROR(IF(VALUE(MID($D969,2,20))&lt;100000000,VALUE(MID($D969,2,20)),1000000000),1000000000))+ROW()/100000,"")</f>
        <v/>
      </c>
    </row>
    <row r="970">
      <c r="F970" s="11" t="n"/>
      <c r="P970" s="7">
        <f>IF($D970="","",O970*X970/100)</f>
        <v/>
      </c>
      <c r="Q970" s="7" t="n"/>
      <c r="W970" s="7" t="n"/>
      <c r="X970" s="7" t="n"/>
      <c r="AA970">
        <f>IF($D970="","",IF($AP970=1,0,IF($AO970=1,Settings!$C$6,Settings!$C$7))*100)</f>
        <v/>
      </c>
      <c r="AB970" s="7">
        <f>IF($D970="","",X970*AA970/100)</f>
        <v/>
      </c>
      <c r="AC970" s="7">
        <f>IF($D970="","",X970-AB970)</f>
        <v/>
      </c>
      <c r="AD970" s="7">
        <f>IF($D970="","",AC970-P970)</f>
        <v/>
      </c>
      <c r="AH970" s="7" t="n"/>
      <c r="AK970" s="11" t="n"/>
      <c r="AM970">
        <f>IF($D970="","",IF(COUNTIF($D$2:$D970,$D970)=1,1,0))</f>
        <v/>
      </c>
      <c r="AN970">
        <f>IF($AM970=1,SUMPRODUCT(--($AQ$2:$AQ$1001&lt;$AQ970))+1,"")</f>
        <v/>
      </c>
      <c r="AO970">
        <f>IF($D970="","",IF(OR($T970=TRUE(),$T970="TRUE"),1,0))</f>
        <v/>
      </c>
      <c r="AP970">
        <f>IF($D970="","",IF($Z970="Yes",1,0))</f>
        <v/>
      </c>
      <c r="AQ970">
        <f>IF($AM970=1,IFERROR(IF(VALUE($D970)&lt;100000000,VALUE($D970),1000000000),IFERROR(IF(VALUE(MID($D970,2,20))&lt;100000000,VALUE(MID($D970,2,20)),1000000000),1000000000))+ROW()/100000,"")</f>
        <v/>
      </c>
    </row>
    <row r="971">
      <c r="F971" s="11" t="n"/>
      <c r="P971" s="7">
        <f>IF($D971="","",O971*X971/100)</f>
        <v/>
      </c>
      <c r="Q971" s="7" t="n"/>
      <c r="W971" s="7" t="n"/>
      <c r="X971" s="7" t="n"/>
      <c r="AA971">
        <f>IF($D971="","",IF($AP971=1,0,IF($AO971=1,Settings!$C$6,Settings!$C$7))*100)</f>
        <v/>
      </c>
      <c r="AB971" s="7">
        <f>IF($D971="","",X971*AA971/100)</f>
        <v/>
      </c>
      <c r="AC971" s="7">
        <f>IF($D971="","",X971-AB971)</f>
        <v/>
      </c>
      <c r="AD971" s="7">
        <f>IF($D971="","",AC971-P971)</f>
        <v/>
      </c>
      <c r="AH971" s="7" t="n"/>
      <c r="AK971" s="11" t="n"/>
      <c r="AM971">
        <f>IF($D971="","",IF(COUNTIF($D$2:$D971,$D971)=1,1,0))</f>
        <v/>
      </c>
      <c r="AN971">
        <f>IF($AM971=1,SUMPRODUCT(--($AQ$2:$AQ$1001&lt;$AQ971))+1,"")</f>
        <v/>
      </c>
      <c r="AO971">
        <f>IF($D971="","",IF(OR($T971=TRUE(),$T971="TRUE"),1,0))</f>
        <v/>
      </c>
      <c r="AP971">
        <f>IF($D971="","",IF($Z971="Yes",1,0))</f>
        <v/>
      </c>
      <c r="AQ971">
        <f>IF($AM971=1,IFERROR(IF(VALUE($D971)&lt;100000000,VALUE($D971),1000000000),IFERROR(IF(VALUE(MID($D971,2,20))&lt;100000000,VALUE(MID($D971,2,20)),1000000000),1000000000))+ROW()/100000,"")</f>
        <v/>
      </c>
    </row>
    <row r="972">
      <c r="F972" s="11" t="n"/>
      <c r="P972" s="7">
        <f>IF($D972="","",O972*X972/100)</f>
        <v/>
      </c>
      <c r="Q972" s="7" t="n"/>
      <c r="W972" s="7" t="n"/>
      <c r="X972" s="7" t="n"/>
      <c r="AA972">
        <f>IF($D972="","",IF($AP972=1,0,IF($AO972=1,Settings!$C$6,Settings!$C$7))*100)</f>
        <v/>
      </c>
      <c r="AB972" s="7">
        <f>IF($D972="","",X972*AA972/100)</f>
        <v/>
      </c>
      <c r="AC972" s="7">
        <f>IF($D972="","",X972-AB972)</f>
        <v/>
      </c>
      <c r="AD972" s="7">
        <f>IF($D972="","",AC972-P972)</f>
        <v/>
      </c>
      <c r="AH972" s="7" t="n"/>
      <c r="AK972" s="11" t="n"/>
      <c r="AM972">
        <f>IF($D972="","",IF(COUNTIF($D$2:$D972,$D972)=1,1,0))</f>
        <v/>
      </c>
      <c r="AN972">
        <f>IF($AM972=1,SUMPRODUCT(--($AQ$2:$AQ$1001&lt;$AQ972))+1,"")</f>
        <v/>
      </c>
      <c r="AO972">
        <f>IF($D972="","",IF(OR($T972=TRUE(),$T972="TRUE"),1,0))</f>
        <v/>
      </c>
      <c r="AP972">
        <f>IF($D972="","",IF($Z972="Yes",1,0))</f>
        <v/>
      </c>
      <c r="AQ972">
        <f>IF($AM972=1,IFERROR(IF(VALUE($D972)&lt;100000000,VALUE($D972),1000000000),IFERROR(IF(VALUE(MID($D972,2,20))&lt;100000000,VALUE(MID($D972,2,20)),1000000000),1000000000))+ROW()/100000,"")</f>
        <v/>
      </c>
    </row>
    <row r="973">
      <c r="F973" s="11" t="n"/>
      <c r="P973" s="7">
        <f>IF($D973="","",O973*X973/100)</f>
        <v/>
      </c>
      <c r="Q973" s="7" t="n"/>
      <c r="W973" s="7" t="n"/>
      <c r="X973" s="7" t="n"/>
      <c r="AA973">
        <f>IF($D973="","",IF($AP973=1,0,IF($AO973=1,Settings!$C$6,Settings!$C$7))*100)</f>
        <v/>
      </c>
      <c r="AB973" s="7">
        <f>IF($D973="","",X973*AA973/100)</f>
        <v/>
      </c>
      <c r="AC973" s="7">
        <f>IF($D973="","",X973-AB973)</f>
        <v/>
      </c>
      <c r="AD973" s="7">
        <f>IF($D973="","",AC973-P973)</f>
        <v/>
      </c>
      <c r="AH973" s="7" t="n"/>
      <c r="AK973" s="11" t="n"/>
      <c r="AM973">
        <f>IF($D973="","",IF(COUNTIF($D$2:$D973,$D973)=1,1,0))</f>
        <v/>
      </c>
      <c r="AN973">
        <f>IF($AM973=1,SUMPRODUCT(--($AQ$2:$AQ$1001&lt;$AQ973))+1,"")</f>
        <v/>
      </c>
      <c r="AO973">
        <f>IF($D973="","",IF(OR($T973=TRUE(),$T973="TRUE"),1,0))</f>
        <v/>
      </c>
      <c r="AP973">
        <f>IF($D973="","",IF($Z973="Yes",1,0))</f>
        <v/>
      </c>
      <c r="AQ973">
        <f>IF($AM973=1,IFERROR(IF(VALUE($D973)&lt;100000000,VALUE($D973),1000000000),IFERROR(IF(VALUE(MID($D973,2,20))&lt;100000000,VALUE(MID($D973,2,20)),1000000000),1000000000))+ROW()/100000,"")</f>
        <v/>
      </c>
    </row>
    <row r="974">
      <c r="F974" s="11" t="n"/>
      <c r="P974" s="7">
        <f>IF($D974="","",O974*X974/100)</f>
        <v/>
      </c>
      <c r="Q974" s="7" t="n"/>
      <c r="W974" s="7" t="n"/>
      <c r="X974" s="7" t="n"/>
      <c r="AA974">
        <f>IF($D974="","",IF($AP974=1,0,IF($AO974=1,Settings!$C$6,Settings!$C$7))*100)</f>
        <v/>
      </c>
      <c r="AB974" s="7">
        <f>IF($D974="","",X974*AA974/100)</f>
        <v/>
      </c>
      <c r="AC974" s="7">
        <f>IF($D974="","",X974-AB974)</f>
        <v/>
      </c>
      <c r="AD974" s="7">
        <f>IF($D974="","",AC974-P974)</f>
        <v/>
      </c>
      <c r="AH974" s="7" t="n"/>
      <c r="AK974" s="11" t="n"/>
      <c r="AM974">
        <f>IF($D974="","",IF(COUNTIF($D$2:$D974,$D974)=1,1,0))</f>
        <v/>
      </c>
      <c r="AN974">
        <f>IF($AM974=1,SUMPRODUCT(--($AQ$2:$AQ$1001&lt;$AQ974))+1,"")</f>
        <v/>
      </c>
      <c r="AO974">
        <f>IF($D974="","",IF(OR($T974=TRUE(),$T974="TRUE"),1,0))</f>
        <v/>
      </c>
      <c r="AP974">
        <f>IF($D974="","",IF($Z974="Yes",1,0))</f>
        <v/>
      </c>
      <c r="AQ974">
        <f>IF($AM974=1,IFERROR(IF(VALUE($D974)&lt;100000000,VALUE($D974),1000000000),IFERROR(IF(VALUE(MID($D974,2,20))&lt;100000000,VALUE(MID($D974,2,20)),1000000000),1000000000))+ROW()/100000,"")</f>
        <v/>
      </c>
    </row>
    <row r="975">
      <c r="F975" s="11" t="n"/>
      <c r="P975" s="7">
        <f>IF($D975="","",O975*X975/100)</f>
        <v/>
      </c>
      <c r="Q975" s="7" t="n"/>
      <c r="W975" s="7" t="n"/>
      <c r="X975" s="7" t="n"/>
      <c r="AA975">
        <f>IF($D975="","",IF($AP975=1,0,IF($AO975=1,Settings!$C$6,Settings!$C$7))*100)</f>
        <v/>
      </c>
      <c r="AB975" s="7">
        <f>IF($D975="","",X975*AA975/100)</f>
        <v/>
      </c>
      <c r="AC975" s="7">
        <f>IF($D975="","",X975-AB975)</f>
        <v/>
      </c>
      <c r="AD975" s="7">
        <f>IF($D975="","",AC975-P975)</f>
        <v/>
      </c>
      <c r="AH975" s="7" t="n"/>
      <c r="AK975" s="11" t="n"/>
      <c r="AM975">
        <f>IF($D975="","",IF(COUNTIF($D$2:$D975,$D975)=1,1,0))</f>
        <v/>
      </c>
      <c r="AN975">
        <f>IF($AM975=1,SUMPRODUCT(--($AQ$2:$AQ$1001&lt;$AQ975))+1,"")</f>
        <v/>
      </c>
      <c r="AO975">
        <f>IF($D975="","",IF(OR($T975=TRUE(),$T975="TRUE"),1,0))</f>
        <v/>
      </c>
      <c r="AP975">
        <f>IF($D975="","",IF($Z975="Yes",1,0))</f>
        <v/>
      </c>
      <c r="AQ975">
        <f>IF($AM975=1,IFERROR(IF(VALUE($D975)&lt;100000000,VALUE($D975),1000000000),IFERROR(IF(VALUE(MID($D975,2,20))&lt;100000000,VALUE(MID($D975,2,20)),1000000000),1000000000))+ROW()/100000,"")</f>
        <v/>
      </c>
    </row>
    <row r="976">
      <c r="F976" s="11" t="n"/>
      <c r="P976" s="7">
        <f>IF($D976="","",O976*X976/100)</f>
        <v/>
      </c>
      <c r="Q976" s="7" t="n"/>
      <c r="W976" s="7" t="n"/>
      <c r="X976" s="7" t="n"/>
      <c r="AA976">
        <f>IF($D976="","",IF($AP976=1,0,IF($AO976=1,Settings!$C$6,Settings!$C$7))*100)</f>
        <v/>
      </c>
      <c r="AB976" s="7">
        <f>IF($D976="","",X976*AA976/100)</f>
        <v/>
      </c>
      <c r="AC976" s="7">
        <f>IF($D976="","",X976-AB976)</f>
        <v/>
      </c>
      <c r="AD976" s="7">
        <f>IF($D976="","",AC976-P976)</f>
        <v/>
      </c>
      <c r="AH976" s="7" t="n"/>
      <c r="AK976" s="11" t="n"/>
      <c r="AM976">
        <f>IF($D976="","",IF(COUNTIF($D$2:$D976,$D976)=1,1,0))</f>
        <v/>
      </c>
      <c r="AN976">
        <f>IF($AM976=1,SUMPRODUCT(--($AQ$2:$AQ$1001&lt;$AQ976))+1,"")</f>
        <v/>
      </c>
      <c r="AO976">
        <f>IF($D976="","",IF(OR($T976=TRUE(),$T976="TRUE"),1,0))</f>
        <v/>
      </c>
      <c r="AP976">
        <f>IF($D976="","",IF($Z976="Yes",1,0))</f>
        <v/>
      </c>
      <c r="AQ976">
        <f>IF($AM976=1,IFERROR(IF(VALUE($D976)&lt;100000000,VALUE($D976),1000000000),IFERROR(IF(VALUE(MID($D976,2,20))&lt;100000000,VALUE(MID($D976,2,20)),1000000000),1000000000))+ROW()/100000,"")</f>
        <v/>
      </c>
    </row>
    <row r="977">
      <c r="F977" s="11" t="n"/>
      <c r="P977" s="7">
        <f>IF($D977="","",O977*X977/100)</f>
        <v/>
      </c>
      <c r="Q977" s="7" t="n"/>
      <c r="W977" s="7" t="n"/>
      <c r="X977" s="7" t="n"/>
      <c r="AA977">
        <f>IF($D977="","",IF($AP977=1,0,IF($AO977=1,Settings!$C$6,Settings!$C$7))*100)</f>
        <v/>
      </c>
      <c r="AB977" s="7">
        <f>IF($D977="","",X977*AA977/100)</f>
        <v/>
      </c>
      <c r="AC977" s="7">
        <f>IF($D977="","",X977-AB977)</f>
        <v/>
      </c>
      <c r="AD977" s="7">
        <f>IF($D977="","",AC977-P977)</f>
        <v/>
      </c>
      <c r="AH977" s="7" t="n"/>
      <c r="AK977" s="11" t="n"/>
      <c r="AM977">
        <f>IF($D977="","",IF(COUNTIF($D$2:$D977,$D977)=1,1,0))</f>
        <v/>
      </c>
      <c r="AN977">
        <f>IF($AM977=1,SUMPRODUCT(--($AQ$2:$AQ$1001&lt;$AQ977))+1,"")</f>
        <v/>
      </c>
      <c r="AO977">
        <f>IF($D977="","",IF(OR($T977=TRUE(),$T977="TRUE"),1,0))</f>
        <v/>
      </c>
      <c r="AP977">
        <f>IF($D977="","",IF($Z977="Yes",1,0))</f>
        <v/>
      </c>
      <c r="AQ977">
        <f>IF($AM977=1,IFERROR(IF(VALUE($D977)&lt;100000000,VALUE($D977),1000000000),IFERROR(IF(VALUE(MID($D977,2,20))&lt;100000000,VALUE(MID($D977,2,20)),1000000000),1000000000))+ROW()/100000,"")</f>
        <v/>
      </c>
    </row>
    <row r="978">
      <c r="F978" s="11" t="n"/>
      <c r="P978" s="7">
        <f>IF($D978="","",O978*X978/100)</f>
        <v/>
      </c>
      <c r="Q978" s="7" t="n"/>
      <c r="W978" s="7" t="n"/>
      <c r="X978" s="7" t="n"/>
      <c r="AA978">
        <f>IF($D978="","",IF($AP978=1,0,IF($AO978=1,Settings!$C$6,Settings!$C$7))*100)</f>
        <v/>
      </c>
      <c r="AB978" s="7">
        <f>IF($D978="","",X978*AA978/100)</f>
        <v/>
      </c>
      <c r="AC978" s="7">
        <f>IF($D978="","",X978-AB978)</f>
        <v/>
      </c>
      <c r="AD978" s="7">
        <f>IF($D978="","",AC978-P978)</f>
        <v/>
      </c>
      <c r="AH978" s="7" t="n"/>
      <c r="AK978" s="11" t="n"/>
      <c r="AM978">
        <f>IF($D978="","",IF(COUNTIF($D$2:$D978,$D978)=1,1,0))</f>
        <v/>
      </c>
      <c r="AN978">
        <f>IF($AM978=1,SUMPRODUCT(--($AQ$2:$AQ$1001&lt;$AQ978))+1,"")</f>
        <v/>
      </c>
      <c r="AO978">
        <f>IF($D978="","",IF(OR($T978=TRUE(),$T978="TRUE"),1,0))</f>
        <v/>
      </c>
      <c r="AP978">
        <f>IF($D978="","",IF($Z978="Yes",1,0))</f>
        <v/>
      </c>
      <c r="AQ978">
        <f>IF($AM978=1,IFERROR(IF(VALUE($D978)&lt;100000000,VALUE($D978),1000000000),IFERROR(IF(VALUE(MID($D978,2,20))&lt;100000000,VALUE(MID($D978,2,20)),1000000000),1000000000))+ROW()/100000,"")</f>
        <v/>
      </c>
    </row>
    <row r="979">
      <c r="F979" s="11" t="n"/>
      <c r="P979" s="7">
        <f>IF($D979="","",O979*X979/100)</f>
        <v/>
      </c>
      <c r="Q979" s="7" t="n"/>
      <c r="W979" s="7" t="n"/>
      <c r="X979" s="7" t="n"/>
      <c r="AA979">
        <f>IF($D979="","",IF($AP979=1,0,IF($AO979=1,Settings!$C$6,Settings!$C$7))*100)</f>
        <v/>
      </c>
      <c r="AB979" s="7">
        <f>IF($D979="","",X979*AA979/100)</f>
        <v/>
      </c>
      <c r="AC979" s="7">
        <f>IF($D979="","",X979-AB979)</f>
        <v/>
      </c>
      <c r="AD979" s="7">
        <f>IF($D979="","",AC979-P979)</f>
        <v/>
      </c>
      <c r="AH979" s="7" t="n"/>
      <c r="AK979" s="11" t="n"/>
      <c r="AM979">
        <f>IF($D979="","",IF(COUNTIF($D$2:$D979,$D979)=1,1,0))</f>
        <v/>
      </c>
      <c r="AN979">
        <f>IF($AM979=1,SUMPRODUCT(--($AQ$2:$AQ$1001&lt;$AQ979))+1,"")</f>
        <v/>
      </c>
      <c r="AO979">
        <f>IF($D979="","",IF(OR($T979=TRUE(),$T979="TRUE"),1,0))</f>
        <v/>
      </c>
      <c r="AP979">
        <f>IF($D979="","",IF($Z979="Yes",1,0))</f>
        <v/>
      </c>
      <c r="AQ979">
        <f>IF($AM979=1,IFERROR(IF(VALUE($D979)&lt;100000000,VALUE($D979),1000000000),IFERROR(IF(VALUE(MID($D979,2,20))&lt;100000000,VALUE(MID($D979,2,20)),1000000000),1000000000))+ROW()/100000,"")</f>
        <v/>
      </c>
    </row>
    <row r="980">
      <c r="F980" s="11" t="n"/>
      <c r="P980" s="7">
        <f>IF($D980="","",O980*X980/100)</f>
        <v/>
      </c>
      <c r="Q980" s="7" t="n"/>
      <c r="W980" s="7" t="n"/>
      <c r="X980" s="7" t="n"/>
      <c r="AA980">
        <f>IF($D980="","",IF($AP980=1,0,IF($AO980=1,Settings!$C$6,Settings!$C$7))*100)</f>
        <v/>
      </c>
      <c r="AB980" s="7">
        <f>IF($D980="","",X980*AA980/100)</f>
        <v/>
      </c>
      <c r="AC980" s="7">
        <f>IF($D980="","",X980-AB980)</f>
        <v/>
      </c>
      <c r="AD980" s="7">
        <f>IF($D980="","",AC980-P980)</f>
        <v/>
      </c>
      <c r="AH980" s="7" t="n"/>
      <c r="AK980" s="11" t="n"/>
      <c r="AM980">
        <f>IF($D980="","",IF(COUNTIF($D$2:$D980,$D980)=1,1,0))</f>
        <v/>
      </c>
      <c r="AN980">
        <f>IF($AM980=1,SUMPRODUCT(--($AQ$2:$AQ$1001&lt;$AQ980))+1,"")</f>
        <v/>
      </c>
      <c r="AO980">
        <f>IF($D980="","",IF(OR($T980=TRUE(),$T980="TRUE"),1,0))</f>
        <v/>
      </c>
      <c r="AP980">
        <f>IF($D980="","",IF($Z980="Yes",1,0))</f>
        <v/>
      </c>
      <c r="AQ980">
        <f>IF($AM980=1,IFERROR(IF(VALUE($D980)&lt;100000000,VALUE($D980),1000000000),IFERROR(IF(VALUE(MID($D980,2,20))&lt;100000000,VALUE(MID($D980,2,20)),1000000000),1000000000))+ROW()/100000,"")</f>
        <v/>
      </c>
    </row>
    <row r="981">
      <c r="F981" s="11" t="n"/>
      <c r="P981" s="7">
        <f>IF($D981="","",O981*X981/100)</f>
        <v/>
      </c>
      <c r="Q981" s="7" t="n"/>
      <c r="W981" s="7" t="n"/>
      <c r="X981" s="7" t="n"/>
      <c r="AA981">
        <f>IF($D981="","",IF($AP981=1,0,IF($AO981=1,Settings!$C$6,Settings!$C$7))*100)</f>
        <v/>
      </c>
      <c r="AB981" s="7">
        <f>IF($D981="","",X981*AA981/100)</f>
        <v/>
      </c>
      <c r="AC981" s="7">
        <f>IF($D981="","",X981-AB981)</f>
        <v/>
      </c>
      <c r="AD981" s="7">
        <f>IF($D981="","",AC981-P981)</f>
        <v/>
      </c>
      <c r="AH981" s="7" t="n"/>
      <c r="AK981" s="11" t="n"/>
      <c r="AM981">
        <f>IF($D981="","",IF(COUNTIF($D$2:$D981,$D981)=1,1,0))</f>
        <v/>
      </c>
      <c r="AN981">
        <f>IF($AM981=1,SUMPRODUCT(--($AQ$2:$AQ$1001&lt;$AQ981))+1,"")</f>
        <v/>
      </c>
      <c r="AO981">
        <f>IF($D981="","",IF(OR($T981=TRUE(),$T981="TRUE"),1,0))</f>
        <v/>
      </c>
      <c r="AP981">
        <f>IF($D981="","",IF($Z981="Yes",1,0))</f>
        <v/>
      </c>
      <c r="AQ981">
        <f>IF($AM981=1,IFERROR(IF(VALUE($D981)&lt;100000000,VALUE($D981),1000000000),IFERROR(IF(VALUE(MID($D981,2,20))&lt;100000000,VALUE(MID($D981,2,20)),1000000000),1000000000))+ROW()/100000,"")</f>
        <v/>
      </c>
    </row>
    <row r="982">
      <c r="F982" s="11" t="n"/>
      <c r="P982" s="7">
        <f>IF($D982="","",O982*X982/100)</f>
        <v/>
      </c>
      <c r="Q982" s="7" t="n"/>
      <c r="W982" s="7" t="n"/>
      <c r="X982" s="7" t="n"/>
      <c r="AA982">
        <f>IF($D982="","",IF($AP982=1,0,IF($AO982=1,Settings!$C$6,Settings!$C$7))*100)</f>
        <v/>
      </c>
      <c r="AB982" s="7">
        <f>IF($D982="","",X982*AA982/100)</f>
        <v/>
      </c>
      <c r="AC982" s="7">
        <f>IF($D982="","",X982-AB982)</f>
        <v/>
      </c>
      <c r="AD982" s="7">
        <f>IF($D982="","",AC982-P982)</f>
        <v/>
      </c>
      <c r="AH982" s="7" t="n"/>
      <c r="AK982" s="11" t="n"/>
      <c r="AM982">
        <f>IF($D982="","",IF(COUNTIF($D$2:$D982,$D982)=1,1,0))</f>
        <v/>
      </c>
      <c r="AN982">
        <f>IF($AM982=1,SUMPRODUCT(--($AQ$2:$AQ$1001&lt;$AQ982))+1,"")</f>
        <v/>
      </c>
      <c r="AO982">
        <f>IF($D982="","",IF(OR($T982=TRUE(),$T982="TRUE"),1,0))</f>
        <v/>
      </c>
      <c r="AP982">
        <f>IF($D982="","",IF($Z982="Yes",1,0))</f>
        <v/>
      </c>
      <c r="AQ982">
        <f>IF($AM982=1,IFERROR(IF(VALUE($D982)&lt;100000000,VALUE($D982),1000000000),IFERROR(IF(VALUE(MID($D982,2,20))&lt;100000000,VALUE(MID($D982,2,20)),1000000000),1000000000))+ROW()/100000,"")</f>
        <v/>
      </c>
    </row>
    <row r="983">
      <c r="F983" s="11" t="n"/>
      <c r="P983" s="7">
        <f>IF($D983="","",O983*X983/100)</f>
        <v/>
      </c>
      <c r="Q983" s="7" t="n"/>
      <c r="W983" s="7" t="n"/>
      <c r="X983" s="7" t="n"/>
      <c r="AA983">
        <f>IF($D983="","",IF($AP983=1,0,IF($AO983=1,Settings!$C$6,Settings!$C$7))*100)</f>
        <v/>
      </c>
      <c r="AB983" s="7">
        <f>IF($D983="","",X983*AA983/100)</f>
        <v/>
      </c>
      <c r="AC983" s="7">
        <f>IF($D983="","",X983-AB983)</f>
        <v/>
      </c>
      <c r="AD983" s="7">
        <f>IF($D983="","",AC983-P983)</f>
        <v/>
      </c>
      <c r="AH983" s="7" t="n"/>
      <c r="AK983" s="11" t="n"/>
      <c r="AM983">
        <f>IF($D983="","",IF(COUNTIF($D$2:$D983,$D983)=1,1,0))</f>
        <v/>
      </c>
      <c r="AN983">
        <f>IF($AM983=1,SUMPRODUCT(--($AQ$2:$AQ$1001&lt;$AQ983))+1,"")</f>
        <v/>
      </c>
      <c r="AO983">
        <f>IF($D983="","",IF(OR($T983=TRUE(),$T983="TRUE"),1,0))</f>
        <v/>
      </c>
      <c r="AP983">
        <f>IF($D983="","",IF($Z983="Yes",1,0))</f>
        <v/>
      </c>
      <c r="AQ983">
        <f>IF($AM983=1,IFERROR(IF(VALUE($D983)&lt;100000000,VALUE($D983),1000000000),IFERROR(IF(VALUE(MID($D983,2,20))&lt;100000000,VALUE(MID($D983,2,20)),1000000000),1000000000))+ROW()/100000,"")</f>
        <v/>
      </c>
    </row>
    <row r="984">
      <c r="F984" s="11" t="n"/>
      <c r="P984" s="7">
        <f>IF($D984="","",O984*X984/100)</f>
        <v/>
      </c>
      <c r="Q984" s="7" t="n"/>
      <c r="W984" s="7" t="n"/>
      <c r="X984" s="7" t="n"/>
      <c r="AA984">
        <f>IF($D984="","",IF($AP984=1,0,IF($AO984=1,Settings!$C$6,Settings!$C$7))*100)</f>
        <v/>
      </c>
      <c r="AB984" s="7">
        <f>IF($D984="","",X984*AA984/100)</f>
        <v/>
      </c>
      <c r="AC984" s="7">
        <f>IF($D984="","",X984-AB984)</f>
        <v/>
      </c>
      <c r="AD984" s="7">
        <f>IF($D984="","",AC984-P984)</f>
        <v/>
      </c>
      <c r="AH984" s="7" t="n"/>
      <c r="AK984" s="11" t="n"/>
      <c r="AM984">
        <f>IF($D984="","",IF(COUNTIF($D$2:$D984,$D984)=1,1,0))</f>
        <v/>
      </c>
      <c r="AN984">
        <f>IF($AM984=1,SUMPRODUCT(--($AQ$2:$AQ$1001&lt;$AQ984))+1,"")</f>
        <v/>
      </c>
      <c r="AO984">
        <f>IF($D984="","",IF(OR($T984=TRUE(),$T984="TRUE"),1,0))</f>
        <v/>
      </c>
      <c r="AP984">
        <f>IF($D984="","",IF($Z984="Yes",1,0))</f>
        <v/>
      </c>
      <c r="AQ984">
        <f>IF($AM984=1,IFERROR(IF(VALUE($D984)&lt;100000000,VALUE($D984),1000000000),IFERROR(IF(VALUE(MID($D984,2,20))&lt;100000000,VALUE(MID($D984,2,20)),1000000000),1000000000))+ROW()/100000,"")</f>
        <v/>
      </c>
    </row>
    <row r="985">
      <c r="F985" s="11" t="n"/>
      <c r="P985" s="7">
        <f>IF($D985="","",O985*X985/100)</f>
        <v/>
      </c>
      <c r="Q985" s="7" t="n"/>
      <c r="W985" s="7" t="n"/>
      <c r="X985" s="7" t="n"/>
      <c r="AA985">
        <f>IF($D985="","",IF($AP985=1,0,IF($AO985=1,Settings!$C$6,Settings!$C$7))*100)</f>
        <v/>
      </c>
      <c r="AB985" s="7">
        <f>IF($D985="","",X985*AA985/100)</f>
        <v/>
      </c>
      <c r="AC985" s="7">
        <f>IF($D985="","",X985-AB985)</f>
        <v/>
      </c>
      <c r="AD985" s="7">
        <f>IF($D985="","",AC985-P985)</f>
        <v/>
      </c>
      <c r="AH985" s="7" t="n"/>
      <c r="AK985" s="11" t="n"/>
      <c r="AM985">
        <f>IF($D985="","",IF(COUNTIF($D$2:$D985,$D985)=1,1,0))</f>
        <v/>
      </c>
      <c r="AN985">
        <f>IF($AM985=1,SUMPRODUCT(--($AQ$2:$AQ$1001&lt;$AQ985))+1,"")</f>
        <v/>
      </c>
      <c r="AO985">
        <f>IF($D985="","",IF(OR($T985=TRUE(),$T985="TRUE"),1,0))</f>
        <v/>
      </c>
      <c r="AP985">
        <f>IF($D985="","",IF($Z985="Yes",1,0))</f>
        <v/>
      </c>
      <c r="AQ985">
        <f>IF($AM985=1,IFERROR(IF(VALUE($D985)&lt;100000000,VALUE($D985),1000000000),IFERROR(IF(VALUE(MID($D985,2,20))&lt;100000000,VALUE(MID($D985,2,20)),1000000000),1000000000))+ROW()/100000,"")</f>
        <v/>
      </c>
    </row>
    <row r="986">
      <c r="F986" s="11" t="n"/>
      <c r="P986" s="7">
        <f>IF($D986="","",O986*X986/100)</f>
        <v/>
      </c>
      <c r="Q986" s="7" t="n"/>
      <c r="W986" s="7" t="n"/>
      <c r="X986" s="7" t="n"/>
      <c r="AA986">
        <f>IF($D986="","",IF($AP986=1,0,IF($AO986=1,Settings!$C$6,Settings!$C$7))*100)</f>
        <v/>
      </c>
      <c r="AB986" s="7">
        <f>IF($D986="","",X986*AA986/100)</f>
        <v/>
      </c>
      <c r="AC986" s="7">
        <f>IF($D986="","",X986-AB986)</f>
        <v/>
      </c>
      <c r="AD986" s="7">
        <f>IF($D986="","",AC986-P986)</f>
        <v/>
      </c>
      <c r="AH986" s="7" t="n"/>
      <c r="AK986" s="11" t="n"/>
      <c r="AM986">
        <f>IF($D986="","",IF(COUNTIF($D$2:$D986,$D986)=1,1,0))</f>
        <v/>
      </c>
      <c r="AN986">
        <f>IF($AM986=1,SUMPRODUCT(--($AQ$2:$AQ$1001&lt;$AQ986))+1,"")</f>
        <v/>
      </c>
      <c r="AO986">
        <f>IF($D986="","",IF(OR($T986=TRUE(),$T986="TRUE"),1,0))</f>
        <v/>
      </c>
      <c r="AP986">
        <f>IF($D986="","",IF($Z986="Yes",1,0))</f>
        <v/>
      </c>
      <c r="AQ986">
        <f>IF($AM986=1,IFERROR(IF(VALUE($D986)&lt;100000000,VALUE($D986),1000000000),IFERROR(IF(VALUE(MID($D986,2,20))&lt;100000000,VALUE(MID($D986,2,20)),1000000000),1000000000))+ROW()/100000,"")</f>
        <v/>
      </c>
    </row>
    <row r="987">
      <c r="F987" s="11" t="n"/>
      <c r="P987" s="7">
        <f>IF($D987="","",O987*X987/100)</f>
        <v/>
      </c>
      <c r="Q987" s="7" t="n"/>
      <c r="W987" s="7" t="n"/>
      <c r="X987" s="7" t="n"/>
      <c r="AA987">
        <f>IF($D987="","",IF($AP987=1,0,IF($AO987=1,Settings!$C$6,Settings!$C$7))*100)</f>
        <v/>
      </c>
      <c r="AB987" s="7">
        <f>IF($D987="","",X987*AA987/100)</f>
        <v/>
      </c>
      <c r="AC987" s="7">
        <f>IF($D987="","",X987-AB987)</f>
        <v/>
      </c>
      <c r="AD987" s="7">
        <f>IF($D987="","",AC987-P987)</f>
        <v/>
      </c>
      <c r="AH987" s="7" t="n"/>
      <c r="AK987" s="11" t="n"/>
      <c r="AM987">
        <f>IF($D987="","",IF(COUNTIF($D$2:$D987,$D987)=1,1,0))</f>
        <v/>
      </c>
      <c r="AN987">
        <f>IF($AM987=1,SUMPRODUCT(--($AQ$2:$AQ$1001&lt;$AQ987))+1,"")</f>
        <v/>
      </c>
      <c r="AO987">
        <f>IF($D987="","",IF(OR($T987=TRUE(),$T987="TRUE"),1,0))</f>
        <v/>
      </c>
      <c r="AP987">
        <f>IF($D987="","",IF($Z987="Yes",1,0))</f>
        <v/>
      </c>
      <c r="AQ987">
        <f>IF($AM987=1,IFERROR(IF(VALUE($D987)&lt;100000000,VALUE($D987),1000000000),IFERROR(IF(VALUE(MID($D987,2,20))&lt;100000000,VALUE(MID($D987,2,20)),1000000000),1000000000))+ROW()/100000,"")</f>
        <v/>
      </c>
    </row>
    <row r="988">
      <c r="F988" s="11" t="n"/>
      <c r="P988" s="7">
        <f>IF($D988="","",O988*X988/100)</f>
        <v/>
      </c>
      <c r="Q988" s="7" t="n"/>
      <c r="W988" s="7" t="n"/>
      <c r="X988" s="7" t="n"/>
      <c r="AA988">
        <f>IF($D988="","",IF($AP988=1,0,IF($AO988=1,Settings!$C$6,Settings!$C$7))*100)</f>
        <v/>
      </c>
      <c r="AB988" s="7">
        <f>IF($D988="","",X988*AA988/100)</f>
        <v/>
      </c>
      <c r="AC988" s="7">
        <f>IF($D988="","",X988-AB988)</f>
        <v/>
      </c>
      <c r="AD988" s="7">
        <f>IF($D988="","",AC988-P988)</f>
        <v/>
      </c>
      <c r="AH988" s="7" t="n"/>
      <c r="AK988" s="11" t="n"/>
      <c r="AM988">
        <f>IF($D988="","",IF(COUNTIF($D$2:$D988,$D988)=1,1,0))</f>
        <v/>
      </c>
      <c r="AN988">
        <f>IF($AM988=1,SUMPRODUCT(--($AQ$2:$AQ$1001&lt;$AQ988))+1,"")</f>
        <v/>
      </c>
      <c r="AO988">
        <f>IF($D988="","",IF(OR($T988=TRUE(),$T988="TRUE"),1,0))</f>
        <v/>
      </c>
      <c r="AP988">
        <f>IF($D988="","",IF($Z988="Yes",1,0))</f>
        <v/>
      </c>
      <c r="AQ988">
        <f>IF($AM988=1,IFERROR(IF(VALUE($D988)&lt;100000000,VALUE($D988),1000000000),IFERROR(IF(VALUE(MID($D988,2,20))&lt;100000000,VALUE(MID($D988,2,20)),1000000000),1000000000))+ROW()/100000,"")</f>
        <v/>
      </c>
    </row>
    <row r="989">
      <c r="F989" s="11" t="n"/>
      <c r="P989" s="7">
        <f>IF($D989="","",O989*X989/100)</f>
        <v/>
      </c>
      <c r="Q989" s="7" t="n"/>
      <c r="W989" s="7" t="n"/>
      <c r="X989" s="7" t="n"/>
      <c r="AA989">
        <f>IF($D989="","",IF($AP989=1,0,IF($AO989=1,Settings!$C$6,Settings!$C$7))*100)</f>
        <v/>
      </c>
      <c r="AB989" s="7">
        <f>IF($D989="","",X989*AA989/100)</f>
        <v/>
      </c>
      <c r="AC989" s="7">
        <f>IF($D989="","",X989-AB989)</f>
        <v/>
      </c>
      <c r="AD989" s="7">
        <f>IF($D989="","",AC989-P989)</f>
        <v/>
      </c>
      <c r="AH989" s="7" t="n"/>
      <c r="AK989" s="11" t="n"/>
      <c r="AM989">
        <f>IF($D989="","",IF(COUNTIF($D$2:$D989,$D989)=1,1,0))</f>
        <v/>
      </c>
      <c r="AN989">
        <f>IF($AM989=1,SUMPRODUCT(--($AQ$2:$AQ$1001&lt;$AQ989))+1,"")</f>
        <v/>
      </c>
      <c r="AO989">
        <f>IF($D989="","",IF(OR($T989=TRUE(),$T989="TRUE"),1,0))</f>
        <v/>
      </c>
      <c r="AP989">
        <f>IF($D989="","",IF($Z989="Yes",1,0))</f>
        <v/>
      </c>
      <c r="AQ989">
        <f>IF($AM989=1,IFERROR(IF(VALUE($D989)&lt;100000000,VALUE($D989),1000000000),IFERROR(IF(VALUE(MID($D989,2,20))&lt;100000000,VALUE(MID($D989,2,20)),1000000000),1000000000))+ROW()/100000,"")</f>
        <v/>
      </c>
    </row>
    <row r="990">
      <c r="F990" s="11" t="n"/>
      <c r="P990" s="7">
        <f>IF($D990="","",O990*X990/100)</f>
        <v/>
      </c>
      <c r="Q990" s="7" t="n"/>
      <c r="W990" s="7" t="n"/>
      <c r="X990" s="7" t="n"/>
      <c r="AA990">
        <f>IF($D990="","",IF($AP990=1,0,IF($AO990=1,Settings!$C$6,Settings!$C$7))*100)</f>
        <v/>
      </c>
      <c r="AB990" s="7">
        <f>IF($D990="","",X990*AA990/100)</f>
        <v/>
      </c>
      <c r="AC990" s="7">
        <f>IF($D990="","",X990-AB990)</f>
        <v/>
      </c>
      <c r="AD990" s="7">
        <f>IF($D990="","",AC990-P990)</f>
        <v/>
      </c>
      <c r="AH990" s="7" t="n"/>
      <c r="AK990" s="11" t="n"/>
      <c r="AM990">
        <f>IF($D990="","",IF(COUNTIF($D$2:$D990,$D990)=1,1,0))</f>
        <v/>
      </c>
      <c r="AN990">
        <f>IF($AM990=1,SUMPRODUCT(--($AQ$2:$AQ$1001&lt;$AQ990))+1,"")</f>
        <v/>
      </c>
      <c r="AO990">
        <f>IF($D990="","",IF(OR($T990=TRUE(),$T990="TRUE"),1,0))</f>
        <v/>
      </c>
      <c r="AP990">
        <f>IF($D990="","",IF($Z990="Yes",1,0))</f>
        <v/>
      </c>
      <c r="AQ990">
        <f>IF($AM990=1,IFERROR(IF(VALUE($D990)&lt;100000000,VALUE($D990),1000000000),IFERROR(IF(VALUE(MID($D990,2,20))&lt;100000000,VALUE(MID($D990,2,20)),1000000000),1000000000))+ROW()/100000,"")</f>
        <v/>
      </c>
    </row>
    <row r="991">
      <c r="F991" s="11" t="n"/>
      <c r="P991" s="7">
        <f>IF($D991="","",O991*X991/100)</f>
        <v/>
      </c>
      <c r="Q991" s="7" t="n"/>
      <c r="W991" s="7" t="n"/>
      <c r="X991" s="7" t="n"/>
      <c r="AA991">
        <f>IF($D991="","",IF($AP991=1,0,IF($AO991=1,Settings!$C$6,Settings!$C$7))*100)</f>
        <v/>
      </c>
      <c r="AB991" s="7">
        <f>IF($D991="","",X991*AA991/100)</f>
        <v/>
      </c>
      <c r="AC991" s="7">
        <f>IF($D991="","",X991-AB991)</f>
        <v/>
      </c>
      <c r="AD991" s="7">
        <f>IF($D991="","",AC991-P991)</f>
        <v/>
      </c>
      <c r="AH991" s="7" t="n"/>
      <c r="AK991" s="11" t="n"/>
      <c r="AM991">
        <f>IF($D991="","",IF(COUNTIF($D$2:$D991,$D991)=1,1,0))</f>
        <v/>
      </c>
      <c r="AN991">
        <f>IF($AM991=1,SUMPRODUCT(--($AQ$2:$AQ$1001&lt;$AQ991))+1,"")</f>
        <v/>
      </c>
      <c r="AO991">
        <f>IF($D991="","",IF(OR($T991=TRUE(),$T991="TRUE"),1,0))</f>
        <v/>
      </c>
      <c r="AP991">
        <f>IF($D991="","",IF($Z991="Yes",1,0))</f>
        <v/>
      </c>
      <c r="AQ991">
        <f>IF($AM991=1,IFERROR(IF(VALUE($D991)&lt;100000000,VALUE($D991),1000000000),IFERROR(IF(VALUE(MID($D991,2,20))&lt;100000000,VALUE(MID($D991,2,20)),1000000000),1000000000))+ROW()/100000,"")</f>
        <v/>
      </c>
    </row>
    <row r="992">
      <c r="F992" s="11" t="n"/>
      <c r="P992" s="7">
        <f>IF($D992="","",O992*X992/100)</f>
        <v/>
      </c>
      <c r="Q992" s="7" t="n"/>
      <c r="W992" s="7" t="n"/>
      <c r="X992" s="7" t="n"/>
      <c r="AA992">
        <f>IF($D992="","",IF($AP992=1,0,IF($AO992=1,Settings!$C$6,Settings!$C$7))*100)</f>
        <v/>
      </c>
      <c r="AB992" s="7">
        <f>IF($D992="","",X992*AA992/100)</f>
        <v/>
      </c>
      <c r="AC992" s="7">
        <f>IF($D992="","",X992-AB992)</f>
        <v/>
      </c>
      <c r="AD992" s="7">
        <f>IF($D992="","",AC992-P992)</f>
        <v/>
      </c>
      <c r="AH992" s="7" t="n"/>
      <c r="AK992" s="11" t="n"/>
      <c r="AM992">
        <f>IF($D992="","",IF(COUNTIF($D$2:$D992,$D992)=1,1,0))</f>
        <v/>
      </c>
      <c r="AN992">
        <f>IF($AM992=1,SUMPRODUCT(--($AQ$2:$AQ$1001&lt;$AQ992))+1,"")</f>
        <v/>
      </c>
      <c r="AO992">
        <f>IF($D992="","",IF(OR($T992=TRUE(),$T992="TRUE"),1,0))</f>
        <v/>
      </c>
      <c r="AP992">
        <f>IF($D992="","",IF($Z992="Yes",1,0))</f>
        <v/>
      </c>
      <c r="AQ992">
        <f>IF($AM992=1,IFERROR(IF(VALUE($D992)&lt;100000000,VALUE($D992),1000000000),IFERROR(IF(VALUE(MID($D992,2,20))&lt;100000000,VALUE(MID($D992,2,20)),1000000000),1000000000))+ROW()/100000,"")</f>
        <v/>
      </c>
    </row>
    <row r="993">
      <c r="F993" s="11" t="n"/>
      <c r="P993" s="7">
        <f>IF($D993="","",O993*X993/100)</f>
        <v/>
      </c>
      <c r="Q993" s="7" t="n"/>
      <c r="W993" s="7" t="n"/>
      <c r="X993" s="7" t="n"/>
      <c r="AA993">
        <f>IF($D993="","",IF($AP993=1,0,IF($AO993=1,Settings!$C$6,Settings!$C$7))*100)</f>
        <v/>
      </c>
      <c r="AB993" s="7">
        <f>IF($D993="","",X993*AA993/100)</f>
        <v/>
      </c>
      <c r="AC993" s="7">
        <f>IF($D993="","",X993-AB993)</f>
        <v/>
      </c>
      <c r="AD993" s="7">
        <f>IF($D993="","",AC993-P993)</f>
        <v/>
      </c>
      <c r="AH993" s="7" t="n"/>
      <c r="AK993" s="11" t="n"/>
      <c r="AM993">
        <f>IF($D993="","",IF(COUNTIF($D$2:$D993,$D993)=1,1,0))</f>
        <v/>
      </c>
      <c r="AN993">
        <f>IF($AM993=1,SUMPRODUCT(--($AQ$2:$AQ$1001&lt;$AQ993))+1,"")</f>
        <v/>
      </c>
      <c r="AO993">
        <f>IF($D993="","",IF(OR($T993=TRUE(),$T993="TRUE"),1,0))</f>
        <v/>
      </c>
      <c r="AP993">
        <f>IF($D993="","",IF($Z993="Yes",1,0))</f>
        <v/>
      </c>
      <c r="AQ993">
        <f>IF($AM993=1,IFERROR(IF(VALUE($D993)&lt;100000000,VALUE($D993),1000000000),IFERROR(IF(VALUE(MID($D993,2,20))&lt;100000000,VALUE(MID($D993,2,20)),1000000000),1000000000))+ROW()/100000,"")</f>
        <v/>
      </c>
    </row>
    <row r="994">
      <c r="F994" s="11" t="n"/>
      <c r="P994" s="7">
        <f>IF($D994="","",O994*X994/100)</f>
        <v/>
      </c>
      <c r="Q994" s="7" t="n"/>
      <c r="W994" s="7" t="n"/>
      <c r="X994" s="7" t="n"/>
      <c r="AA994">
        <f>IF($D994="","",IF($AP994=1,0,IF($AO994=1,Settings!$C$6,Settings!$C$7))*100)</f>
        <v/>
      </c>
      <c r="AB994" s="7">
        <f>IF($D994="","",X994*AA994/100)</f>
        <v/>
      </c>
      <c r="AC994" s="7">
        <f>IF($D994="","",X994-AB994)</f>
        <v/>
      </c>
      <c r="AD994" s="7">
        <f>IF($D994="","",AC994-P994)</f>
        <v/>
      </c>
      <c r="AH994" s="7" t="n"/>
      <c r="AK994" s="11" t="n"/>
      <c r="AM994">
        <f>IF($D994="","",IF(COUNTIF($D$2:$D994,$D994)=1,1,0))</f>
        <v/>
      </c>
      <c r="AN994">
        <f>IF($AM994=1,SUMPRODUCT(--($AQ$2:$AQ$1001&lt;$AQ994))+1,"")</f>
        <v/>
      </c>
      <c r="AO994">
        <f>IF($D994="","",IF(OR($T994=TRUE(),$T994="TRUE"),1,0))</f>
        <v/>
      </c>
      <c r="AP994">
        <f>IF($D994="","",IF($Z994="Yes",1,0))</f>
        <v/>
      </c>
      <c r="AQ994">
        <f>IF($AM994=1,IFERROR(IF(VALUE($D994)&lt;100000000,VALUE($D994),1000000000),IFERROR(IF(VALUE(MID($D994,2,20))&lt;100000000,VALUE(MID($D994,2,20)),1000000000),1000000000))+ROW()/100000,"")</f>
        <v/>
      </c>
    </row>
    <row r="995">
      <c r="F995" s="11" t="n"/>
      <c r="P995" s="7">
        <f>IF($D995="","",O995*X995/100)</f>
        <v/>
      </c>
      <c r="Q995" s="7" t="n"/>
      <c r="W995" s="7" t="n"/>
      <c r="X995" s="7" t="n"/>
      <c r="AA995">
        <f>IF($D995="","",IF($AP995=1,0,IF($AO995=1,Settings!$C$6,Settings!$C$7))*100)</f>
        <v/>
      </c>
      <c r="AB995" s="7">
        <f>IF($D995="","",X995*AA995/100)</f>
        <v/>
      </c>
      <c r="AC995" s="7">
        <f>IF($D995="","",X995-AB995)</f>
        <v/>
      </c>
      <c r="AD995" s="7">
        <f>IF($D995="","",AC995-P995)</f>
        <v/>
      </c>
      <c r="AH995" s="7" t="n"/>
      <c r="AK995" s="11" t="n"/>
      <c r="AM995">
        <f>IF($D995="","",IF(COUNTIF($D$2:$D995,$D995)=1,1,0))</f>
        <v/>
      </c>
      <c r="AN995">
        <f>IF($AM995=1,SUMPRODUCT(--($AQ$2:$AQ$1001&lt;$AQ995))+1,"")</f>
        <v/>
      </c>
      <c r="AO995">
        <f>IF($D995="","",IF(OR($T995=TRUE(),$T995="TRUE"),1,0))</f>
        <v/>
      </c>
      <c r="AP995">
        <f>IF($D995="","",IF($Z995="Yes",1,0))</f>
        <v/>
      </c>
      <c r="AQ995">
        <f>IF($AM995=1,IFERROR(IF(VALUE($D995)&lt;100000000,VALUE($D995),1000000000),IFERROR(IF(VALUE(MID($D995,2,20))&lt;100000000,VALUE(MID($D995,2,20)),1000000000),1000000000))+ROW()/100000,"")</f>
        <v/>
      </c>
    </row>
    <row r="996">
      <c r="F996" s="11" t="n"/>
      <c r="P996" s="7">
        <f>IF($D996="","",O996*X996/100)</f>
        <v/>
      </c>
      <c r="Q996" s="7" t="n"/>
      <c r="W996" s="7" t="n"/>
      <c r="X996" s="7" t="n"/>
      <c r="AA996">
        <f>IF($D996="","",IF($AP996=1,0,IF($AO996=1,Settings!$C$6,Settings!$C$7))*100)</f>
        <v/>
      </c>
      <c r="AB996" s="7">
        <f>IF($D996="","",X996*AA996/100)</f>
        <v/>
      </c>
      <c r="AC996" s="7">
        <f>IF($D996="","",X996-AB996)</f>
        <v/>
      </c>
      <c r="AD996" s="7">
        <f>IF($D996="","",AC996-P996)</f>
        <v/>
      </c>
      <c r="AH996" s="7" t="n"/>
      <c r="AK996" s="11" t="n"/>
      <c r="AM996">
        <f>IF($D996="","",IF(COUNTIF($D$2:$D996,$D996)=1,1,0))</f>
        <v/>
      </c>
      <c r="AN996">
        <f>IF($AM996=1,SUMPRODUCT(--($AQ$2:$AQ$1001&lt;$AQ996))+1,"")</f>
        <v/>
      </c>
      <c r="AO996">
        <f>IF($D996="","",IF(OR($T996=TRUE(),$T996="TRUE"),1,0))</f>
        <v/>
      </c>
      <c r="AP996">
        <f>IF($D996="","",IF($Z996="Yes",1,0))</f>
        <v/>
      </c>
      <c r="AQ996">
        <f>IF($AM996=1,IFERROR(IF(VALUE($D996)&lt;100000000,VALUE($D996),1000000000),IFERROR(IF(VALUE(MID($D996,2,20))&lt;100000000,VALUE(MID($D996,2,20)),1000000000),1000000000))+ROW()/100000,"")</f>
        <v/>
      </c>
    </row>
    <row r="997">
      <c r="F997" s="11" t="n"/>
      <c r="P997" s="7">
        <f>IF($D997="","",O997*X997/100)</f>
        <v/>
      </c>
      <c r="Q997" s="7" t="n"/>
      <c r="W997" s="7" t="n"/>
      <c r="X997" s="7" t="n"/>
      <c r="AA997">
        <f>IF($D997="","",IF($AP997=1,0,IF($AO997=1,Settings!$C$6,Settings!$C$7))*100)</f>
        <v/>
      </c>
      <c r="AB997" s="7">
        <f>IF($D997="","",X997*AA997/100)</f>
        <v/>
      </c>
      <c r="AC997" s="7">
        <f>IF($D997="","",X997-AB997)</f>
        <v/>
      </c>
      <c r="AD997" s="7">
        <f>IF($D997="","",AC997-P997)</f>
        <v/>
      </c>
      <c r="AH997" s="7" t="n"/>
      <c r="AK997" s="11" t="n"/>
      <c r="AM997">
        <f>IF($D997="","",IF(COUNTIF($D$2:$D997,$D997)=1,1,0))</f>
        <v/>
      </c>
      <c r="AN997">
        <f>IF($AM997=1,SUMPRODUCT(--($AQ$2:$AQ$1001&lt;$AQ997))+1,"")</f>
        <v/>
      </c>
      <c r="AO997">
        <f>IF($D997="","",IF(OR($T997=TRUE(),$T997="TRUE"),1,0))</f>
        <v/>
      </c>
      <c r="AP997">
        <f>IF($D997="","",IF($Z997="Yes",1,0))</f>
        <v/>
      </c>
      <c r="AQ997">
        <f>IF($AM997=1,IFERROR(IF(VALUE($D997)&lt;100000000,VALUE($D997),1000000000),IFERROR(IF(VALUE(MID($D997,2,20))&lt;100000000,VALUE(MID($D997,2,20)),1000000000),1000000000))+ROW()/100000,"")</f>
        <v/>
      </c>
    </row>
    <row r="998">
      <c r="F998" s="11" t="n"/>
      <c r="P998" s="7">
        <f>IF($D998="","",O998*X998/100)</f>
        <v/>
      </c>
      <c r="Q998" s="7" t="n"/>
      <c r="W998" s="7" t="n"/>
      <c r="X998" s="7" t="n"/>
      <c r="AA998">
        <f>IF($D998="","",IF($AP998=1,0,IF($AO998=1,Settings!$C$6,Settings!$C$7))*100)</f>
        <v/>
      </c>
      <c r="AB998" s="7">
        <f>IF($D998="","",X998*AA998/100)</f>
        <v/>
      </c>
      <c r="AC998" s="7">
        <f>IF($D998="","",X998-AB998)</f>
        <v/>
      </c>
      <c r="AD998" s="7">
        <f>IF($D998="","",AC998-P998)</f>
        <v/>
      </c>
      <c r="AH998" s="7" t="n"/>
      <c r="AK998" s="11" t="n"/>
      <c r="AM998">
        <f>IF($D998="","",IF(COUNTIF($D$2:$D998,$D998)=1,1,0))</f>
        <v/>
      </c>
      <c r="AN998">
        <f>IF($AM998=1,SUMPRODUCT(--($AQ$2:$AQ$1001&lt;$AQ998))+1,"")</f>
        <v/>
      </c>
      <c r="AO998">
        <f>IF($D998="","",IF(OR($T998=TRUE(),$T998="TRUE"),1,0))</f>
        <v/>
      </c>
      <c r="AP998">
        <f>IF($D998="","",IF($Z998="Yes",1,0))</f>
        <v/>
      </c>
      <c r="AQ998">
        <f>IF($AM998=1,IFERROR(IF(VALUE($D998)&lt;100000000,VALUE($D998),1000000000),IFERROR(IF(VALUE(MID($D998,2,20))&lt;100000000,VALUE(MID($D998,2,20)),1000000000),1000000000))+ROW()/100000,"")</f>
        <v/>
      </c>
    </row>
    <row r="999">
      <c r="F999" s="11" t="n"/>
      <c r="P999" s="7">
        <f>IF($D999="","",O999*X999/100)</f>
        <v/>
      </c>
      <c r="Q999" s="7" t="n"/>
      <c r="W999" s="7" t="n"/>
      <c r="X999" s="7" t="n"/>
      <c r="AA999">
        <f>IF($D999="","",IF($AP999=1,0,IF($AO999=1,Settings!$C$6,Settings!$C$7))*100)</f>
        <v/>
      </c>
      <c r="AB999" s="7">
        <f>IF($D999="","",X999*AA999/100)</f>
        <v/>
      </c>
      <c r="AC999" s="7">
        <f>IF($D999="","",X999-AB999)</f>
        <v/>
      </c>
      <c r="AD999" s="7">
        <f>IF($D999="","",AC999-P999)</f>
        <v/>
      </c>
      <c r="AH999" s="7" t="n"/>
      <c r="AK999" s="11" t="n"/>
      <c r="AM999">
        <f>IF($D999="","",IF(COUNTIF($D$2:$D999,$D999)=1,1,0))</f>
        <v/>
      </c>
      <c r="AN999">
        <f>IF($AM999=1,SUMPRODUCT(--($AQ$2:$AQ$1001&lt;$AQ999))+1,"")</f>
        <v/>
      </c>
      <c r="AO999">
        <f>IF($D999="","",IF(OR($T999=TRUE(),$T999="TRUE"),1,0))</f>
        <v/>
      </c>
      <c r="AP999">
        <f>IF($D999="","",IF($Z999="Yes",1,0))</f>
        <v/>
      </c>
      <c r="AQ999">
        <f>IF($AM999=1,IFERROR(IF(VALUE($D999)&lt;100000000,VALUE($D999),1000000000),IFERROR(IF(VALUE(MID($D999,2,20))&lt;100000000,VALUE(MID($D999,2,20)),1000000000),1000000000))+ROW()/100000,"")</f>
        <v/>
      </c>
    </row>
    <row r="1000">
      <c r="F1000" s="11" t="n"/>
      <c r="P1000" s="7">
        <f>IF($D1000="","",O1000*X1000/100)</f>
        <v/>
      </c>
      <c r="Q1000" s="7" t="n"/>
      <c r="W1000" s="7" t="n"/>
      <c r="X1000" s="7" t="n"/>
      <c r="AA1000">
        <f>IF($D1000="","",IF($AP1000=1,0,IF($AO1000=1,Settings!$C$6,Settings!$C$7))*100)</f>
        <v/>
      </c>
      <c r="AB1000" s="7">
        <f>IF($D1000="","",X1000*AA1000/100)</f>
        <v/>
      </c>
      <c r="AC1000" s="7">
        <f>IF($D1000="","",X1000-AB1000)</f>
        <v/>
      </c>
      <c r="AD1000" s="7">
        <f>IF($D1000="","",AC1000-P1000)</f>
        <v/>
      </c>
      <c r="AH1000" s="7" t="n"/>
      <c r="AK1000" s="11" t="n"/>
      <c r="AM1000">
        <f>IF($D1000="","",IF(COUNTIF($D$2:$D1000,$D1000)=1,1,0))</f>
        <v/>
      </c>
      <c r="AN1000">
        <f>IF($AM1000=1,SUMPRODUCT(--($AQ$2:$AQ$1001&lt;$AQ1000))+1,"")</f>
        <v/>
      </c>
      <c r="AO1000">
        <f>IF($D1000="","",IF(OR($T1000=TRUE(),$T1000="TRUE"),1,0))</f>
        <v/>
      </c>
      <c r="AP1000">
        <f>IF($D1000="","",IF($Z1000="Yes",1,0))</f>
        <v/>
      </c>
      <c r="AQ1000">
        <f>IF($AM1000=1,IFERROR(IF(VALUE($D1000)&lt;100000000,VALUE($D1000),1000000000),IFERROR(IF(VALUE(MID($D1000,2,20))&lt;100000000,VALUE(MID($D1000,2,20)),1000000000),1000000000))+ROW()/100000,"")</f>
        <v/>
      </c>
    </row>
    <row r="1001">
      <c r="F1001" s="11" t="n"/>
      <c r="P1001" s="7">
        <f>IF($D1001="","",O1001*X1001/100)</f>
        <v/>
      </c>
      <c r="Q1001" s="7" t="n"/>
      <c r="W1001" s="7" t="n"/>
      <c r="X1001" s="7" t="n"/>
      <c r="AA1001">
        <f>IF($D1001="","",IF($AP1001=1,0,IF($AO1001=1,Settings!$C$6,Settings!$C$7))*100)</f>
        <v/>
      </c>
      <c r="AB1001" s="7">
        <f>IF($D1001="","",X1001*AA1001/100)</f>
        <v/>
      </c>
      <c r="AC1001" s="7">
        <f>IF($D1001="","",X1001-AB1001)</f>
        <v/>
      </c>
      <c r="AD1001" s="7">
        <f>IF($D1001="","",AC1001-P1001)</f>
        <v/>
      </c>
      <c r="AH1001" s="7" t="n"/>
      <c r="AK1001" s="11" t="n"/>
      <c r="AM1001">
        <f>IF($D1001="","",IF(COUNTIF($D$2:$D1001,$D1001)=1,1,0))</f>
        <v/>
      </c>
      <c r="AN1001">
        <f>IF($AM1001=1,SUMPRODUCT(--($AQ$2:$AQ$1001&lt;$AQ1001))+1,"")</f>
        <v/>
      </c>
      <c r="AO1001">
        <f>IF($D1001="","",IF(OR($T1001=TRUE(),$T1001="TRUE"),1,0))</f>
        <v/>
      </c>
      <c r="AP1001">
        <f>IF($D1001="","",IF($Z1001="Yes",1,0))</f>
        <v/>
      </c>
      <c r="AQ1001">
        <f>IF($AM1001=1,IFERROR(IF(VALUE($D1001)&lt;100000000,VALUE($D1001),1000000000),IFERROR(IF(VALUE(MID($D1001,2,20))&lt;100000000,VALUE(MID($D1001,2,20)),1000000000),1000000000))+ROW()/100000,"")</f>
        <v/>
      </c>
    </row>
  </sheetData>
  <autoFilter ref="A1:AQ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7" customWidth="1" min="4" max="4"/>
    <col width="18" customWidth="1" min="5" max="5"/>
    <col width="24" customWidth="1" min="6" max="6"/>
    <col width="12" customWidth="1" min="7" max="7"/>
    <col width="26" customWidth="1" min="8" max="8"/>
    <col width="12" customWidth="1" min="9" max="9"/>
    <col width="12" customWidth="1" min="10" max="10"/>
    <col width="3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4" customWidth="1" min="26" max="26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Approval Ref</t>
        </is>
      </c>
      <c r="D1" s="9" t="inlineStr">
        <is>
          <t>Create At</t>
        </is>
      </c>
      <c r="E1" s="9" t="inlineStr">
        <is>
          <t>Insurance Company</t>
        </is>
      </c>
      <c r="F1" s="9" t="inlineStr">
        <is>
          <t>Corporate</t>
        </is>
      </c>
      <c r="G1" s="9" t="inlineStr">
        <is>
          <t>Card</t>
        </is>
      </c>
      <c r="H1" s="9" t="inlineStr">
        <is>
          <t>Name</t>
        </is>
      </c>
      <c r="I1" s="9" t="inlineStr">
        <is>
          <t>Order Co Payment</t>
        </is>
      </c>
      <c r="J1" s="9" t="inlineStr">
        <is>
          <t>Co val</t>
        </is>
      </c>
      <c r="K1" s="9" t="inlineStr">
        <is>
          <t>ERX ID</t>
        </is>
      </c>
      <c r="L1" s="9" t="inlineStr">
        <is>
          <t>Max Limit</t>
        </is>
      </c>
      <c r="M1" s="9" t="inlineStr">
        <is>
          <t>Exceeding Limit</t>
        </is>
      </c>
      <c r="N1" s="9" t="inlineStr">
        <is>
          <t>Special Rebates</t>
        </is>
      </c>
      <c r="O1" s="9" t="inlineStr">
        <is>
          <t>IMP%</t>
        </is>
      </c>
      <c r="P1" s="9" t="inlineStr">
        <is>
          <t>IMP</t>
        </is>
      </c>
      <c r="Q1" s="9" t="inlineStr">
        <is>
          <t>IMP VAL</t>
        </is>
      </c>
      <c r="R1" s="9" t="inlineStr">
        <is>
          <t>LOCAL %</t>
        </is>
      </c>
      <c r="S1" s="9" t="inlineStr">
        <is>
          <t>LOCAL</t>
        </is>
      </c>
      <c r="T1" s="9" t="inlineStr">
        <is>
          <t>LOCAL VAL</t>
        </is>
      </c>
      <c r="U1" s="9" t="inlineStr">
        <is>
          <t>TOTAL VAL</t>
        </is>
      </c>
      <c r="V1" s="9" t="inlineStr">
        <is>
          <t>SUBTOTAL</t>
        </is>
      </c>
      <c r="W1" s="9" t="inlineStr">
        <is>
          <t>Grand Total</t>
        </is>
      </c>
      <c r="X1" s="9" t="inlineStr">
        <is>
          <t>NET</t>
        </is>
      </c>
      <c r="Y1" s="10" t="inlineStr">
        <is>
          <t>Src Row (helper)</t>
        </is>
      </c>
      <c r="Z1" s="10" t="inlineStr">
        <is>
          <t>Limit Adj (helper)</t>
        </is>
      </c>
    </row>
    <row r="2">
      <c r="A2" s="12" t="n"/>
      <c r="B2">
        <f>IF($Y2="","",INDEX('Per Line'!$D$2:$D$1001,$Y2)&amp;"")</f>
        <v/>
      </c>
      <c r="C2">
        <f>IF($Y2="","",INDEX('Per Line'!$C$2:$C$1001,$Y2)&amp;"")</f>
        <v/>
      </c>
      <c r="D2" s="11">
        <f>IF($Y2="","",INDEX('Per Line'!$F$2:$F$1001,$Y2))</f>
        <v/>
      </c>
      <c r="E2">
        <f>IF($Y2="","",INDEX('Per Line'!$G$2:$G$1001,$Y2)&amp;"")</f>
        <v/>
      </c>
      <c r="F2">
        <f>IF($Y2="","",INDEX('Per Line'!$I$2:$I$1001,$Y2)&amp;"")</f>
        <v/>
      </c>
      <c r="G2">
        <f>IF($Y2="","",INDEX('Per Line'!$J$2:$J$1001,$Y2)&amp;"")</f>
        <v/>
      </c>
      <c r="H2">
        <f>IF($Y2="","",INDEX('Per Line'!$K$2:$K$1001,$Y2)&amp;"")</f>
        <v/>
      </c>
      <c r="I2">
        <f>IF($Y2="","",INDEX('Per Line'!$O$2:$O$1001,$Y2))</f>
        <v/>
      </c>
      <c r="J2" s="7">
        <f>IF($Y2="","",IF(AND(ISNUMBER(L2),L2&gt;0,W2&gt;L2),I2*L2/100+(W2-L2),I2*W2/100))</f>
        <v/>
      </c>
      <c r="K2">
        <f>IF($Y2="","",INDEX('Per Line'!$Y$2:$Y$1001,$Y2)&amp;"")</f>
        <v/>
      </c>
      <c r="L2">
        <f>IF($Y2="","",INDEX('Per Line'!$AF$2:$AF$1001,$Y2))</f>
        <v/>
      </c>
      <c r="M2">
        <f>IF($Y2="","",IF(AND(ISNUMBER(L2),L2&gt;0),W2&gt;L2,FALSE))</f>
        <v/>
      </c>
      <c r="N2" s="7">
        <f>IF($Y2="","",SUMIFS('Per Line'!$X$2:$X$1001,'Per Line'!$D$2:$D$1001,$B2,'Per Line'!$AP$2:$AP$1001,1))</f>
        <v/>
      </c>
      <c r="O2">
        <f>IF($Y2="","",Settings!$C$7)</f>
        <v/>
      </c>
      <c r="P2" s="7">
        <f>IF($Y2="","",SUMIFS('Per Line'!$X$2:$X$1001,'Per Line'!$D$2:$D$1001,$B2,'Per Line'!$AO$2:$AO$1001,0,'Per Line'!$AP$2:$AP$1001,0))</f>
        <v/>
      </c>
      <c r="Q2" s="7">
        <f>IF($Y2="","",P2*O2)</f>
        <v/>
      </c>
      <c r="R2">
        <f>IF($Y2="","",Settings!$C$6)</f>
        <v/>
      </c>
      <c r="S2" s="7">
        <f>IF($Y2="","",SUMIFS('Per Line'!$X$2:$X$1001,'Per Line'!$D$2:$D$1001,$B2,'Per Line'!$AO$2:$AO$1001,1,'Per Line'!$AP$2:$AP$1001,0))</f>
        <v/>
      </c>
      <c r="T2" s="7">
        <f>IF($Y2="","",S2*R2)</f>
        <v/>
      </c>
      <c r="U2" s="7">
        <f>IF($Y2="","",T2+Q2)</f>
        <v/>
      </c>
      <c r="V2" s="7">
        <f>IF($Y2="","",W2-U2)</f>
        <v/>
      </c>
      <c r="W2" s="7">
        <f>IF($Y2="","",P2+S2+N2)</f>
        <v/>
      </c>
      <c r="X2" s="7">
        <f>IF($Y2="","",W2-U2-J2)</f>
        <v/>
      </c>
      <c r="Y2" s="13">
        <f>IF(ROWS($Y$2:$Y2)&lt;=MAX('Per Line'!$AN$2:$AN$1001),MATCH(ROWS($Y$2:$Y2),'Per Line'!$AN$2:$AN$1001,0),"")</f>
        <v/>
      </c>
      <c r="Z2" s="14">
        <f>IF($Y2="","",J2-I2*W2/100)</f>
        <v/>
      </c>
    </row>
    <row r="3">
      <c r="A3" s="12" t="n"/>
      <c r="B3">
        <f>IF($Y3="","",INDEX('Per Line'!$D$2:$D$1001,$Y3)&amp;"")</f>
        <v/>
      </c>
      <c r="C3">
        <f>IF($Y3="","",INDEX('Per Line'!$C$2:$C$1001,$Y3)&amp;"")</f>
        <v/>
      </c>
      <c r="D3" s="11">
        <f>IF($Y3="","",INDEX('Per Line'!$F$2:$F$1001,$Y3))</f>
        <v/>
      </c>
      <c r="E3">
        <f>IF($Y3="","",INDEX('Per Line'!$G$2:$G$1001,$Y3)&amp;"")</f>
        <v/>
      </c>
      <c r="F3">
        <f>IF($Y3="","",INDEX('Per Line'!$I$2:$I$1001,$Y3)&amp;"")</f>
        <v/>
      </c>
      <c r="G3">
        <f>IF($Y3="","",INDEX('Per Line'!$J$2:$J$1001,$Y3)&amp;"")</f>
        <v/>
      </c>
      <c r="H3">
        <f>IF($Y3="","",INDEX('Per Line'!$K$2:$K$1001,$Y3)&amp;"")</f>
        <v/>
      </c>
      <c r="I3">
        <f>IF($Y3="","",INDEX('Per Line'!$O$2:$O$1001,$Y3))</f>
        <v/>
      </c>
      <c r="J3" s="7">
        <f>IF($Y3="","",IF(AND(ISNUMBER(L3),L3&gt;0,W3&gt;L3),I3*L3/100+(W3-L3),I3*W3/100))</f>
        <v/>
      </c>
      <c r="K3">
        <f>IF($Y3="","",INDEX('Per Line'!$Y$2:$Y$1001,$Y3)&amp;"")</f>
        <v/>
      </c>
      <c r="L3">
        <f>IF($Y3="","",INDEX('Per Line'!$AF$2:$AF$1001,$Y3))</f>
        <v/>
      </c>
      <c r="M3">
        <f>IF($Y3="","",IF(AND(ISNUMBER(L3),L3&gt;0),W3&gt;L3,FALSE))</f>
        <v/>
      </c>
      <c r="N3" s="7">
        <f>IF($Y3="","",SUMIFS('Per Line'!$X$2:$X$1001,'Per Line'!$D$2:$D$1001,$B3,'Per Line'!$AP$2:$AP$1001,1))</f>
        <v/>
      </c>
      <c r="O3">
        <f>IF($Y3="","",Settings!$C$7)</f>
        <v/>
      </c>
      <c r="P3" s="7">
        <f>IF($Y3="","",SUMIFS('Per Line'!$X$2:$X$1001,'Per Line'!$D$2:$D$1001,$B3,'Per Line'!$AO$2:$AO$1001,0,'Per Line'!$AP$2:$AP$1001,0))</f>
        <v/>
      </c>
      <c r="Q3" s="7">
        <f>IF($Y3="","",P3*O3)</f>
        <v/>
      </c>
      <c r="R3">
        <f>IF($Y3="","",Settings!$C$6)</f>
        <v/>
      </c>
      <c r="S3" s="7">
        <f>IF($Y3="","",SUMIFS('Per Line'!$X$2:$X$1001,'Per Line'!$D$2:$D$1001,$B3,'Per Line'!$AO$2:$AO$1001,1,'Per Line'!$AP$2:$AP$1001,0))</f>
        <v/>
      </c>
      <c r="T3" s="7">
        <f>IF($Y3="","",S3*R3)</f>
        <v/>
      </c>
      <c r="U3" s="7">
        <f>IF($Y3="","",T3+Q3)</f>
        <v/>
      </c>
      <c r="V3" s="7">
        <f>IF($Y3="","",W3-U3)</f>
        <v/>
      </c>
      <c r="W3" s="7">
        <f>IF($Y3="","",P3+S3+N3)</f>
        <v/>
      </c>
      <c r="X3" s="7">
        <f>IF($Y3="","",W3-U3-J3)</f>
        <v/>
      </c>
      <c r="Y3" s="13">
        <f>IF(ROWS($Y$2:$Y3)&lt;=MAX('Per Line'!$AN$2:$AN$1001),MATCH(ROWS($Y$2:$Y3),'Per Line'!$AN$2:$AN$1001,0),"")</f>
        <v/>
      </c>
      <c r="Z3" s="14">
        <f>IF($Y3="","",J3-I3*W3/100)</f>
        <v/>
      </c>
    </row>
    <row r="4">
      <c r="A4" s="12" t="n"/>
      <c r="B4">
        <f>IF($Y4="","",INDEX('Per Line'!$D$2:$D$1001,$Y4)&amp;"")</f>
        <v/>
      </c>
      <c r="C4">
        <f>IF($Y4="","",INDEX('Per Line'!$C$2:$C$1001,$Y4)&amp;"")</f>
        <v/>
      </c>
      <c r="D4" s="11">
        <f>IF($Y4="","",INDEX('Per Line'!$F$2:$F$1001,$Y4))</f>
        <v/>
      </c>
      <c r="E4">
        <f>IF($Y4="","",INDEX('Per Line'!$G$2:$G$1001,$Y4)&amp;"")</f>
        <v/>
      </c>
      <c r="F4">
        <f>IF($Y4="","",INDEX('Per Line'!$I$2:$I$1001,$Y4)&amp;"")</f>
        <v/>
      </c>
      <c r="G4">
        <f>IF($Y4="","",INDEX('Per Line'!$J$2:$J$1001,$Y4)&amp;"")</f>
        <v/>
      </c>
      <c r="H4">
        <f>IF($Y4="","",INDEX('Per Line'!$K$2:$K$1001,$Y4)&amp;"")</f>
        <v/>
      </c>
      <c r="I4">
        <f>IF($Y4="","",INDEX('Per Line'!$O$2:$O$1001,$Y4))</f>
        <v/>
      </c>
      <c r="J4" s="7">
        <f>IF($Y4="","",IF(AND(ISNUMBER(L4),L4&gt;0,W4&gt;L4),I4*L4/100+(W4-L4),I4*W4/100))</f>
        <v/>
      </c>
      <c r="K4">
        <f>IF($Y4="","",INDEX('Per Line'!$Y$2:$Y$1001,$Y4)&amp;"")</f>
        <v/>
      </c>
      <c r="L4">
        <f>IF($Y4="","",INDEX('Per Line'!$AF$2:$AF$1001,$Y4))</f>
        <v/>
      </c>
      <c r="M4">
        <f>IF($Y4="","",IF(AND(ISNUMBER(L4),L4&gt;0),W4&gt;L4,FALSE))</f>
        <v/>
      </c>
      <c r="N4" s="7">
        <f>IF($Y4="","",SUMIFS('Per Line'!$X$2:$X$1001,'Per Line'!$D$2:$D$1001,$B4,'Per Line'!$AP$2:$AP$1001,1))</f>
        <v/>
      </c>
      <c r="O4">
        <f>IF($Y4="","",Settings!$C$7)</f>
        <v/>
      </c>
      <c r="P4" s="7">
        <f>IF($Y4="","",SUMIFS('Per Line'!$X$2:$X$1001,'Per Line'!$D$2:$D$1001,$B4,'Per Line'!$AO$2:$AO$1001,0,'Per Line'!$AP$2:$AP$1001,0))</f>
        <v/>
      </c>
      <c r="Q4" s="7">
        <f>IF($Y4="","",P4*O4)</f>
        <v/>
      </c>
      <c r="R4">
        <f>IF($Y4="","",Settings!$C$6)</f>
        <v/>
      </c>
      <c r="S4" s="7">
        <f>IF($Y4="","",SUMIFS('Per Line'!$X$2:$X$1001,'Per Line'!$D$2:$D$1001,$B4,'Per Line'!$AO$2:$AO$1001,1,'Per Line'!$AP$2:$AP$1001,0))</f>
        <v/>
      </c>
      <c r="T4" s="7">
        <f>IF($Y4="","",S4*R4)</f>
        <v/>
      </c>
      <c r="U4" s="7">
        <f>IF($Y4="","",T4+Q4)</f>
        <v/>
      </c>
      <c r="V4" s="7">
        <f>IF($Y4="","",W4-U4)</f>
        <v/>
      </c>
      <c r="W4" s="7">
        <f>IF($Y4="","",P4+S4+N4)</f>
        <v/>
      </c>
      <c r="X4" s="7">
        <f>IF($Y4="","",W4-U4-J4)</f>
        <v/>
      </c>
      <c r="Y4" s="13">
        <f>IF(ROWS($Y$2:$Y4)&lt;=MAX('Per Line'!$AN$2:$AN$1001),MATCH(ROWS($Y$2:$Y4),'Per Line'!$AN$2:$AN$1001,0),"")</f>
        <v/>
      </c>
      <c r="Z4" s="14">
        <f>IF($Y4="","",J4-I4*W4/100)</f>
        <v/>
      </c>
    </row>
    <row r="5">
      <c r="A5" s="12" t="n"/>
      <c r="B5">
        <f>IF($Y5="","",INDEX('Per Line'!$D$2:$D$1001,$Y5)&amp;"")</f>
        <v/>
      </c>
      <c r="C5">
        <f>IF($Y5="","",INDEX('Per Line'!$C$2:$C$1001,$Y5)&amp;"")</f>
        <v/>
      </c>
      <c r="D5" s="11">
        <f>IF($Y5="","",INDEX('Per Line'!$F$2:$F$1001,$Y5))</f>
        <v/>
      </c>
      <c r="E5">
        <f>IF($Y5="","",INDEX('Per Line'!$G$2:$G$1001,$Y5)&amp;"")</f>
        <v/>
      </c>
      <c r="F5">
        <f>IF($Y5="","",INDEX('Per Line'!$I$2:$I$1001,$Y5)&amp;"")</f>
        <v/>
      </c>
      <c r="G5">
        <f>IF($Y5="","",INDEX('Per Line'!$J$2:$J$1001,$Y5)&amp;"")</f>
        <v/>
      </c>
      <c r="H5">
        <f>IF($Y5="","",INDEX('Per Line'!$K$2:$K$1001,$Y5)&amp;"")</f>
        <v/>
      </c>
      <c r="I5">
        <f>IF($Y5="","",INDEX('Per Line'!$O$2:$O$1001,$Y5))</f>
        <v/>
      </c>
      <c r="J5" s="7">
        <f>IF($Y5="","",IF(AND(ISNUMBER(L5),L5&gt;0,W5&gt;L5),I5*L5/100+(W5-L5),I5*W5/100))</f>
        <v/>
      </c>
      <c r="K5">
        <f>IF($Y5="","",INDEX('Per Line'!$Y$2:$Y$1001,$Y5)&amp;"")</f>
        <v/>
      </c>
      <c r="L5">
        <f>IF($Y5="","",INDEX('Per Line'!$AF$2:$AF$1001,$Y5))</f>
        <v/>
      </c>
      <c r="M5">
        <f>IF($Y5="","",IF(AND(ISNUMBER(L5),L5&gt;0),W5&gt;L5,FALSE))</f>
        <v/>
      </c>
      <c r="N5" s="7">
        <f>IF($Y5="","",SUMIFS('Per Line'!$X$2:$X$1001,'Per Line'!$D$2:$D$1001,$B5,'Per Line'!$AP$2:$AP$1001,1))</f>
        <v/>
      </c>
      <c r="O5">
        <f>IF($Y5="","",Settings!$C$7)</f>
        <v/>
      </c>
      <c r="P5" s="7">
        <f>IF($Y5="","",SUMIFS('Per Line'!$X$2:$X$1001,'Per Line'!$D$2:$D$1001,$B5,'Per Line'!$AO$2:$AO$1001,0,'Per Line'!$AP$2:$AP$1001,0))</f>
        <v/>
      </c>
      <c r="Q5" s="7">
        <f>IF($Y5="","",P5*O5)</f>
        <v/>
      </c>
      <c r="R5">
        <f>IF($Y5="","",Settings!$C$6)</f>
        <v/>
      </c>
      <c r="S5" s="7">
        <f>IF($Y5="","",SUMIFS('Per Line'!$X$2:$X$1001,'Per Line'!$D$2:$D$1001,$B5,'Per Line'!$AO$2:$AO$1001,1,'Per Line'!$AP$2:$AP$1001,0))</f>
        <v/>
      </c>
      <c r="T5" s="7">
        <f>IF($Y5="","",S5*R5)</f>
        <v/>
      </c>
      <c r="U5" s="7">
        <f>IF($Y5="","",T5+Q5)</f>
        <v/>
      </c>
      <c r="V5" s="7">
        <f>IF($Y5="","",W5-U5)</f>
        <v/>
      </c>
      <c r="W5" s="7">
        <f>IF($Y5="","",P5+S5+N5)</f>
        <v/>
      </c>
      <c r="X5" s="7">
        <f>IF($Y5="","",W5-U5-J5)</f>
        <v/>
      </c>
      <c r="Y5" s="13">
        <f>IF(ROWS($Y$2:$Y5)&lt;=MAX('Per Line'!$AN$2:$AN$1001),MATCH(ROWS($Y$2:$Y5),'Per Line'!$AN$2:$AN$1001,0),"")</f>
        <v/>
      </c>
      <c r="Z5" s="14">
        <f>IF($Y5="","",J5-I5*W5/100)</f>
        <v/>
      </c>
    </row>
    <row r="6">
      <c r="A6" s="12" t="n"/>
      <c r="B6">
        <f>IF($Y6="","",INDEX('Per Line'!$D$2:$D$1001,$Y6)&amp;"")</f>
        <v/>
      </c>
      <c r="C6">
        <f>IF($Y6="","",INDEX('Per Line'!$C$2:$C$1001,$Y6)&amp;"")</f>
        <v/>
      </c>
      <c r="D6" s="11">
        <f>IF($Y6="","",INDEX('Per Line'!$F$2:$F$1001,$Y6))</f>
        <v/>
      </c>
      <c r="E6">
        <f>IF($Y6="","",INDEX('Per Line'!$G$2:$G$1001,$Y6)&amp;"")</f>
        <v/>
      </c>
      <c r="F6">
        <f>IF($Y6="","",INDEX('Per Line'!$I$2:$I$1001,$Y6)&amp;"")</f>
        <v/>
      </c>
      <c r="G6">
        <f>IF($Y6="","",INDEX('Per Line'!$J$2:$J$1001,$Y6)&amp;"")</f>
        <v/>
      </c>
      <c r="H6">
        <f>IF($Y6="","",INDEX('Per Line'!$K$2:$K$1001,$Y6)&amp;"")</f>
        <v/>
      </c>
      <c r="I6">
        <f>IF($Y6="","",INDEX('Per Line'!$O$2:$O$1001,$Y6))</f>
        <v/>
      </c>
      <c r="J6" s="7">
        <f>IF($Y6="","",IF(AND(ISNUMBER(L6),L6&gt;0,W6&gt;L6),I6*L6/100+(W6-L6),I6*W6/100))</f>
        <v/>
      </c>
      <c r="K6">
        <f>IF($Y6="","",INDEX('Per Line'!$Y$2:$Y$1001,$Y6)&amp;"")</f>
        <v/>
      </c>
      <c r="L6">
        <f>IF($Y6="","",INDEX('Per Line'!$AF$2:$AF$1001,$Y6))</f>
        <v/>
      </c>
      <c r="M6">
        <f>IF($Y6="","",IF(AND(ISNUMBER(L6),L6&gt;0),W6&gt;L6,FALSE))</f>
        <v/>
      </c>
      <c r="N6" s="7">
        <f>IF($Y6="","",SUMIFS('Per Line'!$X$2:$X$1001,'Per Line'!$D$2:$D$1001,$B6,'Per Line'!$AP$2:$AP$1001,1))</f>
        <v/>
      </c>
      <c r="O6">
        <f>IF($Y6="","",Settings!$C$7)</f>
        <v/>
      </c>
      <c r="P6" s="7">
        <f>IF($Y6="","",SUMIFS('Per Line'!$X$2:$X$1001,'Per Line'!$D$2:$D$1001,$B6,'Per Line'!$AO$2:$AO$1001,0,'Per Line'!$AP$2:$AP$1001,0))</f>
        <v/>
      </c>
      <c r="Q6" s="7">
        <f>IF($Y6="","",P6*O6)</f>
        <v/>
      </c>
      <c r="R6">
        <f>IF($Y6="","",Settings!$C$6)</f>
        <v/>
      </c>
      <c r="S6" s="7">
        <f>IF($Y6="","",SUMIFS('Per Line'!$X$2:$X$1001,'Per Line'!$D$2:$D$1001,$B6,'Per Line'!$AO$2:$AO$1001,1,'Per Line'!$AP$2:$AP$1001,0))</f>
        <v/>
      </c>
      <c r="T6" s="7">
        <f>IF($Y6="","",S6*R6)</f>
        <v/>
      </c>
      <c r="U6" s="7">
        <f>IF($Y6="","",T6+Q6)</f>
        <v/>
      </c>
      <c r="V6" s="7">
        <f>IF($Y6="","",W6-U6)</f>
        <v/>
      </c>
      <c r="W6" s="7">
        <f>IF($Y6="","",P6+S6+N6)</f>
        <v/>
      </c>
      <c r="X6" s="7">
        <f>IF($Y6="","",W6-U6-J6)</f>
        <v/>
      </c>
      <c r="Y6" s="13">
        <f>IF(ROWS($Y$2:$Y6)&lt;=MAX('Per Line'!$AN$2:$AN$1001),MATCH(ROWS($Y$2:$Y6),'Per Line'!$AN$2:$AN$1001,0),"")</f>
        <v/>
      </c>
      <c r="Z6" s="14">
        <f>IF($Y6="","",J6-I6*W6/100)</f>
        <v/>
      </c>
    </row>
    <row r="7">
      <c r="A7" s="12" t="n"/>
      <c r="B7">
        <f>IF($Y7="","",INDEX('Per Line'!$D$2:$D$1001,$Y7)&amp;"")</f>
        <v/>
      </c>
      <c r="C7">
        <f>IF($Y7="","",INDEX('Per Line'!$C$2:$C$1001,$Y7)&amp;"")</f>
        <v/>
      </c>
      <c r="D7" s="11">
        <f>IF($Y7="","",INDEX('Per Line'!$F$2:$F$1001,$Y7))</f>
        <v/>
      </c>
      <c r="E7">
        <f>IF($Y7="","",INDEX('Per Line'!$G$2:$G$1001,$Y7)&amp;"")</f>
        <v/>
      </c>
      <c r="F7">
        <f>IF($Y7="","",INDEX('Per Line'!$I$2:$I$1001,$Y7)&amp;"")</f>
        <v/>
      </c>
      <c r="G7">
        <f>IF($Y7="","",INDEX('Per Line'!$J$2:$J$1001,$Y7)&amp;"")</f>
        <v/>
      </c>
      <c r="H7">
        <f>IF($Y7="","",INDEX('Per Line'!$K$2:$K$1001,$Y7)&amp;"")</f>
        <v/>
      </c>
      <c r="I7">
        <f>IF($Y7="","",INDEX('Per Line'!$O$2:$O$1001,$Y7))</f>
        <v/>
      </c>
      <c r="J7" s="7">
        <f>IF($Y7="","",IF(AND(ISNUMBER(L7),L7&gt;0,W7&gt;L7),I7*L7/100+(W7-L7),I7*W7/100))</f>
        <v/>
      </c>
      <c r="K7">
        <f>IF($Y7="","",INDEX('Per Line'!$Y$2:$Y$1001,$Y7)&amp;"")</f>
        <v/>
      </c>
      <c r="L7">
        <f>IF($Y7="","",INDEX('Per Line'!$AF$2:$AF$1001,$Y7))</f>
        <v/>
      </c>
      <c r="M7">
        <f>IF($Y7="","",IF(AND(ISNUMBER(L7),L7&gt;0),W7&gt;L7,FALSE))</f>
        <v/>
      </c>
      <c r="N7" s="7">
        <f>IF($Y7="","",SUMIFS('Per Line'!$X$2:$X$1001,'Per Line'!$D$2:$D$1001,$B7,'Per Line'!$AP$2:$AP$1001,1))</f>
        <v/>
      </c>
      <c r="O7">
        <f>IF($Y7="","",Settings!$C$7)</f>
        <v/>
      </c>
      <c r="P7" s="7">
        <f>IF($Y7="","",SUMIFS('Per Line'!$X$2:$X$1001,'Per Line'!$D$2:$D$1001,$B7,'Per Line'!$AO$2:$AO$1001,0,'Per Line'!$AP$2:$AP$1001,0))</f>
        <v/>
      </c>
      <c r="Q7" s="7">
        <f>IF($Y7="","",P7*O7)</f>
        <v/>
      </c>
      <c r="R7">
        <f>IF($Y7="","",Settings!$C$6)</f>
        <v/>
      </c>
      <c r="S7" s="7">
        <f>IF($Y7="","",SUMIFS('Per Line'!$X$2:$X$1001,'Per Line'!$D$2:$D$1001,$B7,'Per Line'!$AO$2:$AO$1001,1,'Per Line'!$AP$2:$AP$1001,0))</f>
        <v/>
      </c>
      <c r="T7" s="7">
        <f>IF($Y7="","",S7*R7)</f>
        <v/>
      </c>
      <c r="U7" s="7">
        <f>IF($Y7="","",T7+Q7)</f>
        <v/>
      </c>
      <c r="V7" s="7">
        <f>IF($Y7="","",W7-U7)</f>
        <v/>
      </c>
      <c r="W7" s="7">
        <f>IF($Y7="","",P7+S7+N7)</f>
        <v/>
      </c>
      <c r="X7" s="7">
        <f>IF($Y7="","",W7-U7-J7)</f>
        <v/>
      </c>
      <c r="Y7" s="13">
        <f>IF(ROWS($Y$2:$Y7)&lt;=MAX('Per Line'!$AN$2:$AN$1001),MATCH(ROWS($Y$2:$Y7),'Per Line'!$AN$2:$AN$1001,0),"")</f>
        <v/>
      </c>
      <c r="Z7" s="14">
        <f>IF($Y7="","",J7-I7*W7/100)</f>
        <v/>
      </c>
    </row>
    <row r="8">
      <c r="A8" s="12" t="n"/>
      <c r="B8">
        <f>IF($Y8="","",INDEX('Per Line'!$D$2:$D$1001,$Y8)&amp;"")</f>
        <v/>
      </c>
      <c r="C8">
        <f>IF($Y8="","",INDEX('Per Line'!$C$2:$C$1001,$Y8)&amp;"")</f>
        <v/>
      </c>
      <c r="D8" s="11">
        <f>IF($Y8="","",INDEX('Per Line'!$F$2:$F$1001,$Y8))</f>
        <v/>
      </c>
      <c r="E8">
        <f>IF($Y8="","",INDEX('Per Line'!$G$2:$G$1001,$Y8)&amp;"")</f>
        <v/>
      </c>
      <c r="F8">
        <f>IF($Y8="","",INDEX('Per Line'!$I$2:$I$1001,$Y8)&amp;"")</f>
        <v/>
      </c>
      <c r="G8">
        <f>IF($Y8="","",INDEX('Per Line'!$J$2:$J$1001,$Y8)&amp;"")</f>
        <v/>
      </c>
      <c r="H8">
        <f>IF($Y8="","",INDEX('Per Line'!$K$2:$K$1001,$Y8)&amp;"")</f>
        <v/>
      </c>
      <c r="I8">
        <f>IF($Y8="","",INDEX('Per Line'!$O$2:$O$1001,$Y8))</f>
        <v/>
      </c>
      <c r="J8" s="7">
        <f>IF($Y8="","",IF(AND(ISNUMBER(L8),L8&gt;0,W8&gt;L8),I8*L8/100+(W8-L8),I8*W8/100))</f>
        <v/>
      </c>
      <c r="K8">
        <f>IF($Y8="","",INDEX('Per Line'!$Y$2:$Y$1001,$Y8)&amp;"")</f>
        <v/>
      </c>
      <c r="L8">
        <f>IF($Y8="","",INDEX('Per Line'!$AF$2:$AF$1001,$Y8))</f>
        <v/>
      </c>
      <c r="M8">
        <f>IF($Y8="","",IF(AND(ISNUMBER(L8),L8&gt;0),W8&gt;L8,FALSE))</f>
        <v/>
      </c>
      <c r="N8" s="7">
        <f>IF($Y8="","",SUMIFS('Per Line'!$X$2:$X$1001,'Per Line'!$D$2:$D$1001,$B8,'Per Line'!$AP$2:$AP$1001,1))</f>
        <v/>
      </c>
      <c r="O8">
        <f>IF($Y8="","",Settings!$C$7)</f>
        <v/>
      </c>
      <c r="P8" s="7">
        <f>IF($Y8="","",SUMIFS('Per Line'!$X$2:$X$1001,'Per Line'!$D$2:$D$1001,$B8,'Per Line'!$AO$2:$AO$1001,0,'Per Line'!$AP$2:$AP$1001,0))</f>
        <v/>
      </c>
      <c r="Q8" s="7">
        <f>IF($Y8="","",P8*O8)</f>
        <v/>
      </c>
      <c r="R8">
        <f>IF($Y8="","",Settings!$C$6)</f>
        <v/>
      </c>
      <c r="S8" s="7">
        <f>IF($Y8="","",SUMIFS('Per Line'!$X$2:$X$1001,'Per Line'!$D$2:$D$1001,$B8,'Per Line'!$AO$2:$AO$1001,1,'Per Line'!$AP$2:$AP$1001,0))</f>
        <v/>
      </c>
      <c r="T8" s="7">
        <f>IF($Y8="","",S8*R8)</f>
        <v/>
      </c>
      <c r="U8" s="7">
        <f>IF($Y8="","",T8+Q8)</f>
        <v/>
      </c>
      <c r="V8" s="7">
        <f>IF($Y8="","",W8-U8)</f>
        <v/>
      </c>
      <c r="W8" s="7">
        <f>IF($Y8="","",P8+S8+N8)</f>
        <v/>
      </c>
      <c r="X8" s="7">
        <f>IF($Y8="","",W8-U8-J8)</f>
        <v/>
      </c>
      <c r="Y8" s="13">
        <f>IF(ROWS($Y$2:$Y8)&lt;=MAX('Per Line'!$AN$2:$AN$1001),MATCH(ROWS($Y$2:$Y8),'Per Line'!$AN$2:$AN$1001,0),"")</f>
        <v/>
      </c>
      <c r="Z8" s="14">
        <f>IF($Y8="","",J8-I8*W8/100)</f>
        <v/>
      </c>
    </row>
    <row r="9">
      <c r="A9" s="12" t="n"/>
      <c r="B9">
        <f>IF($Y9="","",INDEX('Per Line'!$D$2:$D$1001,$Y9)&amp;"")</f>
        <v/>
      </c>
      <c r="C9">
        <f>IF($Y9="","",INDEX('Per Line'!$C$2:$C$1001,$Y9)&amp;"")</f>
        <v/>
      </c>
      <c r="D9" s="11">
        <f>IF($Y9="","",INDEX('Per Line'!$F$2:$F$1001,$Y9))</f>
        <v/>
      </c>
      <c r="E9">
        <f>IF($Y9="","",INDEX('Per Line'!$G$2:$G$1001,$Y9)&amp;"")</f>
        <v/>
      </c>
      <c r="F9">
        <f>IF($Y9="","",INDEX('Per Line'!$I$2:$I$1001,$Y9)&amp;"")</f>
        <v/>
      </c>
      <c r="G9">
        <f>IF($Y9="","",INDEX('Per Line'!$J$2:$J$1001,$Y9)&amp;"")</f>
        <v/>
      </c>
      <c r="H9">
        <f>IF($Y9="","",INDEX('Per Line'!$K$2:$K$1001,$Y9)&amp;"")</f>
        <v/>
      </c>
      <c r="I9">
        <f>IF($Y9="","",INDEX('Per Line'!$O$2:$O$1001,$Y9))</f>
        <v/>
      </c>
      <c r="J9" s="7">
        <f>IF($Y9="","",IF(AND(ISNUMBER(L9),L9&gt;0,W9&gt;L9),I9*L9/100+(W9-L9),I9*W9/100))</f>
        <v/>
      </c>
      <c r="K9">
        <f>IF($Y9="","",INDEX('Per Line'!$Y$2:$Y$1001,$Y9)&amp;"")</f>
        <v/>
      </c>
      <c r="L9">
        <f>IF($Y9="","",INDEX('Per Line'!$AF$2:$AF$1001,$Y9))</f>
        <v/>
      </c>
      <c r="M9">
        <f>IF($Y9="","",IF(AND(ISNUMBER(L9),L9&gt;0),W9&gt;L9,FALSE))</f>
        <v/>
      </c>
      <c r="N9" s="7">
        <f>IF($Y9="","",SUMIFS('Per Line'!$X$2:$X$1001,'Per Line'!$D$2:$D$1001,$B9,'Per Line'!$AP$2:$AP$1001,1))</f>
        <v/>
      </c>
      <c r="O9">
        <f>IF($Y9="","",Settings!$C$7)</f>
        <v/>
      </c>
      <c r="P9" s="7">
        <f>IF($Y9="","",SUMIFS('Per Line'!$X$2:$X$1001,'Per Line'!$D$2:$D$1001,$B9,'Per Line'!$AO$2:$AO$1001,0,'Per Line'!$AP$2:$AP$1001,0))</f>
        <v/>
      </c>
      <c r="Q9" s="7">
        <f>IF($Y9="","",P9*O9)</f>
        <v/>
      </c>
      <c r="R9">
        <f>IF($Y9="","",Settings!$C$6)</f>
        <v/>
      </c>
      <c r="S9" s="7">
        <f>IF($Y9="","",SUMIFS('Per Line'!$X$2:$X$1001,'Per Line'!$D$2:$D$1001,$B9,'Per Line'!$AO$2:$AO$1001,1,'Per Line'!$AP$2:$AP$1001,0))</f>
        <v/>
      </c>
      <c r="T9" s="7">
        <f>IF($Y9="","",S9*R9)</f>
        <v/>
      </c>
      <c r="U9" s="7">
        <f>IF($Y9="","",T9+Q9)</f>
        <v/>
      </c>
      <c r="V9" s="7">
        <f>IF($Y9="","",W9-U9)</f>
        <v/>
      </c>
      <c r="W9" s="7">
        <f>IF($Y9="","",P9+S9+N9)</f>
        <v/>
      </c>
      <c r="X9" s="7">
        <f>IF($Y9="","",W9-U9-J9)</f>
        <v/>
      </c>
      <c r="Y9" s="13">
        <f>IF(ROWS($Y$2:$Y9)&lt;=MAX('Per Line'!$AN$2:$AN$1001),MATCH(ROWS($Y$2:$Y9),'Per Line'!$AN$2:$AN$1001,0),"")</f>
        <v/>
      </c>
      <c r="Z9" s="14">
        <f>IF($Y9="","",J9-I9*W9/100)</f>
        <v/>
      </c>
    </row>
    <row r="10">
      <c r="A10" s="12" t="n"/>
      <c r="B10">
        <f>IF($Y10="","",INDEX('Per Line'!$D$2:$D$1001,$Y10)&amp;"")</f>
        <v/>
      </c>
      <c r="C10">
        <f>IF($Y10="","",INDEX('Per Line'!$C$2:$C$1001,$Y10)&amp;"")</f>
        <v/>
      </c>
      <c r="D10" s="11">
        <f>IF($Y10="","",INDEX('Per Line'!$F$2:$F$1001,$Y10))</f>
        <v/>
      </c>
      <c r="E10">
        <f>IF($Y10="","",INDEX('Per Line'!$G$2:$G$1001,$Y10)&amp;"")</f>
        <v/>
      </c>
      <c r="F10">
        <f>IF($Y10="","",INDEX('Per Line'!$I$2:$I$1001,$Y10)&amp;"")</f>
        <v/>
      </c>
      <c r="G10">
        <f>IF($Y10="","",INDEX('Per Line'!$J$2:$J$1001,$Y10)&amp;"")</f>
        <v/>
      </c>
      <c r="H10">
        <f>IF($Y10="","",INDEX('Per Line'!$K$2:$K$1001,$Y10)&amp;"")</f>
        <v/>
      </c>
      <c r="I10">
        <f>IF($Y10="","",INDEX('Per Line'!$O$2:$O$1001,$Y10))</f>
        <v/>
      </c>
      <c r="J10" s="7">
        <f>IF($Y10="","",IF(AND(ISNUMBER(L10),L10&gt;0,W10&gt;L10),I10*L10/100+(W10-L10),I10*W10/100))</f>
        <v/>
      </c>
      <c r="K10">
        <f>IF($Y10="","",INDEX('Per Line'!$Y$2:$Y$1001,$Y10)&amp;"")</f>
        <v/>
      </c>
      <c r="L10">
        <f>IF($Y10="","",INDEX('Per Line'!$AF$2:$AF$1001,$Y10))</f>
        <v/>
      </c>
      <c r="M10">
        <f>IF($Y10="","",IF(AND(ISNUMBER(L10),L10&gt;0),W10&gt;L10,FALSE))</f>
        <v/>
      </c>
      <c r="N10" s="7">
        <f>IF($Y10="","",SUMIFS('Per Line'!$X$2:$X$1001,'Per Line'!$D$2:$D$1001,$B10,'Per Line'!$AP$2:$AP$1001,1))</f>
        <v/>
      </c>
      <c r="O10">
        <f>IF($Y10="","",Settings!$C$7)</f>
        <v/>
      </c>
      <c r="P10" s="7">
        <f>IF($Y10="","",SUMIFS('Per Line'!$X$2:$X$1001,'Per Line'!$D$2:$D$1001,$B10,'Per Line'!$AO$2:$AO$1001,0,'Per Line'!$AP$2:$AP$1001,0))</f>
        <v/>
      </c>
      <c r="Q10" s="7">
        <f>IF($Y10="","",P10*O10)</f>
        <v/>
      </c>
      <c r="R10">
        <f>IF($Y10="","",Settings!$C$6)</f>
        <v/>
      </c>
      <c r="S10" s="7">
        <f>IF($Y10="","",SUMIFS('Per Line'!$X$2:$X$1001,'Per Line'!$D$2:$D$1001,$B10,'Per Line'!$AO$2:$AO$1001,1,'Per Line'!$AP$2:$AP$1001,0))</f>
        <v/>
      </c>
      <c r="T10" s="7">
        <f>IF($Y10="","",S10*R10)</f>
        <v/>
      </c>
      <c r="U10" s="7">
        <f>IF($Y10="","",T10+Q10)</f>
        <v/>
      </c>
      <c r="V10" s="7">
        <f>IF($Y10="","",W10-U10)</f>
        <v/>
      </c>
      <c r="W10" s="7">
        <f>IF($Y10="","",P10+S10+N10)</f>
        <v/>
      </c>
      <c r="X10" s="7">
        <f>IF($Y10="","",W10-U10-J10)</f>
        <v/>
      </c>
      <c r="Y10" s="13">
        <f>IF(ROWS($Y$2:$Y10)&lt;=MAX('Per Line'!$AN$2:$AN$1001),MATCH(ROWS($Y$2:$Y10),'Per Line'!$AN$2:$AN$1001,0),"")</f>
        <v/>
      </c>
      <c r="Z10" s="14">
        <f>IF($Y10="","",J10-I10*W10/100)</f>
        <v/>
      </c>
    </row>
    <row r="11">
      <c r="A11" s="12" t="n"/>
      <c r="B11">
        <f>IF($Y11="","",INDEX('Per Line'!$D$2:$D$1001,$Y11)&amp;"")</f>
        <v/>
      </c>
      <c r="C11">
        <f>IF($Y11="","",INDEX('Per Line'!$C$2:$C$1001,$Y11)&amp;"")</f>
        <v/>
      </c>
      <c r="D11" s="11">
        <f>IF($Y11="","",INDEX('Per Line'!$F$2:$F$1001,$Y11))</f>
        <v/>
      </c>
      <c r="E11">
        <f>IF($Y11="","",INDEX('Per Line'!$G$2:$G$1001,$Y11)&amp;"")</f>
        <v/>
      </c>
      <c r="F11">
        <f>IF($Y11="","",INDEX('Per Line'!$I$2:$I$1001,$Y11)&amp;"")</f>
        <v/>
      </c>
      <c r="G11">
        <f>IF($Y11="","",INDEX('Per Line'!$J$2:$J$1001,$Y11)&amp;"")</f>
        <v/>
      </c>
      <c r="H11">
        <f>IF($Y11="","",INDEX('Per Line'!$K$2:$K$1001,$Y11)&amp;"")</f>
        <v/>
      </c>
      <c r="I11">
        <f>IF($Y11="","",INDEX('Per Line'!$O$2:$O$1001,$Y11))</f>
        <v/>
      </c>
      <c r="J11" s="7">
        <f>IF($Y11="","",IF(AND(ISNUMBER(L11),L11&gt;0,W11&gt;L11),I11*L11/100+(W11-L11),I11*W11/100))</f>
        <v/>
      </c>
      <c r="K11">
        <f>IF($Y11="","",INDEX('Per Line'!$Y$2:$Y$1001,$Y11)&amp;"")</f>
        <v/>
      </c>
      <c r="L11">
        <f>IF($Y11="","",INDEX('Per Line'!$AF$2:$AF$1001,$Y11))</f>
        <v/>
      </c>
      <c r="M11">
        <f>IF($Y11="","",IF(AND(ISNUMBER(L11),L11&gt;0),W11&gt;L11,FALSE))</f>
        <v/>
      </c>
      <c r="N11" s="7">
        <f>IF($Y11="","",SUMIFS('Per Line'!$X$2:$X$1001,'Per Line'!$D$2:$D$1001,$B11,'Per Line'!$AP$2:$AP$1001,1))</f>
        <v/>
      </c>
      <c r="O11">
        <f>IF($Y11="","",Settings!$C$7)</f>
        <v/>
      </c>
      <c r="P11" s="7">
        <f>IF($Y11="","",SUMIFS('Per Line'!$X$2:$X$1001,'Per Line'!$D$2:$D$1001,$B11,'Per Line'!$AO$2:$AO$1001,0,'Per Line'!$AP$2:$AP$1001,0))</f>
        <v/>
      </c>
      <c r="Q11" s="7">
        <f>IF($Y11="","",P11*O11)</f>
        <v/>
      </c>
      <c r="R11">
        <f>IF($Y11="","",Settings!$C$6)</f>
        <v/>
      </c>
      <c r="S11" s="7">
        <f>IF($Y11="","",SUMIFS('Per Line'!$X$2:$X$1001,'Per Line'!$D$2:$D$1001,$B11,'Per Line'!$AO$2:$AO$1001,1,'Per Line'!$AP$2:$AP$1001,0))</f>
        <v/>
      </c>
      <c r="T11" s="7">
        <f>IF($Y11="","",S11*R11)</f>
        <v/>
      </c>
      <c r="U11" s="7">
        <f>IF($Y11="","",T11+Q11)</f>
        <v/>
      </c>
      <c r="V11" s="7">
        <f>IF($Y11="","",W11-U11)</f>
        <v/>
      </c>
      <c r="W11" s="7">
        <f>IF($Y11="","",P11+S11+N11)</f>
        <v/>
      </c>
      <c r="X11" s="7">
        <f>IF($Y11="","",W11-U11-J11)</f>
        <v/>
      </c>
      <c r="Y11" s="13">
        <f>IF(ROWS($Y$2:$Y11)&lt;=MAX('Per Line'!$AN$2:$AN$1001),MATCH(ROWS($Y$2:$Y11),'Per Line'!$AN$2:$AN$1001,0),"")</f>
        <v/>
      </c>
      <c r="Z11" s="14">
        <f>IF($Y11="","",J11-I11*W11/100)</f>
        <v/>
      </c>
    </row>
    <row r="12">
      <c r="A12" s="12" t="n"/>
      <c r="B12">
        <f>IF($Y12="","",INDEX('Per Line'!$D$2:$D$1001,$Y12)&amp;"")</f>
        <v/>
      </c>
      <c r="C12">
        <f>IF($Y12="","",INDEX('Per Line'!$C$2:$C$1001,$Y12)&amp;"")</f>
        <v/>
      </c>
      <c r="D12" s="11">
        <f>IF($Y12="","",INDEX('Per Line'!$F$2:$F$1001,$Y12))</f>
        <v/>
      </c>
      <c r="E12">
        <f>IF($Y12="","",INDEX('Per Line'!$G$2:$G$1001,$Y12)&amp;"")</f>
        <v/>
      </c>
      <c r="F12">
        <f>IF($Y12="","",INDEX('Per Line'!$I$2:$I$1001,$Y12)&amp;"")</f>
        <v/>
      </c>
      <c r="G12">
        <f>IF($Y12="","",INDEX('Per Line'!$J$2:$J$1001,$Y12)&amp;"")</f>
        <v/>
      </c>
      <c r="H12">
        <f>IF($Y12="","",INDEX('Per Line'!$K$2:$K$1001,$Y12)&amp;"")</f>
        <v/>
      </c>
      <c r="I12">
        <f>IF($Y12="","",INDEX('Per Line'!$O$2:$O$1001,$Y12))</f>
        <v/>
      </c>
      <c r="J12" s="7">
        <f>IF($Y12="","",IF(AND(ISNUMBER(L12),L12&gt;0,W12&gt;L12),I12*L12/100+(W12-L12),I12*W12/100))</f>
        <v/>
      </c>
      <c r="K12">
        <f>IF($Y12="","",INDEX('Per Line'!$Y$2:$Y$1001,$Y12)&amp;"")</f>
        <v/>
      </c>
      <c r="L12">
        <f>IF($Y12="","",INDEX('Per Line'!$AF$2:$AF$1001,$Y12))</f>
        <v/>
      </c>
      <c r="M12">
        <f>IF($Y12="","",IF(AND(ISNUMBER(L12),L12&gt;0),W12&gt;L12,FALSE))</f>
        <v/>
      </c>
      <c r="N12" s="7">
        <f>IF($Y12="","",SUMIFS('Per Line'!$X$2:$X$1001,'Per Line'!$D$2:$D$1001,$B12,'Per Line'!$AP$2:$AP$1001,1))</f>
        <v/>
      </c>
      <c r="O12">
        <f>IF($Y12="","",Settings!$C$7)</f>
        <v/>
      </c>
      <c r="P12" s="7">
        <f>IF($Y12="","",SUMIFS('Per Line'!$X$2:$X$1001,'Per Line'!$D$2:$D$1001,$B12,'Per Line'!$AO$2:$AO$1001,0,'Per Line'!$AP$2:$AP$1001,0))</f>
        <v/>
      </c>
      <c r="Q12" s="7">
        <f>IF($Y12="","",P12*O12)</f>
        <v/>
      </c>
      <c r="R12">
        <f>IF($Y12="","",Settings!$C$6)</f>
        <v/>
      </c>
      <c r="S12" s="7">
        <f>IF($Y12="","",SUMIFS('Per Line'!$X$2:$X$1001,'Per Line'!$D$2:$D$1001,$B12,'Per Line'!$AO$2:$AO$1001,1,'Per Line'!$AP$2:$AP$1001,0))</f>
        <v/>
      </c>
      <c r="T12" s="7">
        <f>IF($Y12="","",S12*R12)</f>
        <v/>
      </c>
      <c r="U12" s="7">
        <f>IF($Y12="","",T12+Q12)</f>
        <v/>
      </c>
      <c r="V12" s="7">
        <f>IF($Y12="","",W12-U12)</f>
        <v/>
      </c>
      <c r="W12" s="7">
        <f>IF($Y12="","",P12+S12+N12)</f>
        <v/>
      </c>
      <c r="X12" s="7">
        <f>IF($Y12="","",W12-U12-J12)</f>
        <v/>
      </c>
      <c r="Y12" s="13">
        <f>IF(ROWS($Y$2:$Y12)&lt;=MAX('Per Line'!$AN$2:$AN$1001),MATCH(ROWS($Y$2:$Y12),'Per Line'!$AN$2:$AN$1001,0),"")</f>
        <v/>
      </c>
      <c r="Z12" s="14">
        <f>IF($Y12="","",J12-I12*W12/100)</f>
        <v/>
      </c>
    </row>
    <row r="13">
      <c r="A13" s="12" t="n"/>
      <c r="B13">
        <f>IF($Y13="","",INDEX('Per Line'!$D$2:$D$1001,$Y13)&amp;"")</f>
        <v/>
      </c>
      <c r="C13">
        <f>IF($Y13="","",INDEX('Per Line'!$C$2:$C$1001,$Y13)&amp;"")</f>
        <v/>
      </c>
      <c r="D13" s="11">
        <f>IF($Y13="","",INDEX('Per Line'!$F$2:$F$1001,$Y13))</f>
        <v/>
      </c>
      <c r="E13">
        <f>IF($Y13="","",INDEX('Per Line'!$G$2:$G$1001,$Y13)&amp;"")</f>
        <v/>
      </c>
      <c r="F13">
        <f>IF($Y13="","",INDEX('Per Line'!$I$2:$I$1001,$Y13)&amp;"")</f>
        <v/>
      </c>
      <c r="G13">
        <f>IF($Y13="","",INDEX('Per Line'!$J$2:$J$1001,$Y13)&amp;"")</f>
        <v/>
      </c>
      <c r="H13">
        <f>IF($Y13="","",INDEX('Per Line'!$K$2:$K$1001,$Y13)&amp;"")</f>
        <v/>
      </c>
      <c r="I13">
        <f>IF($Y13="","",INDEX('Per Line'!$O$2:$O$1001,$Y13))</f>
        <v/>
      </c>
      <c r="J13" s="7">
        <f>IF($Y13="","",IF(AND(ISNUMBER(L13),L13&gt;0,W13&gt;L13),I13*L13/100+(W13-L13),I13*W13/100))</f>
        <v/>
      </c>
      <c r="K13">
        <f>IF($Y13="","",INDEX('Per Line'!$Y$2:$Y$1001,$Y13)&amp;"")</f>
        <v/>
      </c>
      <c r="L13">
        <f>IF($Y13="","",INDEX('Per Line'!$AF$2:$AF$1001,$Y13))</f>
        <v/>
      </c>
      <c r="M13">
        <f>IF($Y13="","",IF(AND(ISNUMBER(L13),L13&gt;0),W13&gt;L13,FALSE))</f>
        <v/>
      </c>
      <c r="N13" s="7">
        <f>IF($Y13="","",SUMIFS('Per Line'!$X$2:$X$1001,'Per Line'!$D$2:$D$1001,$B13,'Per Line'!$AP$2:$AP$1001,1))</f>
        <v/>
      </c>
      <c r="O13">
        <f>IF($Y13="","",Settings!$C$7)</f>
        <v/>
      </c>
      <c r="P13" s="7">
        <f>IF($Y13="","",SUMIFS('Per Line'!$X$2:$X$1001,'Per Line'!$D$2:$D$1001,$B13,'Per Line'!$AO$2:$AO$1001,0,'Per Line'!$AP$2:$AP$1001,0))</f>
        <v/>
      </c>
      <c r="Q13" s="7">
        <f>IF($Y13="","",P13*O13)</f>
        <v/>
      </c>
      <c r="R13">
        <f>IF($Y13="","",Settings!$C$6)</f>
        <v/>
      </c>
      <c r="S13" s="7">
        <f>IF($Y13="","",SUMIFS('Per Line'!$X$2:$X$1001,'Per Line'!$D$2:$D$1001,$B13,'Per Line'!$AO$2:$AO$1001,1,'Per Line'!$AP$2:$AP$1001,0))</f>
        <v/>
      </c>
      <c r="T13" s="7">
        <f>IF($Y13="","",S13*R13)</f>
        <v/>
      </c>
      <c r="U13" s="7">
        <f>IF($Y13="","",T13+Q13)</f>
        <v/>
      </c>
      <c r="V13" s="7">
        <f>IF($Y13="","",W13-U13)</f>
        <v/>
      </c>
      <c r="W13" s="7">
        <f>IF($Y13="","",P13+S13+N13)</f>
        <v/>
      </c>
      <c r="X13" s="7">
        <f>IF($Y13="","",W13-U13-J13)</f>
        <v/>
      </c>
      <c r="Y13" s="13">
        <f>IF(ROWS($Y$2:$Y13)&lt;=MAX('Per Line'!$AN$2:$AN$1001),MATCH(ROWS($Y$2:$Y13),'Per Line'!$AN$2:$AN$1001,0),"")</f>
        <v/>
      </c>
      <c r="Z13" s="14">
        <f>IF($Y13="","",J13-I13*W13/100)</f>
        <v/>
      </c>
    </row>
    <row r="14">
      <c r="A14" s="12" t="n"/>
      <c r="B14">
        <f>IF($Y14="","",INDEX('Per Line'!$D$2:$D$1001,$Y14)&amp;"")</f>
        <v/>
      </c>
      <c r="C14">
        <f>IF($Y14="","",INDEX('Per Line'!$C$2:$C$1001,$Y14)&amp;"")</f>
        <v/>
      </c>
      <c r="D14" s="11">
        <f>IF($Y14="","",INDEX('Per Line'!$F$2:$F$1001,$Y14))</f>
        <v/>
      </c>
      <c r="E14">
        <f>IF($Y14="","",INDEX('Per Line'!$G$2:$G$1001,$Y14)&amp;"")</f>
        <v/>
      </c>
      <c r="F14">
        <f>IF($Y14="","",INDEX('Per Line'!$I$2:$I$1001,$Y14)&amp;"")</f>
        <v/>
      </c>
      <c r="G14">
        <f>IF($Y14="","",INDEX('Per Line'!$J$2:$J$1001,$Y14)&amp;"")</f>
        <v/>
      </c>
      <c r="H14">
        <f>IF($Y14="","",INDEX('Per Line'!$K$2:$K$1001,$Y14)&amp;"")</f>
        <v/>
      </c>
      <c r="I14">
        <f>IF($Y14="","",INDEX('Per Line'!$O$2:$O$1001,$Y14))</f>
        <v/>
      </c>
      <c r="J14" s="7">
        <f>IF($Y14="","",IF(AND(ISNUMBER(L14),L14&gt;0,W14&gt;L14),I14*L14/100+(W14-L14),I14*W14/100))</f>
        <v/>
      </c>
      <c r="K14">
        <f>IF($Y14="","",INDEX('Per Line'!$Y$2:$Y$1001,$Y14)&amp;"")</f>
        <v/>
      </c>
      <c r="L14">
        <f>IF($Y14="","",INDEX('Per Line'!$AF$2:$AF$1001,$Y14))</f>
        <v/>
      </c>
      <c r="M14">
        <f>IF($Y14="","",IF(AND(ISNUMBER(L14),L14&gt;0),W14&gt;L14,FALSE))</f>
        <v/>
      </c>
      <c r="N14" s="7">
        <f>IF($Y14="","",SUMIFS('Per Line'!$X$2:$X$1001,'Per Line'!$D$2:$D$1001,$B14,'Per Line'!$AP$2:$AP$1001,1))</f>
        <v/>
      </c>
      <c r="O14">
        <f>IF($Y14="","",Settings!$C$7)</f>
        <v/>
      </c>
      <c r="P14" s="7">
        <f>IF($Y14="","",SUMIFS('Per Line'!$X$2:$X$1001,'Per Line'!$D$2:$D$1001,$B14,'Per Line'!$AO$2:$AO$1001,0,'Per Line'!$AP$2:$AP$1001,0))</f>
        <v/>
      </c>
      <c r="Q14" s="7">
        <f>IF($Y14="","",P14*O14)</f>
        <v/>
      </c>
      <c r="R14">
        <f>IF($Y14="","",Settings!$C$6)</f>
        <v/>
      </c>
      <c r="S14" s="7">
        <f>IF($Y14="","",SUMIFS('Per Line'!$X$2:$X$1001,'Per Line'!$D$2:$D$1001,$B14,'Per Line'!$AO$2:$AO$1001,1,'Per Line'!$AP$2:$AP$1001,0))</f>
        <v/>
      </c>
      <c r="T14" s="7">
        <f>IF($Y14="","",S14*R14)</f>
        <v/>
      </c>
      <c r="U14" s="7">
        <f>IF($Y14="","",T14+Q14)</f>
        <v/>
      </c>
      <c r="V14" s="7">
        <f>IF($Y14="","",W14-U14)</f>
        <v/>
      </c>
      <c r="W14" s="7">
        <f>IF($Y14="","",P14+S14+N14)</f>
        <v/>
      </c>
      <c r="X14" s="7">
        <f>IF($Y14="","",W14-U14-J14)</f>
        <v/>
      </c>
      <c r="Y14" s="13">
        <f>IF(ROWS($Y$2:$Y14)&lt;=MAX('Per Line'!$AN$2:$AN$1001),MATCH(ROWS($Y$2:$Y14),'Per Line'!$AN$2:$AN$1001,0),"")</f>
        <v/>
      </c>
      <c r="Z14" s="14">
        <f>IF($Y14="","",J14-I14*W14/100)</f>
        <v/>
      </c>
    </row>
    <row r="15">
      <c r="A15" s="12" t="n"/>
      <c r="B15">
        <f>IF($Y15="","",INDEX('Per Line'!$D$2:$D$1001,$Y15)&amp;"")</f>
        <v/>
      </c>
      <c r="C15">
        <f>IF($Y15="","",INDEX('Per Line'!$C$2:$C$1001,$Y15)&amp;"")</f>
        <v/>
      </c>
      <c r="D15" s="11">
        <f>IF($Y15="","",INDEX('Per Line'!$F$2:$F$1001,$Y15))</f>
        <v/>
      </c>
      <c r="E15">
        <f>IF($Y15="","",INDEX('Per Line'!$G$2:$G$1001,$Y15)&amp;"")</f>
        <v/>
      </c>
      <c r="F15">
        <f>IF($Y15="","",INDEX('Per Line'!$I$2:$I$1001,$Y15)&amp;"")</f>
        <v/>
      </c>
      <c r="G15">
        <f>IF($Y15="","",INDEX('Per Line'!$J$2:$J$1001,$Y15)&amp;"")</f>
        <v/>
      </c>
      <c r="H15">
        <f>IF($Y15="","",INDEX('Per Line'!$K$2:$K$1001,$Y15)&amp;"")</f>
        <v/>
      </c>
      <c r="I15">
        <f>IF($Y15="","",INDEX('Per Line'!$O$2:$O$1001,$Y15))</f>
        <v/>
      </c>
      <c r="J15" s="7">
        <f>IF($Y15="","",IF(AND(ISNUMBER(L15),L15&gt;0,W15&gt;L15),I15*L15/100+(W15-L15),I15*W15/100))</f>
        <v/>
      </c>
      <c r="K15">
        <f>IF($Y15="","",INDEX('Per Line'!$Y$2:$Y$1001,$Y15)&amp;"")</f>
        <v/>
      </c>
      <c r="L15">
        <f>IF($Y15="","",INDEX('Per Line'!$AF$2:$AF$1001,$Y15))</f>
        <v/>
      </c>
      <c r="M15">
        <f>IF($Y15="","",IF(AND(ISNUMBER(L15),L15&gt;0),W15&gt;L15,FALSE))</f>
        <v/>
      </c>
      <c r="N15" s="7">
        <f>IF($Y15="","",SUMIFS('Per Line'!$X$2:$X$1001,'Per Line'!$D$2:$D$1001,$B15,'Per Line'!$AP$2:$AP$1001,1))</f>
        <v/>
      </c>
      <c r="O15">
        <f>IF($Y15="","",Settings!$C$7)</f>
        <v/>
      </c>
      <c r="P15" s="7">
        <f>IF($Y15="","",SUMIFS('Per Line'!$X$2:$X$1001,'Per Line'!$D$2:$D$1001,$B15,'Per Line'!$AO$2:$AO$1001,0,'Per Line'!$AP$2:$AP$1001,0))</f>
        <v/>
      </c>
      <c r="Q15" s="7">
        <f>IF($Y15="","",P15*O15)</f>
        <v/>
      </c>
      <c r="R15">
        <f>IF($Y15="","",Settings!$C$6)</f>
        <v/>
      </c>
      <c r="S15" s="7">
        <f>IF($Y15="","",SUMIFS('Per Line'!$X$2:$X$1001,'Per Line'!$D$2:$D$1001,$B15,'Per Line'!$AO$2:$AO$1001,1,'Per Line'!$AP$2:$AP$1001,0))</f>
        <v/>
      </c>
      <c r="T15" s="7">
        <f>IF($Y15="","",S15*R15)</f>
        <v/>
      </c>
      <c r="U15" s="7">
        <f>IF($Y15="","",T15+Q15)</f>
        <v/>
      </c>
      <c r="V15" s="7">
        <f>IF($Y15="","",W15-U15)</f>
        <v/>
      </c>
      <c r="W15" s="7">
        <f>IF($Y15="","",P15+S15+N15)</f>
        <v/>
      </c>
      <c r="X15" s="7">
        <f>IF($Y15="","",W15-U15-J15)</f>
        <v/>
      </c>
      <c r="Y15" s="13">
        <f>IF(ROWS($Y$2:$Y15)&lt;=MAX('Per Line'!$AN$2:$AN$1001),MATCH(ROWS($Y$2:$Y15),'Per Line'!$AN$2:$AN$1001,0),"")</f>
        <v/>
      </c>
      <c r="Z15" s="14">
        <f>IF($Y15="","",J15-I15*W15/100)</f>
        <v/>
      </c>
    </row>
    <row r="16">
      <c r="A16" s="12" t="n"/>
      <c r="B16">
        <f>IF($Y16="","",INDEX('Per Line'!$D$2:$D$1001,$Y16)&amp;"")</f>
        <v/>
      </c>
      <c r="C16">
        <f>IF($Y16="","",INDEX('Per Line'!$C$2:$C$1001,$Y16)&amp;"")</f>
        <v/>
      </c>
      <c r="D16" s="11">
        <f>IF($Y16="","",INDEX('Per Line'!$F$2:$F$1001,$Y16))</f>
        <v/>
      </c>
      <c r="E16">
        <f>IF($Y16="","",INDEX('Per Line'!$G$2:$G$1001,$Y16)&amp;"")</f>
        <v/>
      </c>
      <c r="F16">
        <f>IF($Y16="","",INDEX('Per Line'!$I$2:$I$1001,$Y16)&amp;"")</f>
        <v/>
      </c>
      <c r="G16">
        <f>IF($Y16="","",INDEX('Per Line'!$J$2:$J$1001,$Y16)&amp;"")</f>
        <v/>
      </c>
      <c r="H16">
        <f>IF($Y16="","",INDEX('Per Line'!$K$2:$K$1001,$Y16)&amp;"")</f>
        <v/>
      </c>
      <c r="I16">
        <f>IF($Y16="","",INDEX('Per Line'!$O$2:$O$1001,$Y16))</f>
        <v/>
      </c>
      <c r="J16" s="7">
        <f>IF($Y16="","",IF(AND(ISNUMBER(L16),L16&gt;0,W16&gt;L16),I16*L16/100+(W16-L16),I16*W16/100))</f>
        <v/>
      </c>
      <c r="K16">
        <f>IF($Y16="","",INDEX('Per Line'!$Y$2:$Y$1001,$Y16)&amp;"")</f>
        <v/>
      </c>
      <c r="L16">
        <f>IF($Y16="","",INDEX('Per Line'!$AF$2:$AF$1001,$Y16))</f>
        <v/>
      </c>
      <c r="M16">
        <f>IF($Y16="","",IF(AND(ISNUMBER(L16),L16&gt;0),W16&gt;L16,FALSE))</f>
        <v/>
      </c>
      <c r="N16" s="7">
        <f>IF($Y16="","",SUMIFS('Per Line'!$X$2:$X$1001,'Per Line'!$D$2:$D$1001,$B16,'Per Line'!$AP$2:$AP$1001,1))</f>
        <v/>
      </c>
      <c r="O16">
        <f>IF($Y16="","",Settings!$C$7)</f>
        <v/>
      </c>
      <c r="P16" s="7">
        <f>IF($Y16="","",SUMIFS('Per Line'!$X$2:$X$1001,'Per Line'!$D$2:$D$1001,$B16,'Per Line'!$AO$2:$AO$1001,0,'Per Line'!$AP$2:$AP$1001,0))</f>
        <v/>
      </c>
      <c r="Q16" s="7">
        <f>IF($Y16="","",P16*O16)</f>
        <v/>
      </c>
      <c r="R16">
        <f>IF($Y16="","",Settings!$C$6)</f>
        <v/>
      </c>
      <c r="S16" s="7">
        <f>IF($Y16="","",SUMIFS('Per Line'!$X$2:$X$1001,'Per Line'!$D$2:$D$1001,$B16,'Per Line'!$AO$2:$AO$1001,1,'Per Line'!$AP$2:$AP$1001,0))</f>
        <v/>
      </c>
      <c r="T16" s="7">
        <f>IF($Y16="","",S16*R16)</f>
        <v/>
      </c>
      <c r="U16" s="7">
        <f>IF($Y16="","",T16+Q16)</f>
        <v/>
      </c>
      <c r="V16" s="7">
        <f>IF($Y16="","",W16-U16)</f>
        <v/>
      </c>
      <c r="W16" s="7">
        <f>IF($Y16="","",P16+S16+N16)</f>
        <v/>
      </c>
      <c r="X16" s="7">
        <f>IF($Y16="","",W16-U16-J16)</f>
        <v/>
      </c>
      <c r="Y16" s="13">
        <f>IF(ROWS($Y$2:$Y16)&lt;=MAX('Per Line'!$AN$2:$AN$1001),MATCH(ROWS($Y$2:$Y16),'Per Line'!$AN$2:$AN$1001,0),"")</f>
        <v/>
      </c>
      <c r="Z16" s="14">
        <f>IF($Y16="","",J16-I16*W16/100)</f>
        <v/>
      </c>
    </row>
    <row r="17">
      <c r="A17" s="12" t="n"/>
      <c r="B17">
        <f>IF($Y17="","",INDEX('Per Line'!$D$2:$D$1001,$Y17)&amp;"")</f>
        <v/>
      </c>
      <c r="C17">
        <f>IF($Y17="","",INDEX('Per Line'!$C$2:$C$1001,$Y17)&amp;"")</f>
        <v/>
      </c>
      <c r="D17" s="11">
        <f>IF($Y17="","",INDEX('Per Line'!$F$2:$F$1001,$Y17))</f>
        <v/>
      </c>
      <c r="E17">
        <f>IF($Y17="","",INDEX('Per Line'!$G$2:$G$1001,$Y17)&amp;"")</f>
        <v/>
      </c>
      <c r="F17">
        <f>IF($Y17="","",INDEX('Per Line'!$I$2:$I$1001,$Y17)&amp;"")</f>
        <v/>
      </c>
      <c r="G17">
        <f>IF($Y17="","",INDEX('Per Line'!$J$2:$J$1001,$Y17)&amp;"")</f>
        <v/>
      </c>
      <c r="H17">
        <f>IF($Y17="","",INDEX('Per Line'!$K$2:$K$1001,$Y17)&amp;"")</f>
        <v/>
      </c>
      <c r="I17">
        <f>IF($Y17="","",INDEX('Per Line'!$O$2:$O$1001,$Y17))</f>
        <v/>
      </c>
      <c r="J17" s="7">
        <f>IF($Y17="","",IF(AND(ISNUMBER(L17),L17&gt;0,W17&gt;L17),I17*L17/100+(W17-L17),I17*W17/100))</f>
        <v/>
      </c>
      <c r="K17">
        <f>IF($Y17="","",INDEX('Per Line'!$Y$2:$Y$1001,$Y17)&amp;"")</f>
        <v/>
      </c>
      <c r="L17">
        <f>IF($Y17="","",INDEX('Per Line'!$AF$2:$AF$1001,$Y17))</f>
        <v/>
      </c>
      <c r="M17">
        <f>IF($Y17="","",IF(AND(ISNUMBER(L17),L17&gt;0),W17&gt;L17,FALSE))</f>
        <v/>
      </c>
      <c r="N17" s="7">
        <f>IF($Y17="","",SUMIFS('Per Line'!$X$2:$X$1001,'Per Line'!$D$2:$D$1001,$B17,'Per Line'!$AP$2:$AP$1001,1))</f>
        <v/>
      </c>
      <c r="O17">
        <f>IF($Y17="","",Settings!$C$7)</f>
        <v/>
      </c>
      <c r="P17" s="7">
        <f>IF($Y17="","",SUMIFS('Per Line'!$X$2:$X$1001,'Per Line'!$D$2:$D$1001,$B17,'Per Line'!$AO$2:$AO$1001,0,'Per Line'!$AP$2:$AP$1001,0))</f>
        <v/>
      </c>
      <c r="Q17" s="7">
        <f>IF($Y17="","",P17*O17)</f>
        <v/>
      </c>
      <c r="R17">
        <f>IF($Y17="","",Settings!$C$6)</f>
        <v/>
      </c>
      <c r="S17" s="7">
        <f>IF($Y17="","",SUMIFS('Per Line'!$X$2:$X$1001,'Per Line'!$D$2:$D$1001,$B17,'Per Line'!$AO$2:$AO$1001,1,'Per Line'!$AP$2:$AP$1001,0))</f>
        <v/>
      </c>
      <c r="T17" s="7">
        <f>IF($Y17="","",S17*R17)</f>
        <v/>
      </c>
      <c r="U17" s="7">
        <f>IF($Y17="","",T17+Q17)</f>
        <v/>
      </c>
      <c r="V17" s="7">
        <f>IF($Y17="","",W17-U17)</f>
        <v/>
      </c>
      <c r="W17" s="7">
        <f>IF($Y17="","",P17+S17+N17)</f>
        <v/>
      </c>
      <c r="X17" s="7">
        <f>IF($Y17="","",W17-U17-J17)</f>
        <v/>
      </c>
      <c r="Y17" s="13">
        <f>IF(ROWS($Y$2:$Y17)&lt;=MAX('Per Line'!$AN$2:$AN$1001),MATCH(ROWS($Y$2:$Y17),'Per Line'!$AN$2:$AN$1001,0),"")</f>
        <v/>
      </c>
      <c r="Z17" s="14">
        <f>IF($Y17="","",J17-I17*W17/100)</f>
        <v/>
      </c>
    </row>
    <row r="18">
      <c r="A18" s="12" t="n"/>
      <c r="B18">
        <f>IF($Y18="","",INDEX('Per Line'!$D$2:$D$1001,$Y18)&amp;"")</f>
        <v/>
      </c>
      <c r="C18">
        <f>IF($Y18="","",INDEX('Per Line'!$C$2:$C$1001,$Y18)&amp;"")</f>
        <v/>
      </c>
      <c r="D18" s="11">
        <f>IF($Y18="","",INDEX('Per Line'!$F$2:$F$1001,$Y18))</f>
        <v/>
      </c>
      <c r="E18">
        <f>IF($Y18="","",INDEX('Per Line'!$G$2:$G$1001,$Y18)&amp;"")</f>
        <v/>
      </c>
      <c r="F18">
        <f>IF($Y18="","",INDEX('Per Line'!$I$2:$I$1001,$Y18)&amp;"")</f>
        <v/>
      </c>
      <c r="G18">
        <f>IF($Y18="","",INDEX('Per Line'!$J$2:$J$1001,$Y18)&amp;"")</f>
        <v/>
      </c>
      <c r="H18">
        <f>IF($Y18="","",INDEX('Per Line'!$K$2:$K$1001,$Y18)&amp;"")</f>
        <v/>
      </c>
      <c r="I18">
        <f>IF($Y18="","",INDEX('Per Line'!$O$2:$O$1001,$Y18))</f>
        <v/>
      </c>
      <c r="J18" s="7">
        <f>IF($Y18="","",IF(AND(ISNUMBER(L18),L18&gt;0,W18&gt;L18),I18*L18/100+(W18-L18),I18*W18/100))</f>
        <v/>
      </c>
      <c r="K18">
        <f>IF($Y18="","",INDEX('Per Line'!$Y$2:$Y$1001,$Y18)&amp;"")</f>
        <v/>
      </c>
      <c r="L18">
        <f>IF($Y18="","",INDEX('Per Line'!$AF$2:$AF$1001,$Y18))</f>
        <v/>
      </c>
      <c r="M18">
        <f>IF($Y18="","",IF(AND(ISNUMBER(L18),L18&gt;0),W18&gt;L18,FALSE))</f>
        <v/>
      </c>
      <c r="N18" s="7">
        <f>IF($Y18="","",SUMIFS('Per Line'!$X$2:$X$1001,'Per Line'!$D$2:$D$1001,$B18,'Per Line'!$AP$2:$AP$1001,1))</f>
        <v/>
      </c>
      <c r="O18">
        <f>IF($Y18="","",Settings!$C$7)</f>
        <v/>
      </c>
      <c r="P18" s="7">
        <f>IF($Y18="","",SUMIFS('Per Line'!$X$2:$X$1001,'Per Line'!$D$2:$D$1001,$B18,'Per Line'!$AO$2:$AO$1001,0,'Per Line'!$AP$2:$AP$1001,0))</f>
        <v/>
      </c>
      <c r="Q18" s="7">
        <f>IF($Y18="","",P18*O18)</f>
        <v/>
      </c>
      <c r="R18">
        <f>IF($Y18="","",Settings!$C$6)</f>
        <v/>
      </c>
      <c r="S18" s="7">
        <f>IF($Y18="","",SUMIFS('Per Line'!$X$2:$X$1001,'Per Line'!$D$2:$D$1001,$B18,'Per Line'!$AO$2:$AO$1001,1,'Per Line'!$AP$2:$AP$1001,0))</f>
        <v/>
      </c>
      <c r="T18" s="7">
        <f>IF($Y18="","",S18*R18)</f>
        <v/>
      </c>
      <c r="U18" s="7">
        <f>IF($Y18="","",T18+Q18)</f>
        <v/>
      </c>
      <c r="V18" s="7">
        <f>IF($Y18="","",W18-U18)</f>
        <v/>
      </c>
      <c r="W18" s="7">
        <f>IF($Y18="","",P18+S18+N18)</f>
        <v/>
      </c>
      <c r="X18" s="7">
        <f>IF($Y18="","",W18-U18-J18)</f>
        <v/>
      </c>
      <c r="Y18" s="13">
        <f>IF(ROWS($Y$2:$Y18)&lt;=MAX('Per Line'!$AN$2:$AN$1001),MATCH(ROWS($Y$2:$Y18),'Per Line'!$AN$2:$AN$1001,0),"")</f>
        <v/>
      </c>
      <c r="Z18" s="14">
        <f>IF($Y18="","",J18-I18*W18/100)</f>
        <v/>
      </c>
    </row>
    <row r="19">
      <c r="A19" s="12" t="n"/>
      <c r="B19">
        <f>IF($Y19="","",INDEX('Per Line'!$D$2:$D$1001,$Y19)&amp;"")</f>
        <v/>
      </c>
      <c r="C19">
        <f>IF($Y19="","",INDEX('Per Line'!$C$2:$C$1001,$Y19)&amp;"")</f>
        <v/>
      </c>
      <c r="D19" s="11">
        <f>IF($Y19="","",INDEX('Per Line'!$F$2:$F$1001,$Y19))</f>
        <v/>
      </c>
      <c r="E19">
        <f>IF($Y19="","",INDEX('Per Line'!$G$2:$G$1001,$Y19)&amp;"")</f>
        <v/>
      </c>
      <c r="F19">
        <f>IF($Y19="","",INDEX('Per Line'!$I$2:$I$1001,$Y19)&amp;"")</f>
        <v/>
      </c>
      <c r="G19">
        <f>IF($Y19="","",INDEX('Per Line'!$J$2:$J$1001,$Y19)&amp;"")</f>
        <v/>
      </c>
      <c r="H19">
        <f>IF($Y19="","",INDEX('Per Line'!$K$2:$K$1001,$Y19)&amp;"")</f>
        <v/>
      </c>
      <c r="I19">
        <f>IF($Y19="","",INDEX('Per Line'!$O$2:$O$1001,$Y19))</f>
        <v/>
      </c>
      <c r="J19" s="7">
        <f>IF($Y19="","",IF(AND(ISNUMBER(L19),L19&gt;0,W19&gt;L19),I19*L19/100+(W19-L19),I19*W19/100))</f>
        <v/>
      </c>
      <c r="K19">
        <f>IF($Y19="","",INDEX('Per Line'!$Y$2:$Y$1001,$Y19)&amp;"")</f>
        <v/>
      </c>
      <c r="L19">
        <f>IF($Y19="","",INDEX('Per Line'!$AF$2:$AF$1001,$Y19))</f>
        <v/>
      </c>
      <c r="M19">
        <f>IF($Y19="","",IF(AND(ISNUMBER(L19),L19&gt;0),W19&gt;L19,FALSE))</f>
        <v/>
      </c>
      <c r="N19" s="7">
        <f>IF($Y19="","",SUMIFS('Per Line'!$X$2:$X$1001,'Per Line'!$D$2:$D$1001,$B19,'Per Line'!$AP$2:$AP$1001,1))</f>
        <v/>
      </c>
      <c r="O19">
        <f>IF($Y19="","",Settings!$C$7)</f>
        <v/>
      </c>
      <c r="P19" s="7">
        <f>IF($Y19="","",SUMIFS('Per Line'!$X$2:$X$1001,'Per Line'!$D$2:$D$1001,$B19,'Per Line'!$AO$2:$AO$1001,0,'Per Line'!$AP$2:$AP$1001,0))</f>
        <v/>
      </c>
      <c r="Q19" s="7">
        <f>IF($Y19="","",P19*O19)</f>
        <v/>
      </c>
      <c r="R19">
        <f>IF($Y19="","",Settings!$C$6)</f>
        <v/>
      </c>
      <c r="S19" s="7">
        <f>IF($Y19="","",SUMIFS('Per Line'!$X$2:$X$1001,'Per Line'!$D$2:$D$1001,$B19,'Per Line'!$AO$2:$AO$1001,1,'Per Line'!$AP$2:$AP$1001,0))</f>
        <v/>
      </c>
      <c r="T19" s="7">
        <f>IF($Y19="","",S19*R19)</f>
        <v/>
      </c>
      <c r="U19" s="7">
        <f>IF($Y19="","",T19+Q19)</f>
        <v/>
      </c>
      <c r="V19" s="7">
        <f>IF($Y19="","",W19-U19)</f>
        <v/>
      </c>
      <c r="W19" s="7">
        <f>IF($Y19="","",P19+S19+N19)</f>
        <v/>
      </c>
      <c r="X19" s="7">
        <f>IF($Y19="","",W19-U19-J19)</f>
        <v/>
      </c>
      <c r="Y19" s="13">
        <f>IF(ROWS($Y$2:$Y19)&lt;=MAX('Per Line'!$AN$2:$AN$1001),MATCH(ROWS($Y$2:$Y19),'Per Line'!$AN$2:$AN$1001,0),"")</f>
        <v/>
      </c>
      <c r="Z19" s="14">
        <f>IF($Y19="","",J19-I19*W19/100)</f>
        <v/>
      </c>
    </row>
    <row r="20">
      <c r="A20" s="12" t="n"/>
      <c r="B20">
        <f>IF($Y20="","",INDEX('Per Line'!$D$2:$D$1001,$Y20)&amp;"")</f>
        <v/>
      </c>
      <c r="C20">
        <f>IF($Y20="","",INDEX('Per Line'!$C$2:$C$1001,$Y20)&amp;"")</f>
        <v/>
      </c>
      <c r="D20" s="11">
        <f>IF($Y20="","",INDEX('Per Line'!$F$2:$F$1001,$Y20))</f>
        <v/>
      </c>
      <c r="E20">
        <f>IF($Y20="","",INDEX('Per Line'!$G$2:$G$1001,$Y20)&amp;"")</f>
        <v/>
      </c>
      <c r="F20">
        <f>IF($Y20="","",INDEX('Per Line'!$I$2:$I$1001,$Y20)&amp;"")</f>
        <v/>
      </c>
      <c r="G20">
        <f>IF($Y20="","",INDEX('Per Line'!$J$2:$J$1001,$Y20)&amp;"")</f>
        <v/>
      </c>
      <c r="H20">
        <f>IF($Y20="","",INDEX('Per Line'!$K$2:$K$1001,$Y20)&amp;"")</f>
        <v/>
      </c>
      <c r="I20">
        <f>IF($Y20="","",INDEX('Per Line'!$O$2:$O$1001,$Y20))</f>
        <v/>
      </c>
      <c r="J20" s="7">
        <f>IF($Y20="","",IF(AND(ISNUMBER(L20),L20&gt;0,W20&gt;L20),I20*L20/100+(W20-L20),I20*W20/100))</f>
        <v/>
      </c>
      <c r="K20">
        <f>IF($Y20="","",INDEX('Per Line'!$Y$2:$Y$1001,$Y20)&amp;"")</f>
        <v/>
      </c>
      <c r="L20">
        <f>IF($Y20="","",INDEX('Per Line'!$AF$2:$AF$1001,$Y20))</f>
        <v/>
      </c>
      <c r="M20">
        <f>IF($Y20="","",IF(AND(ISNUMBER(L20),L20&gt;0),W20&gt;L20,FALSE))</f>
        <v/>
      </c>
      <c r="N20" s="7">
        <f>IF($Y20="","",SUMIFS('Per Line'!$X$2:$X$1001,'Per Line'!$D$2:$D$1001,$B20,'Per Line'!$AP$2:$AP$1001,1))</f>
        <v/>
      </c>
      <c r="O20">
        <f>IF($Y20="","",Settings!$C$7)</f>
        <v/>
      </c>
      <c r="P20" s="7">
        <f>IF($Y20="","",SUMIFS('Per Line'!$X$2:$X$1001,'Per Line'!$D$2:$D$1001,$B20,'Per Line'!$AO$2:$AO$1001,0,'Per Line'!$AP$2:$AP$1001,0))</f>
        <v/>
      </c>
      <c r="Q20" s="7">
        <f>IF($Y20="","",P20*O20)</f>
        <v/>
      </c>
      <c r="R20">
        <f>IF($Y20="","",Settings!$C$6)</f>
        <v/>
      </c>
      <c r="S20" s="7">
        <f>IF($Y20="","",SUMIFS('Per Line'!$X$2:$X$1001,'Per Line'!$D$2:$D$1001,$B20,'Per Line'!$AO$2:$AO$1001,1,'Per Line'!$AP$2:$AP$1001,0))</f>
        <v/>
      </c>
      <c r="T20" s="7">
        <f>IF($Y20="","",S20*R20)</f>
        <v/>
      </c>
      <c r="U20" s="7">
        <f>IF($Y20="","",T20+Q20)</f>
        <v/>
      </c>
      <c r="V20" s="7">
        <f>IF($Y20="","",W20-U20)</f>
        <v/>
      </c>
      <c r="W20" s="7">
        <f>IF($Y20="","",P20+S20+N20)</f>
        <v/>
      </c>
      <c r="X20" s="7">
        <f>IF($Y20="","",W20-U20-J20)</f>
        <v/>
      </c>
      <c r="Y20" s="13">
        <f>IF(ROWS($Y$2:$Y20)&lt;=MAX('Per Line'!$AN$2:$AN$1001),MATCH(ROWS($Y$2:$Y20),'Per Line'!$AN$2:$AN$1001,0),"")</f>
        <v/>
      </c>
      <c r="Z20" s="14">
        <f>IF($Y20="","",J20-I20*W20/100)</f>
        <v/>
      </c>
    </row>
    <row r="21">
      <c r="A21" s="12" t="n"/>
      <c r="B21">
        <f>IF($Y21="","",INDEX('Per Line'!$D$2:$D$1001,$Y21)&amp;"")</f>
        <v/>
      </c>
      <c r="C21">
        <f>IF($Y21="","",INDEX('Per Line'!$C$2:$C$1001,$Y21)&amp;"")</f>
        <v/>
      </c>
      <c r="D21" s="11">
        <f>IF($Y21="","",INDEX('Per Line'!$F$2:$F$1001,$Y21))</f>
        <v/>
      </c>
      <c r="E21">
        <f>IF($Y21="","",INDEX('Per Line'!$G$2:$G$1001,$Y21)&amp;"")</f>
        <v/>
      </c>
      <c r="F21">
        <f>IF($Y21="","",INDEX('Per Line'!$I$2:$I$1001,$Y21)&amp;"")</f>
        <v/>
      </c>
      <c r="G21">
        <f>IF($Y21="","",INDEX('Per Line'!$J$2:$J$1001,$Y21)&amp;"")</f>
        <v/>
      </c>
      <c r="H21">
        <f>IF($Y21="","",INDEX('Per Line'!$K$2:$K$1001,$Y21)&amp;"")</f>
        <v/>
      </c>
      <c r="I21">
        <f>IF($Y21="","",INDEX('Per Line'!$O$2:$O$1001,$Y21))</f>
        <v/>
      </c>
      <c r="J21" s="7">
        <f>IF($Y21="","",IF(AND(ISNUMBER(L21),L21&gt;0,W21&gt;L21),I21*L21/100+(W21-L21),I21*W21/100))</f>
        <v/>
      </c>
      <c r="K21">
        <f>IF($Y21="","",INDEX('Per Line'!$Y$2:$Y$1001,$Y21)&amp;"")</f>
        <v/>
      </c>
      <c r="L21">
        <f>IF($Y21="","",INDEX('Per Line'!$AF$2:$AF$1001,$Y21))</f>
        <v/>
      </c>
      <c r="M21">
        <f>IF($Y21="","",IF(AND(ISNUMBER(L21),L21&gt;0),W21&gt;L21,FALSE))</f>
        <v/>
      </c>
      <c r="N21" s="7">
        <f>IF($Y21="","",SUMIFS('Per Line'!$X$2:$X$1001,'Per Line'!$D$2:$D$1001,$B21,'Per Line'!$AP$2:$AP$1001,1))</f>
        <v/>
      </c>
      <c r="O21">
        <f>IF($Y21="","",Settings!$C$7)</f>
        <v/>
      </c>
      <c r="P21" s="7">
        <f>IF($Y21="","",SUMIFS('Per Line'!$X$2:$X$1001,'Per Line'!$D$2:$D$1001,$B21,'Per Line'!$AO$2:$AO$1001,0,'Per Line'!$AP$2:$AP$1001,0))</f>
        <v/>
      </c>
      <c r="Q21" s="7">
        <f>IF($Y21="","",P21*O21)</f>
        <v/>
      </c>
      <c r="R21">
        <f>IF($Y21="","",Settings!$C$6)</f>
        <v/>
      </c>
      <c r="S21" s="7">
        <f>IF($Y21="","",SUMIFS('Per Line'!$X$2:$X$1001,'Per Line'!$D$2:$D$1001,$B21,'Per Line'!$AO$2:$AO$1001,1,'Per Line'!$AP$2:$AP$1001,0))</f>
        <v/>
      </c>
      <c r="T21" s="7">
        <f>IF($Y21="","",S21*R21)</f>
        <v/>
      </c>
      <c r="U21" s="7">
        <f>IF($Y21="","",T21+Q21)</f>
        <v/>
      </c>
      <c r="V21" s="7">
        <f>IF($Y21="","",W21-U21)</f>
        <v/>
      </c>
      <c r="W21" s="7">
        <f>IF($Y21="","",P21+S21+N21)</f>
        <v/>
      </c>
      <c r="X21" s="7">
        <f>IF($Y21="","",W21-U21-J21)</f>
        <v/>
      </c>
      <c r="Y21" s="13">
        <f>IF(ROWS($Y$2:$Y21)&lt;=MAX('Per Line'!$AN$2:$AN$1001),MATCH(ROWS($Y$2:$Y21),'Per Line'!$AN$2:$AN$1001,0),"")</f>
        <v/>
      </c>
      <c r="Z21" s="14">
        <f>IF($Y21="","",J21-I21*W21/100)</f>
        <v/>
      </c>
    </row>
    <row r="22">
      <c r="A22" s="12" t="n"/>
      <c r="B22">
        <f>IF($Y22="","",INDEX('Per Line'!$D$2:$D$1001,$Y22)&amp;"")</f>
        <v/>
      </c>
      <c r="C22">
        <f>IF($Y22="","",INDEX('Per Line'!$C$2:$C$1001,$Y22)&amp;"")</f>
        <v/>
      </c>
      <c r="D22" s="11">
        <f>IF($Y22="","",INDEX('Per Line'!$F$2:$F$1001,$Y22))</f>
        <v/>
      </c>
      <c r="E22">
        <f>IF($Y22="","",INDEX('Per Line'!$G$2:$G$1001,$Y22)&amp;"")</f>
        <v/>
      </c>
      <c r="F22">
        <f>IF($Y22="","",INDEX('Per Line'!$I$2:$I$1001,$Y22)&amp;"")</f>
        <v/>
      </c>
      <c r="G22">
        <f>IF($Y22="","",INDEX('Per Line'!$J$2:$J$1001,$Y22)&amp;"")</f>
        <v/>
      </c>
      <c r="H22">
        <f>IF($Y22="","",INDEX('Per Line'!$K$2:$K$1001,$Y22)&amp;"")</f>
        <v/>
      </c>
      <c r="I22">
        <f>IF($Y22="","",INDEX('Per Line'!$O$2:$O$1001,$Y22))</f>
        <v/>
      </c>
      <c r="J22" s="7">
        <f>IF($Y22="","",IF(AND(ISNUMBER(L22),L22&gt;0,W22&gt;L22),I22*L22/100+(W22-L22),I22*W22/100))</f>
        <v/>
      </c>
      <c r="K22">
        <f>IF($Y22="","",INDEX('Per Line'!$Y$2:$Y$1001,$Y22)&amp;"")</f>
        <v/>
      </c>
      <c r="L22">
        <f>IF($Y22="","",INDEX('Per Line'!$AF$2:$AF$1001,$Y22))</f>
        <v/>
      </c>
      <c r="M22">
        <f>IF($Y22="","",IF(AND(ISNUMBER(L22),L22&gt;0),W22&gt;L22,FALSE))</f>
        <v/>
      </c>
      <c r="N22" s="7">
        <f>IF($Y22="","",SUMIFS('Per Line'!$X$2:$X$1001,'Per Line'!$D$2:$D$1001,$B22,'Per Line'!$AP$2:$AP$1001,1))</f>
        <v/>
      </c>
      <c r="O22">
        <f>IF($Y22="","",Settings!$C$7)</f>
        <v/>
      </c>
      <c r="P22" s="7">
        <f>IF($Y22="","",SUMIFS('Per Line'!$X$2:$X$1001,'Per Line'!$D$2:$D$1001,$B22,'Per Line'!$AO$2:$AO$1001,0,'Per Line'!$AP$2:$AP$1001,0))</f>
        <v/>
      </c>
      <c r="Q22" s="7">
        <f>IF($Y22="","",P22*O22)</f>
        <v/>
      </c>
      <c r="R22">
        <f>IF($Y22="","",Settings!$C$6)</f>
        <v/>
      </c>
      <c r="S22" s="7">
        <f>IF($Y22="","",SUMIFS('Per Line'!$X$2:$X$1001,'Per Line'!$D$2:$D$1001,$B22,'Per Line'!$AO$2:$AO$1001,1,'Per Line'!$AP$2:$AP$1001,0))</f>
        <v/>
      </c>
      <c r="T22" s="7">
        <f>IF($Y22="","",S22*R22)</f>
        <v/>
      </c>
      <c r="U22" s="7">
        <f>IF($Y22="","",T22+Q22)</f>
        <v/>
      </c>
      <c r="V22" s="7">
        <f>IF($Y22="","",W22-U22)</f>
        <v/>
      </c>
      <c r="W22" s="7">
        <f>IF($Y22="","",P22+S22+N22)</f>
        <v/>
      </c>
      <c r="X22" s="7">
        <f>IF($Y22="","",W22-U22-J22)</f>
        <v/>
      </c>
      <c r="Y22" s="13">
        <f>IF(ROWS($Y$2:$Y22)&lt;=MAX('Per Line'!$AN$2:$AN$1001),MATCH(ROWS($Y$2:$Y22),'Per Line'!$AN$2:$AN$1001,0),"")</f>
        <v/>
      </c>
      <c r="Z22" s="14">
        <f>IF($Y22="","",J22-I22*W22/100)</f>
        <v/>
      </c>
    </row>
    <row r="23">
      <c r="A23" s="12" t="n"/>
      <c r="B23">
        <f>IF($Y23="","",INDEX('Per Line'!$D$2:$D$1001,$Y23)&amp;"")</f>
        <v/>
      </c>
      <c r="C23">
        <f>IF($Y23="","",INDEX('Per Line'!$C$2:$C$1001,$Y23)&amp;"")</f>
        <v/>
      </c>
      <c r="D23" s="11">
        <f>IF($Y23="","",INDEX('Per Line'!$F$2:$F$1001,$Y23))</f>
        <v/>
      </c>
      <c r="E23">
        <f>IF($Y23="","",INDEX('Per Line'!$G$2:$G$1001,$Y23)&amp;"")</f>
        <v/>
      </c>
      <c r="F23">
        <f>IF($Y23="","",INDEX('Per Line'!$I$2:$I$1001,$Y23)&amp;"")</f>
        <v/>
      </c>
      <c r="G23">
        <f>IF($Y23="","",INDEX('Per Line'!$J$2:$J$1001,$Y23)&amp;"")</f>
        <v/>
      </c>
      <c r="H23">
        <f>IF($Y23="","",INDEX('Per Line'!$K$2:$K$1001,$Y23)&amp;"")</f>
        <v/>
      </c>
      <c r="I23">
        <f>IF($Y23="","",INDEX('Per Line'!$O$2:$O$1001,$Y23))</f>
        <v/>
      </c>
      <c r="J23" s="7">
        <f>IF($Y23="","",IF(AND(ISNUMBER(L23),L23&gt;0,W23&gt;L23),I23*L23/100+(W23-L23),I23*W23/100))</f>
        <v/>
      </c>
      <c r="K23">
        <f>IF($Y23="","",INDEX('Per Line'!$Y$2:$Y$1001,$Y23)&amp;"")</f>
        <v/>
      </c>
      <c r="L23">
        <f>IF($Y23="","",INDEX('Per Line'!$AF$2:$AF$1001,$Y23))</f>
        <v/>
      </c>
      <c r="M23">
        <f>IF($Y23="","",IF(AND(ISNUMBER(L23),L23&gt;0),W23&gt;L23,FALSE))</f>
        <v/>
      </c>
      <c r="N23" s="7">
        <f>IF($Y23="","",SUMIFS('Per Line'!$X$2:$X$1001,'Per Line'!$D$2:$D$1001,$B23,'Per Line'!$AP$2:$AP$1001,1))</f>
        <v/>
      </c>
      <c r="O23">
        <f>IF($Y23="","",Settings!$C$7)</f>
        <v/>
      </c>
      <c r="P23" s="7">
        <f>IF($Y23="","",SUMIFS('Per Line'!$X$2:$X$1001,'Per Line'!$D$2:$D$1001,$B23,'Per Line'!$AO$2:$AO$1001,0,'Per Line'!$AP$2:$AP$1001,0))</f>
        <v/>
      </c>
      <c r="Q23" s="7">
        <f>IF($Y23="","",P23*O23)</f>
        <v/>
      </c>
      <c r="R23">
        <f>IF($Y23="","",Settings!$C$6)</f>
        <v/>
      </c>
      <c r="S23" s="7">
        <f>IF($Y23="","",SUMIFS('Per Line'!$X$2:$X$1001,'Per Line'!$D$2:$D$1001,$B23,'Per Line'!$AO$2:$AO$1001,1,'Per Line'!$AP$2:$AP$1001,0))</f>
        <v/>
      </c>
      <c r="T23" s="7">
        <f>IF($Y23="","",S23*R23)</f>
        <v/>
      </c>
      <c r="U23" s="7">
        <f>IF($Y23="","",T23+Q23)</f>
        <v/>
      </c>
      <c r="V23" s="7">
        <f>IF($Y23="","",W23-U23)</f>
        <v/>
      </c>
      <c r="W23" s="7">
        <f>IF($Y23="","",P23+S23+N23)</f>
        <v/>
      </c>
      <c r="X23" s="7">
        <f>IF($Y23="","",W23-U23-J23)</f>
        <v/>
      </c>
      <c r="Y23" s="13">
        <f>IF(ROWS($Y$2:$Y23)&lt;=MAX('Per Line'!$AN$2:$AN$1001),MATCH(ROWS($Y$2:$Y23),'Per Line'!$AN$2:$AN$1001,0),"")</f>
        <v/>
      </c>
      <c r="Z23" s="14">
        <f>IF($Y23="","",J23-I23*W23/100)</f>
        <v/>
      </c>
    </row>
    <row r="24">
      <c r="A24" s="12" t="n"/>
      <c r="B24">
        <f>IF($Y24="","",INDEX('Per Line'!$D$2:$D$1001,$Y24)&amp;"")</f>
        <v/>
      </c>
      <c r="C24">
        <f>IF($Y24="","",INDEX('Per Line'!$C$2:$C$1001,$Y24)&amp;"")</f>
        <v/>
      </c>
      <c r="D24" s="11">
        <f>IF($Y24="","",INDEX('Per Line'!$F$2:$F$1001,$Y24))</f>
        <v/>
      </c>
      <c r="E24">
        <f>IF($Y24="","",INDEX('Per Line'!$G$2:$G$1001,$Y24)&amp;"")</f>
        <v/>
      </c>
      <c r="F24">
        <f>IF($Y24="","",INDEX('Per Line'!$I$2:$I$1001,$Y24)&amp;"")</f>
        <v/>
      </c>
      <c r="G24">
        <f>IF($Y24="","",INDEX('Per Line'!$J$2:$J$1001,$Y24)&amp;"")</f>
        <v/>
      </c>
      <c r="H24">
        <f>IF($Y24="","",INDEX('Per Line'!$K$2:$K$1001,$Y24)&amp;"")</f>
        <v/>
      </c>
      <c r="I24">
        <f>IF($Y24="","",INDEX('Per Line'!$O$2:$O$1001,$Y24))</f>
        <v/>
      </c>
      <c r="J24" s="7">
        <f>IF($Y24="","",IF(AND(ISNUMBER(L24),L24&gt;0,W24&gt;L24),I24*L24/100+(W24-L24),I24*W24/100))</f>
        <v/>
      </c>
      <c r="K24">
        <f>IF($Y24="","",INDEX('Per Line'!$Y$2:$Y$1001,$Y24)&amp;"")</f>
        <v/>
      </c>
      <c r="L24">
        <f>IF($Y24="","",INDEX('Per Line'!$AF$2:$AF$1001,$Y24))</f>
        <v/>
      </c>
      <c r="M24">
        <f>IF($Y24="","",IF(AND(ISNUMBER(L24),L24&gt;0),W24&gt;L24,FALSE))</f>
        <v/>
      </c>
      <c r="N24" s="7">
        <f>IF($Y24="","",SUMIFS('Per Line'!$X$2:$X$1001,'Per Line'!$D$2:$D$1001,$B24,'Per Line'!$AP$2:$AP$1001,1))</f>
        <v/>
      </c>
      <c r="O24">
        <f>IF($Y24="","",Settings!$C$7)</f>
        <v/>
      </c>
      <c r="P24" s="7">
        <f>IF($Y24="","",SUMIFS('Per Line'!$X$2:$X$1001,'Per Line'!$D$2:$D$1001,$B24,'Per Line'!$AO$2:$AO$1001,0,'Per Line'!$AP$2:$AP$1001,0))</f>
        <v/>
      </c>
      <c r="Q24" s="7">
        <f>IF($Y24="","",P24*O24)</f>
        <v/>
      </c>
      <c r="R24">
        <f>IF($Y24="","",Settings!$C$6)</f>
        <v/>
      </c>
      <c r="S24" s="7">
        <f>IF($Y24="","",SUMIFS('Per Line'!$X$2:$X$1001,'Per Line'!$D$2:$D$1001,$B24,'Per Line'!$AO$2:$AO$1001,1,'Per Line'!$AP$2:$AP$1001,0))</f>
        <v/>
      </c>
      <c r="T24" s="7">
        <f>IF($Y24="","",S24*R24)</f>
        <v/>
      </c>
      <c r="U24" s="7">
        <f>IF($Y24="","",T24+Q24)</f>
        <v/>
      </c>
      <c r="V24" s="7">
        <f>IF($Y24="","",W24-U24)</f>
        <v/>
      </c>
      <c r="W24" s="7">
        <f>IF($Y24="","",P24+S24+N24)</f>
        <v/>
      </c>
      <c r="X24" s="7">
        <f>IF($Y24="","",W24-U24-J24)</f>
        <v/>
      </c>
      <c r="Y24" s="13">
        <f>IF(ROWS($Y$2:$Y24)&lt;=MAX('Per Line'!$AN$2:$AN$1001),MATCH(ROWS($Y$2:$Y24),'Per Line'!$AN$2:$AN$1001,0),"")</f>
        <v/>
      </c>
      <c r="Z24" s="14">
        <f>IF($Y24="","",J24-I24*W24/100)</f>
        <v/>
      </c>
    </row>
    <row r="25">
      <c r="A25" s="12" t="n"/>
      <c r="B25">
        <f>IF($Y25="","",INDEX('Per Line'!$D$2:$D$1001,$Y25)&amp;"")</f>
        <v/>
      </c>
      <c r="C25">
        <f>IF($Y25="","",INDEX('Per Line'!$C$2:$C$1001,$Y25)&amp;"")</f>
        <v/>
      </c>
      <c r="D25" s="11">
        <f>IF($Y25="","",INDEX('Per Line'!$F$2:$F$1001,$Y25))</f>
        <v/>
      </c>
      <c r="E25">
        <f>IF($Y25="","",INDEX('Per Line'!$G$2:$G$1001,$Y25)&amp;"")</f>
        <v/>
      </c>
      <c r="F25">
        <f>IF($Y25="","",INDEX('Per Line'!$I$2:$I$1001,$Y25)&amp;"")</f>
        <v/>
      </c>
      <c r="G25">
        <f>IF($Y25="","",INDEX('Per Line'!$J$2:$J$1001,$Y25)&amp;"")</f>
        <v/>
      </c>
      <c r="H25">
        <f>IF($Y25="","",INDEX('Per Line'!$K$2:$K$1001,$Y25)&amp;"")</f>
        <v/>
      </c>
      <c r="I25">
        <f>IF($Y25="","",INDEX('Per Line'!$O$2:$O$1001,$Y25))</f>
        <v/>
      </c>
      <c r="J25" s="7">
        <f>IF($Y25="","",IF(AND(ISNUMBER(L25),L25&gt;0,W25&gt;L25),I25*L25/100+(W25-L25),I25*W25/100))</f>
        <v/>
      </c>
      <c r="K25">
        <f>IF($Y25="","",INDEX('Per Line'!$Y$2:$Y$1001,$Y25)&amp;"")</f>
        <v/>
      </c>
      <c r="L25">
        <f>IF($Y25="","",INDEX('Per Line'!$AF$2:$AF$1001,$Y25))</f>
        <v/>
      </c>
      <c r="M25">
        <f>IF($Y25="","",IF(AND(ISNUMBER(L25),L25&gt;0),W25&gt;L25,FALSE))</f>
        <v/>
      </c>
      <c r="N25" s="7">
        <f>IF($Y25="","",SUMIFS('Per Line'!$X$2:$X$1001,'Per Line'!$D$2:$D$1001,$B25,'Per Line'!$AP$2:$AP$1001,1))</f>
        <v/>
      </c>
      <c r="O25">
        <f>IF($Y25="","",Settings!$C$7)</f>
        <v/>
      </c>
      <c r="P25" s="7">
        <f>IF($Y25="","",SUMIFS('Per Line'!$X$2:$X$1001,'Per Line'!$D$2:$D$1001,$B25,'Per Line'!$AO$2:$AO$1001,0,'Per Line'!$AP$2:$AP$1001,0))</f>
        <v/>
      </c>
      <c r="Q25" s="7">
        <f>IF($Y25="","",P25*O25)</f>
        <v/>
      </c>
      <c r="R25">
        <f>IF($Y25="","",Settings!$C$6)</f>
        <v/>
      </c>
      <c r="S25" s="7">
        <f>IF($Y25="","",SUMIFS('Per Line'!$X$2:$X$1001,'Per Line'!$D$2:$D$1001,$B25,'Per Line'!$AO$2:$AO$1001,1,'Per Line'!$AP$2:$AP$1001,0))</f>
        <v/>
      </c>
      <c r="T25" s="7">
        <f>IF($Y25="","",S25*R25)</f>
        <v/>
      </c>
      <c r="U25" s="7">
        <f>IF($Y25="","",T25+Q25)</f>
        <v/>
      </c>
      <c r="V25" s="7">
        <f>IF($Y25="","",W25-U25)</f>
        <v/>
      </c>
      <c r="W25" s="7">
        <f>IF($Y25="","",P25+S25+N25)</f>
        <v/>
      </c>
      <c r="X25" s="7">
        <f>IF($Y25="","",W25-U25-J25)</f>
        <v/>
      </c>
      <c r="Y25" s="13">
        <f>IF(ROWS($Y$2:$Y25)&lt;=MAX('Per Line'!$AN$2:$AN$1001),MATCH(ROWS($Y$2:$Y25),'Per Line'!$AN$2:$AN$1001,0),"")</f>
        <v/>
      </c>
      <c r="Z25" s="14">
        <f>IF($Y25="","",J25-I25*W25/100)</f>
        <v/>
      </c>
    </row>
    <row r="26">
      <c r="A26" s="12" t="n"/>
      <c r="B26">
        <f>IF($Y26="","",INDEX('Per Line'!$D$2:$D$1001,$Y26)&amp;"")</f>
        <v/>
      </c>
      <c r="C26">
        <f>IF($Y26="","",INDEX('Per Line'!$C$2:$C$1001,$Y26)&amp;"")</f>
        <v/>
      </c>
      <c r="D26" s="11">
        <f>IF($Y26="","",INDEX('Per Line'!$F$2:$F$1001,$Y26))</f>
        <v/>
      </c>
      <c r="E26">
        <f>IF($Y26="","",INDEX('Per Line'!$G$2:$G$1001,$Y26)&amp;"")</f>
        <v/>
      </c>
      <c r="F26">
        <f>IF($Y26="","",INDEX('Per Line'!$I$2:$I$1001,$Y26)&amp;"")</f>
        <v/>
      </c>
      <c r="G26">
        <f>IF($Y26="","",INDEX('Per Line'!$J$2:$J$1001,$Y26)&amp;"")</f>
        <v/>
      </c>
      <c r="H26">
        <f>IF($Y26="","",INDEX('Per Line'!$K$2:$K$1001,$Y26)&amp;"")</f>
        <v/>
      </c>
      <c r="I26">
        <f>IF($Y26="","",INDEX('Per Line'!$O$2:$O$1001,$Y26))</f>
        <v/>
      </c>
      <c r="J26" s="7">
        <f>IF($Y26="","",IF(AND(ISNUMBER(L26),L26&gt;0,W26&gt;L26),I26*L26/100+(W26-L26),I26*W26/100))</f>
        <v/>
      </c>
      <c r="K26">
        <f>IF($Y26="","",INDEX('Per Line'!$Y$2:$Y$1001,$Y26)&amp;"")</f>
        <v/>
      </c>
      <c r="L26">
        <f>IF($Y26="","",INDEX('Per Line'!$AF$2:$AF$1001,$Y26))</f>
        <v/>
      </c>
      <c r="M26">
        <f>IF($Y26="","",IF(AND(ISNUMBER(L26),L26&gt;0),W26&gt;L26,FALSE))</f>
        <v/>
      </c>
      <c r="N26" s="7">
        <f>IF($Y26="","",SUMIFS('Per Line'!$X$2:$X$1001,'Per Line'!$D$2:$D$1001,$B26,'Per Line'!$AP$2:$AP$1001,1))</f>
        <v/>
      </c>
      <c r="O26">
        <f>IF($Y26="","",Settings!$C$7)</f>
        <v/>
      </c>
      <c r="P26" s="7">
        <f>IF($Y26="","",SUMIFS('Per Line'!$X$2:$X$1001,'Per Line'!$D$2:$D$1001,$B26,'Per Line'!$AO$2:$AO$1001,0,'Per Line'!$AP$2:$AP$1001,0))</f>
        <v/>
      </c>
      <c r="Q26" s="7">
        <f>IF($Y26="","",P26*O26)</f>
        <v/>
      </c>
      <c r="R26">
        <f>IF($Y26="","",Settings!$C$6)</f>
        <v/>
      </c>
      <c r="S26" s="7">
        <f>IF($Y26="","",SUMIFS('Per Line'!$X$2:$X$1001,'Per Line'!$D$2:$D$1001,$B26,'Per Line'!$AO$2:$AO$1001,1,'Per Line'!$AP$2:$AP$1001,0))</f>
        <v/>
      </c>
      <c r="T26" s="7">
        <f>IF($Y26="","",S26*R26)</f>
        <v/>
      </c>
      <c r="U26" s="7">
        <f>IF($Y26="","",T26+Q26)</f>
        <v/>
      </c>
      <c r="V26" s="7">
        <f>IF($Y26="","",W26-U26)</f>
        <v/>
      </c>
      <c r="W26" s="7">
        <f>IF($Y26="","",P26+S26+N26)</f>
        <v/>
      </c>
      <c r="X26" s="7">
        <f>IF($Y26="","",W26-U26-J26)</f>
        <v/>
      </c>
      <c r="Y26" s="13">
        <f>IF(ROWS($Y$2:$Y26)&lt;=MAX('Per Line'!$AN$2:$AN$1001),MATCH(ROWS($Y$2:$Y26),'Per Line'!$AN$2:$AN$1001,0),"")</f>
        <v/>
      </c>
      <c r="Z26" s="14">
        <f>IF($Y26="","",J26-I26*W26/100)</f>
        <v/>
      </c>
    </row>
    <row r="27">
      <c r="A27" s="12" t="n"/>
      <c r="B27">
        <f>IF($Y27="","",INDEX('Per Line'!$D$2:$D$1001,$Y27)&amp;"")</f>
        <v/>
      </c>
      <c r="C27">
        <f>IF($Y27="","",INDEX('Per Line'!$C$2:$C$1001,$Y27)&amp;"")</f>
        <v/>
      </c>
      <c r="D27" s="11">
        <f>IF($Y27="","",INDEX('Per Line'!$F$2:$F$1001,$Y27))</f>
        <v/>
      </c>
      <c r="E27">
        <f>IF($Y27="","",INDEX('Per Line'!$G$2:$G$1001,$Y27)&amp;"")</f>
        <v/>
      </c>
      <c r="F27">
        <f>IF($Y27="","",INDEX('Per Line'!$I$2:$I$1001,$Y27)&amp;"")</f>
        <v/>
      </c>
      <c r="G27">
        <f>IF($Y27="","",INDEX('Per Line'!$J$2:$J$1001,$Y27)&amp;"")</f>
        <v/>
      </c>
      <c r="H27">
        <f>IF($Y27="","",INDEX('Per Line'!$K$2:$K$1001,$Y27)&amp;"")</f>
        <v/>
      </c>
      <c r="I27">
        <f>IF($Y27="","",INDEX('Per Line'!$O$2:$O$1001,$Y27))</f>
        <v/>
      </c>
      <c r="J27" s="7">
        <f>IF($Y27="","",IF(AND(ISNUMBER(L27),L27&gt;0,W27&gt;L27),I27*L27/100+(W27-L27),I27*W27/100))</f>
        <v/>
      </c>
      <c r="K27">
        <f>IF($Y27="","",INDEX('Per Line'!$Y$2:$Y$1001,$Y27)&amp;"")</f>
        <v/>
      </c>
      <c r="L27">
        <f>IF($Y27="","",INDEX('Per Line'!$AF$2:$AF$1001,$Y27))</f>
        <v/>
      </c>
      <c r="M27">
        <f>IF($Y27="","",IF(AND(ISNUMBER(L27),L27&gt;0),W27&gt;L27,FALSE))</f>
        <v/>
      </c>
      <c r="N27" s="7">
        <f>IF($Y27="","",SUMIFS('Per Line'!$X$2:$X$1001,'Per Line'!$D$2:$D$1001,$B27,'Per Line'!$AP$2:$AP$1001,1))</f>
        <v/>
      </c>
      <c r="O27">
        <f>IF($Y27="","",Settings!$C$7)</f>
        <v/>
      </c>
      <c r="P27" s="7">
        <f>IF($Y27="","",SUMIFS('Per Line'!$X$2:$X$1001,'Per Line'!$D$2:$D$1001,$B27,'Per Line'!$AO$2:$AO$1001,0,'Per Line'!$AP$2:$AP$1001,0))</f>
        <v/>
      </c>
      <c r="Q27" s="7">
        <f>IF($Y27="","",P27*O27)</f>
        <v/>
      </c>
      <c r="R27">
        <f>IF($Y27="","",Settings!$C$6)</f>
        <v/>
      </c>
      <c r="S27" s="7">
        <f>IF($Y27="","",SUMIFS('Per Line'!$X$2:$X$1001,'Per Line'!$D$2:$D$1001,$B27,'Per Line'!$AO$2:$AO$1001,1,'Per Line'!$AP$2:$AP$1001,0))</f>
        <v/>
      </c>
      <c r="T27" s="7">
        <f>IF($Y27="","",S27*R27)</f>
        <v/>
      </c>
      <c r="U27" s="7">
        <f>IF($Y27="","",T27+Q27)</f>
        <v/>
      </c>
      <c r="V27" s="7">
        <f>IF($Y27="","",W27-U27)</f>
        <v/>
      </c>
      <c r="W27" s="7">
        <f>IF($Y27="","",P27+S27+N27)</f>
        <v/>
      </c>
      <c r="X27" s="7">
        <f>IF($Y27="","",W27-U27-J27)</f>
        <v/>
      </c>
      <c r="Y27" s="13">
        <f>IF(ROWS($Y$2:$Y27)&lt;=MAX('Per Line'!$AN$2:$AN$1001),MATCH(ROWS($Y$2:$Y27),'Per Line'!$AN$2:$AN$1001,0),"")</f>
        <v/>
      </c>
      <c r="Z27" s="14">
        <f>IF($Y27="","",J27-I27*W27/100)</f>
        <v/>
      </c>
    </row>
    <row r="28">
      <c r="A28" s="12" t="n"/>
      <c r="B28">
        <f>IF($Y28="","",INDEX('Per Line'!$D$2:$D$1001,$Y28)&amp;"")</f>
        <v/>
      </c>
      <c r="C28">
        <f>IF($Y28="","",INDEX('Per Line'!$C$2:$C$1001,$Y28)&amp;"")</f>
        <v/>
      </c>
      <c r="D28" s="11">
        <f>IF($Y28="","",INDEX('Per Line'!$F$2:$F$1001,$Y28))</f>
        <v/>
      </c>
      <c r="E28">
        <f>IF($Y28="","",INDEX('Per Line'!$G$2:$G$1001,$Y28)&amp;"")</f>
        <v/>
      </c>
      <c r="F28">
        <f>IF($Y28="","",INDEX('Per Line'!$I$2:$I$1001,$Y28)&amp;"")</f>
        <v/>
      </c>
      <c r="G28">
        <f>IF($Y28="","",INDEX('Per Line'!$J$2:$J$1001,$Y28)&amp;"")</f>
        <v/>
      </c>
      <c r="H28">
        <f>IF($Y28="","",INDEX('Per Line'!$K$2:$K$1001,$Y28)&amp;"")</f>
        <v/>
      </c>
      <c r="I28">
        <f>IF($Y28="","",INDEX('Per Line'!$O$2:$O$1001,$Y28))</f>
        <v/>
      </c>
      <c r="J28" s="7">
        <f>IF($Y28="","",IF(AND(ISNUMBER(L28),L28&gt;0,W28&gt;L28),I28*L28/100+(W28-L28),I28*W28/100))</f>
        <v/>
      </c>
      <c r="K28">
        <f>IF($Y28="","",INDEX('Per Line'!$Y$2:$Y$1001,$Y28)&amp;"")</f>
        <v/>
      </c>
      <c r="L28">
        <f>IF($Y28="","",INDEX('Per Line'!$AF$2:$AF$1001,$Y28))</f>
        <v/>
      </c>
      <c r="M28">
        <f>IF($Y28="","",IF(AND(ISNUMBER(L28),L28&gt;0),W28&gt;L28,FALSE))</f>
        <v/>
      </c>
      <c r="N28" s="7">
        <f>IF($Y28="","",SUMIFS('Per Line'!$X$2:$X$1001,'Per Line'!$D$2:$D$1001,$B28,'Per Line'!$AP$2:$AP$1001,1))</f>
        <v/>
      </c>
      <c r="O28">
        <f>IF($Y28="","",Settings!$C$7)</f>
        <v/>
      </c>
      <c r="P28" s="7">
        <f>IF($Y28="","",SUMIFS('Per Line'!$X$2:$X$1001,'Per Line'!$D$2:$D$1001,$B28,'Per Line'!$AO$2:$AO$1001,0,'Per Line'!$AP$2:$AP$1001,0))</f>
        <v/>
      </c>
      <c r="Q28" s="7">
        <f>IF($Y28="","",P28*O28)</f>
        <v/>
      </c>
      <c r="R28">
        <f>IF($Y28="","",Settings!$C$6)</f>
        <v/>
      </c>
      <c r="S28" s="7">
        <f>IF($Y28="","",SUMIFS('Per Line'!$X$2:$X$1001,'Per Line'!$D$2:$D$1001,$B28,'Per Line'!$AO$2:$AO$1001,1,'Per Line'!$AP$2:$AP$1001,0))</f>
        <v/>
      </c>
      <c r="T28" s="7">
        <f>IF($Y28="","",S28*R28)</f>
        <v/>
      </c>
      <c r="U28" s="7">
        <f>IF($Y28="","",T28+Q28)</f>
        <v/>
      </c>
      <c r="V28" s="7">
        <f>IF($Y28="","",W28-U28)</f>
        <v/>
      </c>
      <c r="W28" s="7">
        <f>IF($Y28="","",P28+S28+N28)</f>
        <v/>
      </c>
      <c r="X28" s="7">
        <f>IF($Y28="","",W28-U28-J28)</f>
        <v/>
      </c>
      <c r="Y28" s="13">
        <f>IF(ROWS($Y$2:$Y28)&lt;=MAX('Per Line'!$AN$2:$AN$1001),MATCH(ROWS($Y$2:$Y28),'Per Line'!$AN$2:$AN$1001,0),"")</f>
        <v/>
      </c>
      <c r="Z28" s="14">
        <f>IF($Y28="","",J28-I28*W28/100)</f>
        <v/>
      </c>
    </row>
    <row r="29">
      <c r="A29" s="12" t="n"/>
      <c r="B29">
        <f>IF($Y29="","",INDEX('Per Line'!$D$2:$D$1001,$Y29)&amp;"")</f>
        <v/>
      </c>
      <c r="C29">
        <f>IF($Y29="","",INDEX('Per Line'!$C$2:$C$1001,$Y29)&amp;"")</f>
        <v/>
      </c>
      <c r="D29" s="11">
        <f>IF($Y29="","",INDEX('Per Line'!$F$2:$F$1001,$Y29))</f>
        <v/>
      </c>
      <c r="E29">
        <f>IF($Y29="","",INDEX('Per Line'!$G$2:$G$1001,$Y29)&amp;"")</f>
        <v/>
      </c>
      <c r="F29">
        <f>IF($Y29="","",INDEX('Per Line'!$I$2:$I$1001,$Y29)&amp;"")</f>
        <v/>
      </c>
      <c r="G29">
        <f>IF($Y29="","",INDEX('Per Line'!$J$2:$J$1001,$Y29)&amp;"")</f>
        <v/>
      </c>
      <c r="H29">
        <f>IF($Y29="","",INDEX('Per Line'!$K$2:$K$1001,$Y29)&amp;"")</f>
        <v/>
      </c>
      <c r="I29">
        <f>IF($Y29="","",INDEX('Per Line'!$O$2:$O$1001,$Y29))</f>
        <v/>
      </c>
      <c r="J29" s="7">
        <f>IF($Y29="","",IF(AND(ISNUMBER(L29),L29&gt;0,W29&gt;L29),I29*L29/100+(W29-L29),I29*W29/100))</f>
        <v/>
      </c>
      <c r="K29">
        <f>IF($Y29="","",INDEX('Per Line'!$Y$2:$Y$1001,$Y29)&amp;"")</f>
        <v/>
      </c>
      <c r="L29">
        <f>IF($Y29="","",INDEX('Per Line'!$AF$2:$AF$1001,$Y29))</f>
        <v/>
      </c>
      <c r="M29">
        <f>IF($Y29="","",IF(AND(ISNUMBER(L29),L29&gt;0),W29&gt;L29,FALSE))</f>
        <v/>
      </c>
      <c r="N29" s="7">
        <f>IF($Y29="","",SUMIFS('Per Line'!$X$2:$X$1001,'Per Line'!$D$2:$D$1001,$B29,'Per Line'!$AP$2:$AP$1001,1))</f>
        <v/>
      </c>
      <c r="O29">
        <f>IF($Y29="","",Settings!$C$7)</f>
        <v/>
      </c>
      <c r="P29" s="7">
        <f>IF($Y29="","",SUMIFS('Per Line'!$X$2:$X$1001,'Per Line'!$D$2:$D$1001,$B29,'Per Line'!$AO$2:$AO$1001,0,'Per Line'!$AP$2:$AP$1001,0))</f>
        <v/>
      </c>
      <c r="Q29" s="7">
        <f>IF($Y29="","",P29*O29)</f>
        <v/>
      </c>
      <c r="R29">
        <f>IF($Y29="","",Settings!$C$6)</f>
        <v/>
      </c>
      <c r="S29" s="7">
        <f>IF($Y29="","",SUMIFS('Per Line'!$X$2:$X$1001,'Per Line'!$D$2:$D$1001,$B29,'Per Line'!$AO$2:$AO$1001,1,'Per Line'!$AP$2:$AP$1001,0))</f>
        <v/>
      </c>
      <c r="T29" s="7">
        <f>IF($Y29="","",S29*R29)</f>
        <v/>
      </c>
      <c r="U29" s="7">
        <f>IF($Y29="","",T29+Q29)</f>
        <v/>
      </c>
      <c r="V29" s="7">
        <f>IF($Y29="","",W29-U29)</f>
        <v/>
      </c>
      <c r="W29" s="7">
        <f>IF($Y29="","",P29+S29+N29)</f>
        <v/>
      </c>
      <c r="X29" s="7">
        <f>IF($Y29="","",W29-U29-J29)</f>
        <v/>
      </c>
      <c r="Y29" s="13">
        <f>IF(ROWS($Y$2:$Y29)&lt;=MAX('Per Line'!$AN$2:$AN$1001),MATCH(ROWS($Y$2:$Y29),'Per Line'!$AN$2:$AN$1001,0),"")</f>
        <v/>
      </c>
      <c r="Z29" s="14">
        <f>IF($Y29="","",J29-I29*W29/100)</f>
        <v/>
      </c>
    </row>
    <row r="30">
      <c r="A30" s="12" t="n"/>
      <c r="B30">
        <f>IF($Y30="","",INDEX('Per Line'!$D$2:$D$1001,$Y30)&amp;"")</f>
        <v/>
      </c>
      <c r="C30">
        <f>IF($Y30="","",INDEX('Per Line'!$C$2:$C$1001,$Y30)&amp;"")</f>
        <v/>
      </c>
      <c r="D30" s="11">
        <f>IF($Y30="","",INDEX('Per Line'!$F$2:$F$1001,$Y30))</f>
        <v/>
      </c>
      <c r="E30">
        <f>IF($Y30="","",INDEX('Per Line'!$G$2:$G$1001,$Y30)&amp;"")</f>
        <v/>
      </c>
      <c r="F30">
        <f>IF($Y30="","",INDEX('Per Line'!$I$2:$I$1001,$Y30)&amp;"")</f>
        <v/>
      </c>
      <c r="G30">
        <f>IF($Y30="","",INDEX('Per Line'!$J$2:$J$1001,$Y30)&amp;"")</f>
        <v/>
      </c>
      <c r="H30">
        <f>IF($Y30="","",INDEX('Per Line'!$K$2:$K$1001,$Y30)&amp;"")</f>
        <v/>
      </c>
      <c r="I30">
        <f>IF($Y30="","",INDEX('Per Line'!$O$2:$O$1001,$Y30))</f>
        <v/>
      </c>
      <c r="J30" s="7">
        <f>IF($Y30="","",IF(AND(ISNUMBER(L30),L30&gt;0,W30&gt;L30),I30*L30/100+(W30-L30),I30*W30/100))</f>
        <v/>
      </c>
      <c r="K30">
        <f>IF($Y30="","",INDEX('Per Line'!$Y$2:$Y$1001,$Y30)&amp;"")</f>
        <v/>
      </c>
      <c r="L30">
        <f>IF($Y30="","",INDEX('Per Line'!$AF$2:$AF$1001,$Y30))</f>
        <v/>
      </c>
      <c r="M30">
        <f>IF($Y30="","",IF(AND(ISNUMBER(L30),L30&gt;0),W30&gt;L30,FALSE))</f>
        <v/>
      </c>
      <c r="N30" s="7">
        <f>IF($Y30="","",SUMIFS('Per Line'!$X$2:$X$1001,'Per Line'!$D$2:$D$1001,$B30,'Per Line'!$AP$2:$AP$1001,1))</f>
        <v/>
      </c>
      <c r="O30">
        <f>IF($Y30="","",Settings!$C$7)</f>
        <v/>
      </c>
      <c r="P30" s="7">
        <f>IF($Y30="","",SUMIFS('Per Line'!$X$2:$X$1001,'Per Line'!$D$2:$D$1001,$B30,'Per Line'!$AO$2:$AO$1001,0,'Per Line'!$AP$2:$AP$1001,0))</f>
        <v/>
      </c>
      <c r="Q30" s="7">
        <f>IF($Y30="","",P30*O30)</f>
        <v/>
      </c>
      <c r="R30">
        <f>IF($Y30="","",Settings!$C$6)</f>
        <v/>
      </c>
      <c r="S30" s="7">
        <f>IF($Y30="","",SUMIFS('Per Line'!$X$2:$X$1001,'Per Line'!$D$2:$D$1001,$B30,'Per Line'!$AO$2:$AO$1001,1,'Per Line'!$AP$2:$AP$1001,0))</f>
        <v/>
      </c>
      <c r="T30" s="7">
        <f>IF($Y30="","",S30*R30)</f>
        <v/>
      </c>
      <c r="U30" s="7">
        <f>IF($Y30="","",T30+Q30)</f>
        <v/>
      </c>
      <c r="V30" s="7">
        <f>IF($Y30="","",W30-U30)</f>
        <v/>
      </c>
      <c r="W30" s="7">
        <f>IF($Y30="","",P30+S30+N30)</f>
        <v/>
      </c>
      <c r="X30" s="7">
        <f>IF($Y30="","",W30-U30-J30)</f>
        <v/>
      </c>
      <c r="Y30" s="13">
        <f>IF(ROWS($Y$2:$Y30)&lt;=MAX('Per Line'!$AN$2:$AN$1001),MATCH(ROWS($Y$2:$Y30),'Per Line'!$AN$2:$AN$1001,0),"")</f>
        <v/>
      </c>
      <c r="Z30" s="14">
        <f>IF($Y30="","",J30-I30*W30/100)</f>
        <v/>
      </c>
    </row>
    <row r="31">
      <c r="A31" s="12" t="n"/>
      <c r="B31">
        <f>IF($Y31="","",INDEX('Per Line'!$D$2:$D$1001,$Y31)&amp;"")</f>
        <v/>
      </c>
      <c r="C31">
        <f>IF($Y31="","",INDEX('Per Line'!$C$2:$C$1001,$Y31)&amp;"")</f>
        <v/>
      </c>
      <c r="D31" s="11">
        <f>IF($Y31="","",INDEX('Per Line'!$F$2:$F$1001,$Y31))</f>
        <v/>
      </c>
      <c r="E31">
        <f>IF($Y31="","",INDEX('Per Line'!$G$2:$G$1001,$Y31)&amp;"")</f>
        <v/>
      </c>
      <c r="F31">
        <f>IF($Y31="","",INDEX('Per Line'!$I$2:$I$1001,$Y31)&amp;"")</f>
        <v/>
      </c>
      <c r="G31">
        <f>IF($Y31="","",INDEX('Per Line'!$J$2:$J$1001,$Y31)&amp;"")</f>
        <v/>
      </c>
      <c r="H31">
        <f>IF($Y31="","",INDEX('Per Line'!$K$2:$K$1001,$Y31)&amp;"")</f>
        <v/>
      </c>
      <c r="I31">
        <f>IF($Y31="","",INDEX('Per Line'!$O$2:$O$1001,$Y31))</f>
        <v/>
      </c>
      <c r="J31" s="7">
        <f>IF($Y31="","",IF(AND(ISNUMBER(L31),L31&gt;0,W31&gt;L31),I31*L31/100+(W31-L31),I31*W31/100))</f>
        <v/>
      </c>
      <c r="K31">
        <f>IF($Y31="","",INDEX('Per Line'!$Y$2:$Y$1001,$Y31)&amp;"")</f>
        <v/>
      </c>
      <c r="L31">
        <f>IF($Y31="","",INDEX('Per Line'!$AF$2:$AF$1001,$Y31))</f>
        <v/>
      </c>
      <c r="M31">
        <f>IF($Y31="","",IF(AND(ISNUMBER(L31),L31&gt;0),W31&gt;L31,FALSE))</f>
        <v/>
      </c>
      <c r="N31" s="7">
        <f>IF($Y31="","",SUMIFS('Per Line'!$X$2:$X$1001,'Per Line'!$D$2:$D$1001,$B31,'Per Line'!$AP$2:$AP$1001,1))</f>
        <v/>
      </c>
      <c r="O31">
        <f>IF($Y31="","",Settings!$C$7)</f>
        <v/>
      </c>
      <c r="P31" s="7">
        <f>IF($Y31="","",SUMIFS('Per Line'!$X$2:$X$1001,'Per Line'!$D$2:$D$1001,$B31,'Per Line'!$AO$2:$AO$1001,0,'Per Line'!$AP$2:$AP$1001,0))</f>
        <v/>
      </c>
      <c r="Q31" s="7">
        <f>IF($Y31="","",P31*O31)</f>
        <v/>
      </c>
      <c r="R31">
        <f>IF($Y31="","",Settings!$C$6)</f>
        <v/>
      </c>
      <c r="S31" s="7">
        <f>IF($Y31="","",SUMIFS('Per Line'!$X$2:$X$1001,'Per Line'!$D$2:$D$1001,$B31,'Per Line'!$AO$2:$AO$1001,1,'Per Line'!$AP$2:$AP$1001,0))</f>
        <v/>
      </c>
      <c r="T31" s="7">
        <f>IF($Y31="","",S31*R31)</f>
        <v/>
      </c>
      <c r="U31" s="7">
        <f>IF($Y31="","",T31+Q31)</f>
        <v/>
      </c>
      <c r="V31" s="7">
        <f>IF($Y31="","",W31-U31)</f>
        <v/>
      </c>
      <c r="W31" s="7">
        <f>IF($Y31="","",P31+S31+N31)</f>
        <v/>
      </c>
      <c r="X31" s="7">
        <f>IF($Y31="","",W31-U31-J31)</f>
        <v/>
      </c>
      <c r="Y31" s="13">
        <f>IF(ROWS($Y$2:$Y31)&lt;=MAX('Per Line'!$AN$2:$AN$1001),MATCH(ROWS($Y$2:$Y31),'Per Line'!$AN$2:$AN$1001,0),"")</f>
        <v/>
      </c>
      <c r="Z31" s="14">
        <f>IF($Y31="","",J31-I31*W31/100)</f>
        <v/>
      </c>
    </row>
    <row r="32">
      <c r="A32" s="12" t="n"/>
      <c r="B32">
        <f>IF($Y32="","",INDEX('Per Line'!$D$2:$D$1001,$Y32)&amp;"")</f>
        <v/>
      </c>
      <c r="C32">
        <f>IF($Y32="","",INDEX('Per Line'!$C$2:$C$1001,$Y32)&amp;"")</f>
        <v/>
      </c>
      <c r="D32" s="11">
        <f>IF($Y32="","",INDEX('Per Line'!$F$2:$F$1001,$Y32))</f>
        <v/>
      </c>
      <c r="E32">
        <f>IF($Y32="","",INDEX('Per Line'!$G$2:$G$1001,$Y32)&amp;"")</f>
        <v/>
      </c>
      <c r="F32">
        <f>IF($Y32="","",INDEX('Per Line'!$I$2:$I$1001,$Y32)&amp;"")</f>
        <v/>
      </c>
      <c r="G32">
        <f>IF($Y32="","",INDEX('Per Line'!$J$2:$J$1001,$Y32)&amp;"")</f>
        <v/>
      </c>
      <c r="H32">
        <f>IF($Y32="","",INDEX('Per Line'!$K$2:$K$1001,$Y32)&amp;"")</f>
        <v/>
      </c>
      <c r="I32">
        <f>IF($Y32="","",INDEX('Per Line'!$O$2:$O$1001,$Y32))</f>
        <v/>
      </c>
      <c r="J32" s="7">
        <f>IF($Y32="","",IF(AND(ISNUMBER(L32),L32&gt;0,W32&gt;L32),I32*L32/100+(W32-L32),I32*W32/100))</f>
        <v/>
      </c>
      <c r="K32">
        <f>IF($Y32="","",INDEX('Per Line'!$Y$2:$Y$1001,$Y32)&amp;"")</f>
        <v/>
      </c>
      <c r="L32">
        <f>IF($Y32="","",INDEX('Per Line'!$AF$2:$AF$1001,$Y32))</f>
        <v/>
      </c>
      <c r="M32">
        <f>IF($Y32="","",IF(AND(ISNUMBER(L32),L32&gt;0),W32&gt;L32,FALSE))</f>
        <v/>
      </c>
      <c r="N32" s="7">
        <f>IF($Y32="","",SUMIFS('Per Line'!$X$2:$X$1001,'Per Line'!$D$2:$D$1001,$B32,'Per Line'!$AP$2:$AP$1001,1))</f>
        <v/>
      </c>
      <c r="O32">
        <f>IF($Y32="","",Settings!$C$7)</f>
        <v/>
      </c>
      <c r="P32" s="7">
        <f>IF($Y32="","",SUMIFS('Per Line'!$X$2:$X$1001,'Per Line'!$D$2:$D$1001,$B32,'Per Line'!$AO$2:$AO$1001,0,'Per Line'!$AP$2:$AP$1001,0))</f>
        <v/>
      </c>
      <c r="Q32" s="7">
        <f>IF($Y32="","",P32*O32)</f>
        <v/>
      </c>
      <c r="R32">
        <f>IF($Y32="","",Settings!$C$6)</f>
        <v/>
      </c>
      <c r="S32" s="7">
        <f>IF($Y32="","",SUMIFS('Per Line'!$X$2:$X$1001,'Per Line'!$D$2:$D$1001,$B32,'Per Line'!$AO$2:$AO$1001,1,'Per Line'!$AP$2:$AP$1001,0))</f>
        <v/>
      </c>
      <c r="T32" s="7">
        <f>IF($Y32="","",S32*R32)</f>
        <v/>
      </c>
      <c r="U32" s="7">
        <f>IF($Y32="","",T32+Q32)</f>
        <v/>
      </c>
      <c r="V32" s="7">
        <f>IF($Y32="","",W32-U32)</f>
        <v/>
      </c>
      <c r="W32" s="7">
        <f>IF($Y32="","",P32+S32+N32)</f>
        <v/>
      </c>
      <c r="X32" s="7">
        <f>IF($Y32="","",W32-U32-J32)</f>
        <v/>
      </c>
      <c r="Y32" s="13">
        <f>IF(ROWS($Y$2:$Y32)&lt;=MAX('Per Line'!$AN$2:$AN$1001),MATCH(ROWS($Y$2:$Y32),'Per Line'!$AN$2:$AN$1001,0),"")</f>
        <v/>
      </c>
      <c r="Z32" s="14">
        <f>IF($Y32="","",J32-I32*W32/100)</f>
        <v/>
      </c>
    </row>
    <row r="33">
      <c r="A33" s="12" t="n"/>
      <c r="B33">
        <f>IF($Y33="","",INDEX('Per Line'!$D$2:$D$1001,$Y33)&amp;"")</f>
        <v/>
      </c>
      <c r="C33">
        <f>IF($Y33="","",INDEX('Per Line'!$C$2:$C$1001,$Y33)&amp;"")</f>
        <v/>
      </c>
      <c r="D33" s="11">
        <f>IF($Y33="","",INDEX('Per Line'!$F$2:$F$1001,$Y33))</f>
        <v/>
      </c>
      <c r="E33">
        <f>IF($Y33="","",INDEX('Per Line'!$G$2:$G$1001,$Y33)&amp;"")</f>
        <v/>
      </c>
      <c r="F33">
        <f>IF($Y33="","",INDEX('Per Line'!$I$2:$I$1001,$Y33)&amp;"")</f>
        <v/>
      </c>
      <c r="G33">
        <f>IF($Y33="","",INDEX('Per Line'!$J$2:$J$1001,$Y33)&amp;"")</f>
        <v/>
      </c>
      <c r="H33">
        <f>IF($Y33="","",INDEX('Per Line'!$K$2:$K$1001,$Y33)&amp;"")</f>
        <v/>
      </c>
      <c r="I33">
        <f>IF($Y33="","",INDEX('Per Line'!$O$2:$O$1001,$Y33))</f>
        <v/>
      </c>
      <c r="J33" s="7">
        <f>IF($Y33="","",IF(AND(ISNUMBER(L33),L33&gt;0,W33&gt;L33),I33*L33/100+(W33-L33),I33*W33/100))</f>
        <v/>
      </c>
      <c r="K33">
        <f>IF($Y33="","",INDEX('Per Line'!$Y$2:$Y$1001,$Y33)&amp;"")</f>
        <v/>
      </c>
      <c r="L33">
        <f>IF($Y33="","",INDEX('Per Line'!$AF$2:$AF$1001,$Y33))</f>
        <v/>
      </c>
      <c r="M33">
        <f>IF($Y33="","",IF(AND(ISNUMBER(L33),L33&gt;0),W33&gt;L33,FALSE))</f>
        <v/>
      </c>
      <c r="N33" s="7">
        <f>IF($Y33="","",SUMIFS('Per Line'!$X$2:$X$1001,'Per Line'!$D$2:$D$1001,$B33,'Per Line'!$AP$2:$AP$1001,1))</f>
        <v/>
      </c>
      <c r="O33">
        <f>IF($Y33="","",Settings!$C$7)</f>
        <v/>
      </c>
      <c r="P33" s="7">
        <f>IF($Y33="","",SUMIFS('Per Line'!$X$2:$X$1001,'Per Line'!$D$2:$D$1001,$B33,'Per Line'!$AO$2:$AO$1001,0,'Per Line'!$AP$2:$AP$1001,0))</f>
        <v/>
      </c>
      <c r="Q33" s="7">
        <f>IF($Y33="","",P33*O33)</f>
        <v/>
      </c>
      <c r="R33">
        <f>IF($Y33="","",Settings!$C$6)</f>
        <v/>
      </c>
      <c r="S33" s="7">
        <f>IF($Y33="","",SUMIFS('Per Line'!$X$2:$X$1001,'Per Line'!$D$2:$D$1001,$B33,'Per Line'!$AO$2:$AO$1001,1,'Per Line'!$AP$2:$AP$1001,0))</f>
        <v/>
      </c>
      <c r="T33" s="7">
        <f>IF($Y33="","",S33*R33)</f>
        <v/>
      </c>
      <c r="U33" s="7">
        <f>IF($Y33="","",T33+Q33)</f>
        <v/>
      </c>
      <c r="V33" s="7">
        <f>IF($Y33="","",W33-U33)</f>
        <v/>
      </c>
      <c r="W33" s="7">
        <f>IF($Y33="","",P33+S33+N33)</f>
        <v/>
      </c>
      <c r="X33" s="7">
        <f>IF($Y33="","",W33-U33-J33)</f>
        <v/>
      </c>
      <c r="Y33" s="13">
        <f>IF(ROWS($Y$2:$Y33)&lt;=MAX('Per Line'!$AN$2:$AN$1001),MATCH(ROWS($Y$2:$Y33),'Per Line'!$AN$2:$AN$1001,0),"")</f>
        <v/>
      </c>
      <c r="Z33" s="14">
        <f>IF($Y33="","",J33-I33*W33/100)</f>
        <v/>
      </c>
    </row>
    <row r="34">
      <c r="A34" s="12" t="n"/>
      <c r="B34">
        <f>IF($Y34="","",INDEX('Per Line'!$D$2:$D$1001,$Y34)&amp;"")</f>
        <v/>
      </c>
      <c r="C34">
        <f>IF($Y34="","",INDEX('Per Line'!$C$2:$C$1001,$Y34)&amp;"")</f>
        <v/>
      </c>
      <c r="D34" s="11">
        <f>IF($Y34="","",INDEX('Per Line'!$F$2:$F$1001,$Y34))</f>
        <v/>
      </c>
      <c r="E34">
        <f>IF($Y34="","",INDEX('Per Line'!$G$2:$G$1001,$Y34)&amp;"")</f>
        <v/>
      </c>
      <c r="F34">
        <f>IF($Y34="","",INDEX('Per Line'!$I$2:$I$1001,$Y34)&amp;"")</f>
        <v/>
      </c>
      <c r="G34">
        <f>IF($Y34="","",INDEX('Per Line'!$J$2:$J$1001,$Y34)&amp;"")</f>
        <v/>
      </c>
      <c r="H34">
        <f>IF($Y34="","",INDEX('Per Line'!$K$2:$K$1001,$Y34)&amp;"")</f>
        <v/>
      </c>
      <c r="I34">
        <f>IF($Y34="","",INDEX('Per Line'!$O$2:$O$1001,$Y34))</f>
        <v/>
      </c>
      <c r="J34" s="7">
        <f>IF($Y34="","",IF(AND(ISNUMBER(L34),L34&gt;0,W34&gt;L34),I34*L34/100+(W34-L34),I34*W34/100))</f>
        <v/>
      </c>
      <c r="K34">
        <f>IF($Y34="","",INDEX('Per Line'!$Y$2:$Y$1001,$Y34)&amp;"")</f>
        <v/>
      </c>
      <c r="L34">
        <f>IF($Y34="","",INDEX('Per Line'!$AF$2:$AF$1001,$Y34))</f>
        <v/>
      </c>
      <c r="M34">
        <f>IF($Y34="","",IF(AND(ISNUMBER(L34),L34&gt;0),W34&gt;L34,FALSE))</f>
        <v/>
      </c>
      <c r="N34" s="7">
        <f>IF($Y34="","",SUMIFS('Per Line'!$X$2:$X$1001,'Per Line'!$D$2:$D$1001,$B34,'Per Line'!$AP$2:$AP$1001,1))</f>
        <v/>
      </c>
      <c r="O34">
        <f>IF($Y34="","",Settings!$C$7)</f>
        <v/>
      </c>
      <c r="P34" s="7">
        <f>IF($Y34="","",SUMIFS('Per Line'!$X$2:$X$1001,'Per Line'!$D$2:$D$1001,$B34,'Per Line'!$AO$2:$AO$1001,0,'Per Line'!$AP$2:$AP$1001,0))</f>
        <v/>
      </c>
      <c r="Q34" s="7">
        <f>IF($Y34="","",P34*O34)</f>
        <v/>
      </c>
      <c r="R34">
        <f>IF($Y34="","",Settings!$C$6)</f>
        <v/>
      </c>
      <c r="S34" s="7">
        <f>IF($Y34="","",SUMIFS('Per Line'!$X$2:$X$1001,'Per Line'!$D$2:$D$1001,$B34,'Per Line'!$AO$2:$AO$1001,1,'Per Line'!$AP$2:$AP$1001,0))</f>
        <v/>
      </c>
      <c r="T34" s="7">
        <f>IF($Y34="","",S34*R34)</f>
        <v/>
      </c>
      <c r="U34" s="7">
        <f>IF($Y34="","",T34+Q34)</f>
        <v/>
      </c>
      <c r="V34" s="7">
        <f>IF($Y34="","",W34-U34)</f>
        <v/>
      </c>
      <c r="W34" s="7">
        <f>IF($Y34="","",P34+S34+N34)</f>
        <v/>
      </c>
      <c r="X34" s="7">
        <f>IF($Y34="","",W34-U34-J34)</f>
        <v/>
      </c>
      <c r="Y34" s="13">
        <f>IF(ROWS($Y$2:$Y34)&lt;=MAX('Per Line'!$AN$2:$AN$1001),MATCH(ROWS($Y$2:$Y34),'Per Line'!$AN$2:$AN$1001,0),"")</f>
        <v/>
      </c>
      <c r="Z34" s="14">
        <f>IF($Y34="","",J34-I34*W34/100)</f>
        <v/>
      </c>
    </row>
    <row r="35">
      <c r="A35" s="12" t="n"/>
      <c r="B35">
        <f>IF($Y35="","",INDEX('Per Line'!$D$2:$D$1001,$Y35)&amp;"")</f>
        <v/>
      </c>
      <c r="C35">
        <f>IF($Y35="","",INDEX('Per Line'!$C$2:$C$1001,$Y35)&amp;"")</f>
        <v/>
      </c>
      <c r="D35" s="11">
        <f>IF($Y35="","",INDEX('Per Line'!$F$2:$F$1001,$Y35))</f>
        <v/>
      </c>
      <c r="E35">
        <f>IF($Y35="","",INDEX('Per Line'!$G$2:$G$1001,$Y35)&amp;"")</f>
        <v/>
      </c>
      <c r="F35">
        <f>IF($Y35="","",INDEX('Per Line'!$I$2:$I$1001,$Y35)&amp;"")</f>
        <v/>
      </c>
      <c r="G35">
        <f>IF($Y35="","",INDEX('Per Line'!$J$2:$J$1001,$Y35)&amp;"")</f>
        <v/>
      </c>
      <c r="H35">
        <f>IF($Y35="","",INDEX('Per Line'!$K$2:$K$1001,$Y35)&amp;"")</f>
        <v/>
      </c>
      <c r="I35">
        <f>IF($Y35="","",INDEX('Per Line'!$O$2:$O$1001,$Y35))</f>
        <v/>
      </c>
      <c r="J35" s="7">
        <f>IF($Y35="","",IF(AND(ISNUMBER(L35),L35&gt;0,W35&gt;L35),I35*L35/100+(W35-L35),I35*W35/100))</f>
        <v/>
      </c>
      <c r="K35">
        <f>IF($Y35="","",INDEX('Per Line'!$Y$2:$Y$1001,$Y35)&amp;"")</f>
        <v/>
      </c>
      <c r="L35">
        <f>IF($Y35="","",INDEX('Per Line'!$AF$2:$AF$1001,$Y35))</f>
        <v/>
      </c>
      <c r="M35">
        <f>IF($Y35="","",IF(AND(ISNUMBER(L35),L35&gt;0),W35&gt;L35,FALSE))</f>
        <v/>
      </c>
      <c r="N35" s="7">
        <f>IF($Y35="","",SUMIFS('Per Line'!$X$2:$X$1001,'Per Line'!$D$2:$D$1001,$B35,'Per Line'!$AP$2:$AP$1001,1))</f>
        <v/>
      </c>
      <c r="O35">
        <f>IF($Y35="","",Settings!$C$7)</f>
        <v/>
      </c>
      <c r="P35" s="7">
        <f>IF($Y35="","",SUMIFS('Per Line'!$X$2:$X$1001,'Per Line'!$D$2:$D$1001,$B35,'Per Line'!$AO$2:$AO$1001,0,'Per Line'!$AP$2:$AP$1001,0))</f>
        <v/>
      </c>
      <c r="Q35" s="7">
        <f>IF($Y35="","",P35*O35)</f>
        <v/>
      </c>
      <c r="R35">
        <f>IF($Y35="","",Settings!$C$6)</f>
        <v/>
      </c>
      <c r="S35" s="7">
        <f>IF($Y35="","",SUMIFS('Per Line'!$X$2:$X$1001,'Per Line'!$D$2:$D$1001,$B35,'Per Line'!$AO$2:$AO$1001,1,'Per Line'!$AP$2:$AP$1001,0))</f>
        <v/>
      </c>
      <c r="T35" s="7">
        <f>IF($Y35="","",S35*R35)</f>
        <v/>
      </c>
      <c r="U35" s="7">
        <f>IF($Y35="","",T35+Q35)</f>
        <v/>
      </c>
      <c r="V35" s="7">
        <f>IF($Y35="","",W35-U35)</f>
        <v/>
      </c>
      <c r="W35" s="7">
        <f>IF($Y35="","",P35+S35+N35)</f>
        <v/>
      </c>
      <c r="X35" s="7">
        <f>IF($Y35="","",W35-U35-J35)</f>
        <v/>
      </c>
      <c r="Y35" s="13">
        <f>IF(ROWS($Y$2:$Y35)&lt;=MAX('Per Line'!$AN$2:$AN$1001),MATCH(ROWS($Y$2:$Y35),'Per Line'!$AN$2:$AN$1001,0),"")</f>
        <v/>
      </c>
      <c r="Z35" s="14">
        <f>IF($Y35="","",J35-I35*W35/100)</f>
        <v/>
      </c>
    </row>
    <row r="36">
      <c r="A36" s="12" t="n"/>
      <c r="B36">
        <f>IF($Y36="","",INDEX('Per Line'!$D$2:$D$1001,$Y36)&amp;"")</f>
        <v/>
      </c>
      <c r="C36">
        <f>IF($Y36="","",INDEX('Per Line'!$C$2:$C$1001,$Y36)&amp;"")</f>
        <v/>
      </c>
      <c r="D36" s="11">
        <f>IF($Y36="","",INDEX('Per Line'!$F$2:$F$1001,$Y36))</f>
        <v/>
      </c>
      <c r="E36">
        <f>IF($Y36="","",INDEX('Per Line'!$G$2:$G$1001,$Y36)&amp;"")</f>
        <v/>
      </c>
      <c r="F36">
        <f>IF($Y36="","",INDEX('Per Line'!$I$2:$I$1001,$Y36)&amp;"")</f>
        <v/>
      </c>
      <c r="G36">
        <f>IF($Y36="","",INDEX('Per Line'!$J$2:$J$1001,$Y36)&amp;"")</f>
        <v/>
      </c>
      <c r="H36">
        <f>IF($Y36="","",INDEX('Per Line'!$K$2:$K$1001,$Y36)&amp;"")</f>
        <v/>
      </c>
      <c r="I36">
        <f>IF($Y36="","",INDEX('Per Line'!$O$2:$O$1001,$Y36))</f>
        <v/>
      </c>
      <c r="J36" s="7">
        <f>IF($Y36="","",IF(AND(ISNUMBER(L36),L36&gt;0,W36&gt;L36),I36*L36/100+(W36-L36),I36*W36/100))</f>
        <v/>
      </c>
      <c r="K36">
        <f>IF($Y36="","",INDEX('Per Line'!$Y$2:$Y$1001,$Y36)&amp;"")</f>
        <v/>
      </c>
      <c r="L36">
        <f>IF($Y36="","",INDEX('Per Line'!$AF$2:$AF$1001,$Y36))</f>
        <v/>
      </c>
      <c r="M36">
        <f>IF($Y36="","",IF(AND(ISNUMBER(L36),L36&gt;0),W36&gt;L36,FALSE))</f>
        <v/>
      </c>
      <c r="N36" s="7">
        <f>IF($Y36="","",SUMIFS('Per Line'!$X$2:$X$1001,'Per Line'!$D$2:$D$1001,$B36,'Per Line'!$AP$2:$AP$1001,1))</f>
        <v/>
      </c>
      <c r="O36">
        <f>IF($Y36="","",Settings!$C$7)</f>
        <v/>
      </c>
      <c r="P36" s="7">
        <f>IF($Y36="","",SUMIFS('Per Line'!$X$2:$X$1001,'Per Line'!$D$2:$D$1001,$B36,'Per Line'!$AO$2:$AO$1001,0,'Per Line'!$AP$2:$AP$1001,0))</f>
        <v/>
      </c>
      <c r="Q36" s="7">
        <f>IF($Y36="","",P36*O36)</f>
        <v/>
      </c>
      <c r="R36">
        <f>IF($Y36="","",Settings!$C$6)</f>
        <v/>
      </c>
      <c r="S36" s="7">
        <f>IF($Y36="","",SUMIFS('Per Line'!$X$2:$X$1001,'Per Line'!$D$2:$D$1001,$B36,'Per Line'!$AO$2:$AO$1001,1,'Per Line'!$AP$2:$AP$1001,0))</f>
        <v/>
      </c>
      <c r="T36" s="7">
        <f>IF($Y36="","",S36*R36)</f>
        <v/>
      </c>
      <c r="U36" s="7">
        <f>IF($Y36="","",T36+Q36)</f>
        <v/>
      </c>
      <c r="V36" s="7">
        <f>IF($Y36="","",W36-U36)</f>
        <v/>
      </c>
      <c r="W36" s="7">
        <f>IF($Y36="","",P36+S36+N36)</f>
        <v/>
      </c>
      <c r="X36" s="7">
        <f>IF($Y36="","",W36-U36-J36)</f>
        <v/>
      </c>
      <c r="Y36" s="13">
        <f>IF(ROWS($Y$2:$Y36)&lt;=MAX('Per Line'!$AN$2:$AN$1001),MATCH(ROWS($Y$2:$Y36),'Per Line'!$AN$2:$AN$1001,0),"")</f>
        <v/>
      </c>
      <c r="Z36" s="14">
        <f>IF($Y36="","",J36-I36*W36/100)</f>
        <v/>
      </c>
    </row>
    <row r="37">
      <c r="A37" s="12" t="n"/>
      <c r="B37">
        <f>IF($Y37="","",INDEX('Per Line'!$D$2:$D$1001,$Y37)&amp;"")</f>
        <v/>
      </c>
      <c r="C37">
        <f>IF($Y37="","",INDEX('Per Line'!$C$2:$C$1001,$Y37)&amp;"")</f>
        <v/>
      </c>
      <c r="D37" s="11">
        <f>IF($Y37="","",INDEX('Per Line'!$F$2:$F$1001,$Y37))</f>
        <v/>
      </c>
      <c r="E37">
        <f>IF($Y37="","",INDEX('Per Line'!$G$2:$G$1001,$Y37)&amp;"")</f>
        <v/>
      </c>
      <c r="F37">
        <f>IF($Y37="","",INDEX('Per Line'!$I$2:$I$1001,$Y37)&amp;"")</f>
        <v/>
      </c>
      <c r="G37">
        <f>IF($Y37="","",INDEX('Per Line'!$J$2:$J$1001,$Y37)&amp;"")</f>
        <v/>
      </c>
      <c r="H37">
        <f>IF($Y37="","",INDEX('Per Line'!$K$2:$K$1001,$Y37)&amp;"")</f>
        <v/>
      </c>
      <c r="I37">
        <f>IF($Y37="","",INDEX('Per Line'!$O$2:$O$1001,$Y37))</f>
        <v/>
      </c>
      <c r="J37" s="7">
        <f>IF($Y37="","",IF(AND(ISNUMBER(L37),L37&gt;0,W37&gt;L37),I37*L37/100+(W37-L37),I37*W37/100))</f>
        <v/>
      </c>
      <c r="K37">
        <f>IF($Y37="","",INDEX('Per Line'!$Y$2:$Y$1001,$Y37)&amp;"")</f>
        <v/>
      </c>
      <c r="L37">
        <f>IF($Y37="","",INDEX('Per Line'!$AF$2:$AF$1001,$Y37))</f>
        <v/>
      </c>
      <c r="M37">
        <f>IF($Y37="","",IF(AND(ISNUMBER(L37),L37&gt;0),W37&gt;L37,FALSE))</f>
        <v/>
      </c>
      <c r="N37" s="7">
        <f>IF($Y37="","",SUMIFS('Per Line'!$X$2:$X$1001,'Per Line'!$D$2:$D$1001,$B37,'Per Line'!$AP$2:$AP$1001,1))</f>
        <v/>
      </c>
      <c r="O37">
        <f>IF($Y37="","",Settings!$C$7)</f>
        <v/>
      </c>
      <c r="P37" s="7">
        <f>IF($Y37="","",SUMIFS('Per Line'!$X$2:$X$1001,'Per Line'!$D$2:$D$1001,$B37,'Per Line'!$AO$2:$AO$1001,0,'Per Line'!$AP$2:$AP$1001,0))</f>
        <v/>
      </c>
      <c r="Q37" s="7">
        <f>IF($Y37="","",P37*O37)</f>
        <v/>
      </c>
      <c r="R37">
        <f>IF($Y37="","",Settings!$C$6)</f>
        <v/>
      </c>
      <c r="S37" s="7">
        <f>IF($Y37="","",SUMIFS('Per Line'!$X$2:$X$1001,'Per Line'!$D$2:$D$1001,$B37,'Per Line'!$AO$2:$AO$1001,1,'Per Line'!$AP$2:$AP$1001,0))</f>
        <v/>
      </c>
      <c r="T37" s="7">
        <f>IF($Y37="","",S37*R37)</f>
        <v/>
      </c>
      <c r="U37" s="7">
        <f>IF($Y37="","",T37+Q37)</f>
        <v/>
      </c>
      <c r="V37" s="7">
        <f>IF($Y37="","",W37-U37)</f>
        <v/>
      </c>
      <c r="W37" s="7">
        <f>IF($Y37="","",P37+S37+N37)</f>
        <v/>
      </c>
      <c r="X37" s="7">
        <f>IF($Y37="","",W37-U37-J37)</f>
        <v/>
      </c>
      <c r="Y37" s="13">
        <f>IF(ROWS($Y$2:$Y37)&lt;=MAX('Per Line'!$AN$2:$AN$1001),MATCH(ROWS($Y$2:$Y37),'Per Line'!$AN$2:$AN$1001,0),"")</f>
        <v/>
      </c>
      <c r="Z37" s="14">
        <f>IF($Y37="","",J37-I37*W37/100)</f>
        <v/>
      </c>
    </row>
    <row r="38">
      <c r="A38" s="12" t="n"/>
      <c r="B38">
        <f>IF($Y38="","",INDEX('Per Line'!$D$2:$D$1001,$Y38)&amp;"")</f>
        <v/>
      </c>
      <c r="C38">
        <f>IF($Y38="","",INDEX('Per Line'!$C$2:$C$1001,$Y38)&amp;"")</f>
        <v/>
      </c>
      <c r="D38" s="11">
        <f>IF($Y38="","",INDEX('Per Line'!$F$2:$F$1001,$Y38))</f>
        <v/>
      </c>
      <c r="E38">
        <f>IF($Y38="","",INDEX('Per Line'!$G$2:$G$1001,$Y38)&amp;"")</f>
        <v/>
      </c>
      <c r="F38">
        <f>IF($Y38="","",INDEX('Per Line'!$I$2:$I$1001,$Y38)&amp;"")</f>
        <v/>
      </c>
      <c r="G38">
        <f>IF($Y38="","",INDEX('Per Line'!$J$2:$J$1001,$Y38)&amp;"")</f>
        <v/>
      </c>
      <c r="H38">
        <f>IF($Y38="","",INDEX('Per Line'!$K$2:$K$1001,$Y38)&amp;"")</f>
        <v/>
      </c>
      <c r="I38">
        <f>IF($Y38="","",INDEX('Per Line'!$O$2:$O$1001,$Y38))</f>
        <v/>
      </c>
      <c r="J38" s="7">
        <f>IF($Y38="","",IF(AND(ISNUMBER(L38),L38&gt;0,W38&gt;L38),I38*L38/100+(W38-L38),I38*W38/100))</f>
        <v/>
      </c>
      <c r="K38">
        <f>IF($Y38="","",INDEX('Per Line'!$Y$2:$Y$1001,$Y38)&amp;"")</f>
        <v/>
      </c>
      <c r="L38">
        <f>IF($Y38="","",INDEX('Per Line'!$AF$2:$AF$1001,$Y38))</f>
        <v/>
      </c>
      <c r="M38">
        <f>IF($Y38="","",IF(AND(ISNUMBER(L38),L38&gt;0),W38&gt;L38,FALSE))</f>
        <v/>
      </c>
      <c r="N38" s="7">
        <f>IF($Y38="","",SUMIFS('Per Line'!$X$2:$X$1001,'Per Line'!$D$2:$D$1001,$B38,'Per Line'!$AP$2:$AP$1001,1))</f>
        <v/>
      </c>
      <c r="O38">
        <f>IF($Y38="","",Settings!$C$7)</f>
        <v/>
      </c>
      <c r="P38" s="7">
        <f>IF($Y38="","",SUMIFS('Per Line'!$X$2:$X$1001,'Per Line'!$D$2:$D$1001,$B38,'Per Line'!$AO$2:$AO$1001,0,'Per Line'!$AP$2:$AP$1001,0))</f>
        <v/>
      </c>
      <c r="Q38" s="7">
        <f>IF($Y38="","",P38*O38)</f>
        <v/>
      </c>
      <c r="R38">
        <f>IF($Y38="","",Settings!$C$6)</f>
        <v/>
      </c>
      <c r="S38" s="7">
        <f>IF($Y38="","",SUMIFS('Per Line'!$X$2:$X$1001,'Per Line'!$D$2:$D$1001,$B38,'Per Line'!$AO$2:$AO$1001,1,'Per Line'!$AP$2:$AP$1001,0))</f>
        <v/>
      </c>
      <c r="T38" s="7">
        <f>IF($Y38="","",S38*R38)</f>
        <v/>
      </c>
      <c r="U38" s="7">
        <f>IF($Y38="","",T38+Q38)</f>
        <v/>
      </c>
      <c r="V38" s="7">
        <f>IF($Y38="","",W38-U38)</f>
        <v/>
      </c>
      <c r="W38" s="7">
        <f>IF($Y38="","",P38+S38+N38)</f>
        <v/>
      </c>
      <c r="X38" s="7">
        <f>IF($Y38="","",W38-U38-J38)</f>
        <v/>
      </c>
      <c r="Y38" s="13">
        <f>IF(ROWS($Y$2:$Y38)&lt;=MAX('Per Line'!$AN$2:$AN$1001),MATCH(ROWS($Y$2:$Y38),'Per Line'!$AN$2:$AN$1001,0),"")</f>
        <v/>
      </c>
      <c r="Z38" s="14">
        <f>IF($Y38="","",J38-I38*W38/100)</f>
        <v/>
      </c>
    </row>
    <row r="39">
      <c r="A39" s="12" t="n"/>
      <c r="B39">
        <f>IF($Y39="","",INDEX('Per Line'!$D$2:$D$1001,$Y39)&amp;"")</f>
        <v/>
      </c>
      <c r="C39">
        <f>IF($Y39="","",INDEX('Per Line'!$C$2:$C$1001,$Y39)&amp;"")</f>
        <v/>
      </c>
      <c r="D39" s="11">
        <f>IF($Y39="","",INDEX('Per Line'!$F$2:$F$1001,$Y39))</f>
        <v/>
      </c>
      <c r="E39">
        <f>IF($Y39="","",INDEX('Per Line'!$G$2:$G$1001,$Y39)&amp;"")</f>
        <v/>
      </c>
      <c r="F39">
        <f>IF($Y39="","",INDEX('Per Line'!$I$2:$I$1001,$Y39)&amp;"")</f>
        <v/>
      </c>
      <c r="G39">
        <f>IF($Y39="","",INDEX('Per Line'!$J$2:$J$1001,$Y39)&amp;"")</f>
        <v/>
      </c>
      <c r="H39">
        <f>IF($Y39="","",INDEX('Per Line'!$K$2:$K$1001,$Y39)&amp;"")</f>
        <v/>
      </c>
      <c r="I39">
        <f>IF($Y39="","",INDEX('Per Line'!$O$2:$O$1001,$Y39))</f>
        <v/>
      </c>
      <c r="J39" s="7">
        <f>IF($Y39="","",IF(AND(ISNUMBER(L39),L39&gt;0,W39&gt;L39),I39*L39/100+(W39-L39),I39*W39/100))</f>
        <v/>
      </c>
      <c r="K39">
        <f>IF($Y39="","",INDEX('Per Line'!$Y$2:$Y$1001,$Y39)&amp;"")</f>
        <v/>
      </c>
      <c r="L39">
        <f>IF($Y39="","",INDEX('Per Line'!$AF$2:$AF$1001,$Y39))</f>
        <v/>
      </c>
      <c r="M39">
        <f>IF($Y39="","",IF(AND(ISNUMBER(L39),L39&gt;0),W39&gt;L39,FALSE))</f>
        <v/>
      </c>
      <c r="N39" s="7">
        <f>IF($Y39="","",SUMIFS('Per Line'!$X$2:$X$1001,'Per Line'!$D$2:$D$1001,$B39,'Per Line'!$AP$2:$AP$1001,1))</f>
        <v/>
      </c>
      <c r="O39">
        <f>IF($Y39="","",Settings!$C$7)</f>
        <v/>
      </c>
      <c r="P39" s="7">
        <f>IF($Y39="","",SUMIFS('Per Line'!$X$2:$X$1001,'Per Line'!$D$2:$D$1001,$B39,'Per Line'!$AO$2:$AO$1001,0,'Per Line'!$AP$2:$AP$1001,0))</f>
        <v/>
      </c>
      <c r="Q39" s="7">
        <f>IF($Y39="","",P39*O39)</f>
        <v/>
      </c>
      <c r="R39">
        <f>IF($Y39="","",Settings!$C$6)</f>
        <v/>
      </c>
      <c r="S39" s="7">
        <f>IF($Y39="","",SUMIFS('Per Line'!$X$2:$X$1001,'Per Line'!$D$2:$D$1001,$B39,'Per Line'!$AO$2:$AO$1001,1,'Per Line'!$AP$2:$AP$1001,0))</f>
        <v/>
      </c>
      <c r="T39" s="7">
        <f>IF($Y39="","",S39*R39)</f>
        <v/>
      </c>
      <c r="U39" s="7">
        <f>IF($Y39="","",T39+Q39)</f>
        <v/>
      </c>
      <c r="V39" s="7">
        <f>IF($Y39="","",W39-U39)</f>
        <v/>
      </c>
      <c r="W39" s="7">
        <f>IF($Y39="","",P39+S39+N39)</f>
        <v/>
      </c>
      <c r="X39" s="7">
        <f>IF($Y39="","",W39-U39-J39)</f>
        <v/>
      </c>
      <c r="Y39" s="13">
        <f>IF(ROWS($Y$2:$Y39)&lt;=MAX('Per Line'!$AN$2:$AN$1001),MATCH(ROWS($Y$2:$Y39),'Per Line'!$AN$2:$AN$1001,0),"")</f>
        <v/>
      </c>
      <c r="Z39" s="14">
        <f>IF($Y39="","",J39-I39*W39/100)</f>
        <v/>
      </c>
    </row>
    <row r="40">
      <c r="A40" s="12" t="n"/>
      <c r="B40">
        <f>IF($Y40="","",INDEX('Per Line'!$D$2:$D$1001,$Y40)&amp;"")</f>
        <v/>
      </c>
      <c r="C40">
        <f>IF($Y40="","",INDEX('Per Line'!$C$2:$C$1001,$Y40)&amp;"")</f>
        <v/>
      </c>
      <c r="D40" s="11">
        <f>IF($Y40="","",INDEX('Per Line'!$F$2:$F$1001,$Y40))</f>
        <v/>
      </c>
      <c r="E40">
        <f>IF($Y40="","",INDEX('Per Line'!$G$2:$G$1001,$Y40)&amp;"")</f>
        <v/>
      </c>
      <c r="F40">
        <f>IF($Y40="","",INDEX('Per Line'!$I$2:$I$1001,$Y40)&amp;"")</f>
        <v/>
      </c>
      <c r="G40">
        <f>IF($Y40="","",INDEX('Per Line'!$J$2:$J$1001,$Y40)&amp;"")</f>
        <v/>
      </c>
      <c r="H40">
        <f>IF($Y40="","",INDEX('Per Line'!$K$2:$K$1001,$Y40)&amp;"")</f>
        <v/>
      </c>
      <c r="I40">
        <f>IF($Y40="","",INDEX('Per Line'!$O$2:$O$1001,$Y40))</f>
        <v/>
      </c>
      <c r="J40" s="7">
        <f>IF($Y40="","",IF(AND(ISNUMBER(L40),L40&gt;0,W40&gt;L40),I40*L40/100+(W40-L40),I40*W40/100))</f>
        <v/>
      </c>
      <c r="K40">
        <f>IF($Y40="","",INDEX('Per Line'!$Y$2:$Y$1001,$Y40)&amp;"")</f>
        <v/>
      </c>
      <c r="L40">
        <f>IF($Y40="","",INDEX('Per Line'!$AF$2:$AF$1001,$Y40))</f>
        <v/>
      </c>
      <c r="M40">
        <f>IF($Y40="","",IF(AND(ISNUMBER(L40),L40&gt;0),W40&gt;L40,FALSE))</f>
        <v/>
      </c>
      <c r="N40" s="7">
        <f>IF($Y40="","",SUMIFS('Per Line'!$X$2:$X$1001,'Per Line'!$D$2:$D$1001,$B40,'Per Line'!$AP$2:$AP$1001,1))</f>
        <v/>
      </c>
      <c r="O40">
        <f>IF($Y40="","",Settings!$C$7)</f>
        <v/>
      </c>
      <c r="P40" s="7">
        <f>IF($Y40="","",SUMIFS('Per Line'!$X$2:$X$1001,'Per Line'!$D$2:$D$1001,$B40,'Per Line'!$AO$2:$AO$1001,0,'Per Line'!$AP$2:$AP$1001,0))</f>
        <v/>
      </c>
      <c r="Q40" s="7">
        <f>IF($Y40="","",P40*O40)</f>
        <v/>
      </c>
      <c r="R40">
        <f>IF($Y40="","",Settings!$C$6)</f>
        <v/>
      </c>
      <c r="S40" s="7">
        <f>IF($Y40="","",SUMIFS('Per Line'!$X$2:$X$1001,'Per Line'!$D$2:$D$1001,$B40,'Per Line'!$AO$2:$AO$1001,1,'Per Line'!$AP$2:$AP$1001,0))</f>
        <v/>
      </c>
      <c r="T40" s="7">
        <f>IF($Y40="","",S40*R40)</f>
        <v/>
      </c>
      <c r="U40" s="7">
        <f>IF($Y40="","",T40+Q40)</f>
        <v/>
      </c>
      <c r="V40" s="7">
        <f>IF($Y40="","",W40-U40)</f>
        <v/>
      </c>
      <c r="W40" s="7">
        <f>IF($Y40="","",P40+S40+N40)</f>
        <v/>
      </c>
      <c r="X40" s="7">
        <f>IF($Y40="","",W40-U40-J40)</f>
        <v/>
      </c>
      <c r="Y40" s="13">
        <f>IF(ROWS($Y$2:$Y40)&lt;=MAX('Per Line'!$AN$2:$AN$1001),MATCH(ROWS($Y$2:$Y40),'Per Line'!$AN$2:$AN$1001,0),"")</f>
        <v/>
      </c>
      <c r="Z40" s="14">
        <f>IF($Y40="","",J40-I40*W40/100)</f>
        <v/>
      </c>
    </row>
    <row r="41">
      <c r="A41" s="12" t="n"/>
      <c r="B41">
        <f>IF($Y41="","",INDEX('Per Line'!$D$2:$D$1001,$Y41)&amp;"")</f>
        <v/>
      </c>
      <c r="C41">
        <f>IF($Y41="","",INDEX('Per Line'!$C$2:$C$1001,$Y41)&amp;"")</f>
        <v/>
      </c>
      <c r="D41" s="11">
        <f>IF($Y41="","",INDEX('Per Line'!$F$2:$F$1001,$Y41))</f>
        <v/>
      </c>
      <c r="E41">
        <f>IF($Y41="","",INDEX('Per Line'!$G$2:$G$1001,$Y41)&amp;"")</f>
        <v/>
      </c>
      <c r="F41">
        <f>IF($Y41="","",INDEX('Per Line'!$I$2:$I$1001,$Y41)&amp;"")</f>
        <v/>
      </c>
      <c r="G41">
        <f>IF($Y41="","",INDEX('Per Line'!$J$2:$J$1001,$Y41)&amp;"")</f>
        <v/>
      </c>
      <c r="H41">
        <f>IF($Y41="","",INDEX('Per Line'!$K$2:$K$1001,$Y41)&amp;"")</f>
        <v/>
      </c>
      <c r="I41">
        <f>IF($Y41="","",INDEX('Per Line'!$O$2:$O$1001,$Y41))</f>
        <v/>
      </c>
      <c r="J41" s="7">
        <f>IF($Y41="","",IF(AND(ISNUMBER(L41),L41&gt;0,W41&gt;L41),I41*L41/100+(W41-L41),I41*W41/100))</f>
        <v/>
      </c>
      <c r="K41">
        <f>IF($Y41="","",INDEX('Per Line'!$Y$2:$Y$1001,$Y41)&amp;"")</f>
        <v/>
      </c>
      <c r="L41">
        <f>IF($Y41="","",INDEX('Per Line'!$AF$2:$AF$1001,$Y41))</f>
        <v/>
      </c>
      <c r="M41">
        <f>IF($Y41="","",IF(AND(ISNUMBER(L41),L41&gt;0),W41&gt;L41,FALSE))</f>
        <v/>
      </c>
      <c r="N41" s="7">
        <f>IF($Y41="","",SUMIFS('Per Line'!$X$2:$X$1001,'Per Line'!$D$2:$D$1001,$B41,'Per Line'!$AP$2:$AP$1001,1))</f>
        <v/>
      </c>
      <c r="O41">
        <f>IF($Y41="","",Settings!$C$7)</f>
        <v/>
      </c>
      <c r="P41" s="7">
        <f>IF($Y41="","",SUMIFS('Per Line'!$X$2:$X$1001,'Per Line'!$D$2:$D$1001,$B41,'Per Line'!$AO$2:$AO$1001,0,'Per Line'!$AP$2:$AP$1001,0))</f>
        <v/>
      </c>
      <c r="Q41" s="7">
        <f>IF($Y41="","",P41*O41)</f>
        <v/>
      </c>
      <c r="R41">
        <f>IF($Y41="","",Settings!$C$6)</f>
        <v/>
      </c>
      <c r="S41" s="7">
        <f>IF($Y41="","",SUMIFS('Per Line'!$X$2:$X$1001,'Per Line'!$D$2:$D$1001,$B41,'Per Line'!$AO$2:$AO$1001,1,'Per Line'!$AP$2:$AP$1001,0))</f>
        <v/>
      </c>
      <c r="T41" s="7">
        <f>IF($Y41="","",S41*R41)</f>
        <v/>
      </c>
      <c r="U41" s="7">
        <f>IF($Y41="","",T41+Q41)</f>
        <v/>
      </c>
      <c r="V41" s="7">
        <f>IF($Y41="","",W41-U41)</f>
        <v/>
      </c>
      <c r="W41" s="7">
        <f>IF($Y41="","",P41+S41+N41)</f>
        <v/>
      </c>
      <c r="X41" s="7">
        <f>IF($Y41="","",W41-U41-J41)</f>
        <v/>
      </c>
      <c r="Y41" s="13">
        <f>IF(ROWS($Y$2:$Y41)&lt;=MAX('Per Line'!$AN$2:$AN$1001),MATCH(ROWS($Y$2:$Y41),'Per Line'!$AN$2:$AN$1001,0),"")</f>
        <v/>
      </c>
      <c r="Z41" s="14">
        <f>IF($Y41="","",J41-I41*W41/100)</f>
        <v/>
      </c>
    </row>
    <row r="42">
      <c r="A42" s="12" t="n"/>
      <c r="B42">
        <f>IF($Y42="","",INDEX('Per Line'!$D$2:$D$1001,$Y42)&amp;"")</f>
        <v/>
      </c>
      <c r="C42">
        <f>IF($Y42="","",INDEX('Per Line'!$C$2:$C$1001,$Y42)&amp;"")</f>
        <v/>
      </c>
      <c r="D42" s="11">
        <f>IF($Y42="","",INDEX('Per Line'!$F$2:$F$1001,$Y42))</f>
        <v/>
      </c>
      <c r="E42">
        <f>IF($Y42="","",INDEX('Per Line'!$G$2:$G$1001,$Y42)&amp;"")</f>
        <v/>
      </c>
      <c r="F42">
        <f>IF($Y42="","",INDEX('Per Line'!$I$2:$I$1001,$Y42)&amp;"")</f>
        <v/>
      </c>
      <c r="G42">
        <f>IF($Y42="","",INDEX('Per Line'!$J$2:$J$1001,$Y42)&amp;"")</f>
        <v/>
      </c>
      <c r="H42">
        <f>IF($Y42="","",INDEX('Per Line'!$K$2:$K$1001,$Y42)&amp;"")</f>
        <v/>
      </c>
      <c r="I42">
        <f>IF($Y42="","",INDEX('Per Line'!$O$2:$O$1001,$Y42))</f>
        <v/>
      </c>
      <c r="J42" s="7">
        <f>IF($Y42="","",IF(AND(ISNUMBER(L42),L42&gt;0,W42&gt;L42),I42*L42/100+(W42-L42),I42*W42/100))</f>
        <v/>
      </c>
      <c r="K42">
        <f>IF($Y42="","",INDEX('Per Line'!$Y$2:$Y$1001,$Y42)&amp;"")</f>
        <v/>
      </c>
      <c r="L42">
        <f>IF($Y42="","",INDEX('Per Line'!$AF$2:$AF$1001,$Y42))</f>
        <v/>
      </c>
      <c r="M42">
        <f>IF($Y42="","",IF(AND(ISNUMBER(L42),L42&gt;0),W42&gt;L42,FALSE))</f>
        <v/>
      </c>
      <c r="N42" s="7">
        <f>IF($Y42="","",SUMIFS('Per Line'!$X$2:$X$1001,'Per Line'!$D$2:$D$1001,$B42,'Per Line'!$AP$2:$AP$1001,1))</f>
        <v/>
      </c>
      <c r="O42">
        <f>IF($Y42="","",Settings!$C$7)</f>
        <v/>
      </c>
      <c r="P42" s="7">
        <f>IF($Y42="","",SUMIFS('Per Line'!$X$2:$X$1001,'Per Line'!$D$2:$D$1001,$B42,'Per Line'!$AO$2:$AO$1001,0,'Per Line'!$AP$2:$AP$1001,0))</f>
        <v/>
      </c>
      <c r="Q42" s="7">
        <f>IF($Y42="","",P42*O42)</f>
        <v/>
      </c>
      <c r="R42">
        <f>IF($Y42="","",Settings!$C$6)</f>
        <v/>
      </c>
      <c r="S42" s="7">
        <f>IF($Y42="","",SUMIFS('Per Line'!$X$2:$X$1001,'Per Line'!$D$2:$D$1001,$B42,'Per Line'!$AO$2:$AO$1001,1,'Per Line'!$AP$2:$AP$1001,0))</f>
        <v/>
      </c>
      <c r="T42" s="7">
        <f>IF($Y42="","",S42*R42)</f>
        <v/>
      </c>
      <c r="U42" s="7">
        <f>IF($Y42="","",T42+Q42)</f>
        <v/>
      </c>
      <c r="V42" s="7">
        <f>IF($Y42="","",W42-U42)</f>
        <v/>
      </c>
      <c r="W42" s="7">
        <f>IF($Y42="","",P42+S42+N42)</f>
        <v/>
      </c>
      <c r="X42" s="7">
        <f>IF($Y42="","",W42-U42-J42)</f>
        <v/>
      </c>
      <c r="Y42" s="13">
        <f>IF(ROWS($Y$2:$Y42)&lt;=MAX('Per Line'!$AN$2:$AN$1001),MATCH(ROWS($Y$2:$Y42),'Per Line'!$AN$2:$AN$1001,0),"")</f>
        <v/>
      </c>
      <c r="Z42" s="14">
        <f>IF($Y42="","",J42-I42*W42/100)</f>
        <v/>
      </c>
    </row>
    <row r="43">
      <c r="A43" s="12" t="n"/>
      <c r="B43">
        <f>IF($Y43="","",INDEX('Per Line'!$D$2:$D$1001,$Y43)&amp;"")</f>
        <v/>
      </c>
      <c r="C43">
        <f>IF($Y43="","",INDEX('Per Line'!$C$2:$C$1001,$Y43)&amp;"")</f>
        <v/>
      </c>
      <c r="D43" s="11">
        <f>IF($Y43="","",INDEX('Per Line'!$F$2:$F$1001,$Y43))</f>
        <v/>
      </c>
      <c r="E43">
        <f>IF($Y43="","",INDEX('Per Line'!$G$2:$G$1001,$Y43)&amp;"")</f>
        <v/>
      </c>
      <c r="F43">
        <f>IF($Y43="","",INDEX('Per Line'!$I$2:$I$1001,$Y43)&amp;"")</f>
        <v/>
      </c>
      <c r="G43">
        <f>IF($Y43="","",INDEX('Per Line'!$J$2:$J$1001,$Y43)&amp;"")</f>
        <v/>
      </c>
      <c r="H43">
        <f>IF($Y43="","",INDEX('Per Line'!$K$2:$K$1001,$Y43)&amp;"")</f>
        <v/>
      </c>
      <c r="I43">
        <f>IF($Y43="","",INDEX('Per Line'!$O$2:$O$1001,$Y43))</f>
        <v/>
      </c>
      <c r="J43" s="7">
        <f>IF($Y43="","",IF(AND(ISNUMBER(L43),L43&gt;0,W43&gt;L43),I43*L43/100+(W43-L43),I43*W43/100))</f>
        <v/>
      </c>
      <c r="K43">
        <f>IF($Y43="","",INDEX('Per Line'!$Y$2:$Y$1001,$Y43)&amp;"")</f>
        <v/>
      </c>
      <c r="L43">
        <f>IF($Y43="","",INDEX('Per Line'!$AF$2:$AF$1001,$Y43))</f>
        <v/>
      </c>
      <c r="M43">
        <f>IF($Y43="","",IF(AND(ISNUMBER(L43),L43&gt;0),W43&gt;L43,FALSE))</f>
        <v/>
      </c>
      <c r="N43" s="7">
        <f>IF($Y43="","",SUMIFS('Per Line'!$X$2:$X$1001,'Per Line'!$D$2:$D$1001,$B43,'Per Line'!$AP$2:$AP$1001,1))</f>
        <v/>
      </c>
      <c r="O43">
        <f>IF($Y43="","",Settings!$C$7)</f>
        <v/>
      </c>
      <c r="P43" s="7">
        <f>IF($Y43="","",SUMIFS('Per Line'!$X$2:$X$1001,'Per Line'!$D$2:$D$1001,$B43,'Per Line'!$AO$2:$AO$1001,0,'Per Line'!$AP$2:$AP$1001,0))</f>
        <v/>
      </c>
      <c r="Q43" s="7">
        <f>IF($Y43="","",P43*O43)</f>
        <v/>
      </c>
      <c r="R43">
        <f>IF($Y43="","",Settings!$C$6)</f>
        <v/>
      </c>
      <c r="S43" s="7">
        <f>IF($Y43="","",SUMIFS('Per Line'!$X$2:$X$1001,'Per Line'!$D$2:$D$1001,$B43,'Per Line'!$AO$2:$AO$1001,1,'Per Line'!$AP$2:$AP$1001,0))</f>
        <v/>
      </c>
      <c r="T43" s="7">
        <f>IF($Y43="","",S43*R43)</f>
        <v/>
      </c>
      <c r="U43" s="7">
        <f>IF($Y43="","",T43+Q43)</f>
        <v/>
      </c>
      <c r="V43" s="7">
        <f>IF($Y43="","",W43-U43)</f>
        <v/>
      </c>
      <c r="W43" s="7">
        <f>IF($Y43="","",P43+S43+N43)</f>
        <v/>
      </c>
      <c r="X43" s="7">
        <f>IF($Y43="","",W43-U43-J43)</f>
        <v/>
      </c>
      <c r="Y43" s="13">
        <f>IF(ROWS($Y$2:$Y43)&lt;=MAX('Per Line'!$AN$2:$AN$1001),MATCH(ROWS($Y$2:$Y43),'Per Line'!$AN$2:$AN$1001,0),"")</f>
        <v/>
      </c>
      <c r="Z43" s="14">
        <f>IF($Y43="","",J43-I43*W43/100)</f>
        <v/>
      </c>
    </row>
    <row r="44">
      <c r="A44" s="12" t="n"/>
      <c r="B44">
        <f>IF($Y44="","",INDEX('Per Line'!$D$2:$D$1001,$Y44)&amp;"")</f>
        <v/>
      </c>
      <c r="C44">
        <f>IF($Y44="","",INDEX('Per Line'!$C$2:$C$1001,$Y44)&amp;"")</f>
        <v/>
      </c>
      <c r="D44" s="11">
        <f>IF($Y44="","",INDEX('Per Line'!$F$2:$F$1001,$Y44))</f>
        <v/>
      </c>
      <c r="E44">
        <f>IF($Y44="","",INDEX('Per Line'!$G$2:$G$1001,$Y44)&amp;"")</f>
        <v/>
      </c>
      <c r="F44">
        <f>IF($Y44="","",INDEX('Per Line'!$I$2:$I$1001,$Y44)&amp;"")</f>
        <v/>
      </c>
      <c r="G44">
        <f>IF($Y44="","",INDEX('Per Line'!$J$2:$J$1001,$Y44)&amp;"")</f>
        <v/>
      </c>
      <c r="H44">
        <f>IF($Y44="","",INDEX('Per Line'!$K$2:$K$1001,$Y44)&amp;"")</f>
        <v/>
      </c>
      <c r="I44">
        <f>IF($Y44="","",INDEX('Per Line'!$O$2:$O$1001,$Y44))</f>
        <v/>
      </c>
      <c r="J44" s="7">
        <f>IF($Y44="","",IF(AND(ISNUMBER(L44),L44&gt;0,W44&gt;L44),I44*L44/100+(W44-L44),I44*W44/100))</f>
        <v/>
      </c>
      <c r="K44">
        <f>IF($Y44="","",INDEX('Per Line'!$Y$2:$Y$1001,$Y44)&amp;"")</f>
        <v/>
      </c>
      <c r="L44">
        <f>IF($Y44="","",INDEX('Per Line'!$AF$2:$AF$1001,$Y44))</f>
        <v/>
      </c>
      <c r="M44">
        <f>IF($Y44="","",IF(AND(ISNUMBER(L44),L44&gt;0),W44&gt;L44,FALSE))</f>
        <v/>
      </c>
      <c r="N44" s="7">
        <f>IF($Y44="","",SUMIFS('Per Line'!$X$2:$X$1001,'Per Line'!$D$2:$D$1001,$B44,'Per Line'!$AP$2:$AP$1001,1))</f>
        <v/>
      </c>
      <c r="O44">
        <f>IF($Y44="","",Settings!$C$7)</f>
        <v/>
      </c>
      <c r="P44" s="7">
        <f>IF($Y44="","",SUMIFS('Per Line'!$X$2:$X$1001,'Per Line'!$D$2:$D$1001,$B44,'Per Line'!$AO$2:$AO$1001,0,'Per Line'!$AP$2:$AP$1001,0))</f>
        <v/>
      </c>
      <c r="Q44" s="7">
        <f>IF($Y44="","",P44*O44)</f>
        <v/>
      </c>
      <c r="R44">
        <f>IF($Y44="","",Settings!$C$6)</f>
        <v/>
      </c>
      <c r="S44" s="7">
        <f>IF($Y44="","",SUMIFS('Per Line'!$X$2:$X$1001,'Per Line'!$D$2:$D$1001,$B44,'Per Line'!$AO$2:$AO$1001,1,'Per Line'!$AP$2:$AP$1001,0))</f>
        <v/>
      </c>
      <c r="T44" s="7">
        <f>IF($Y44="","",S44*R44)</f>
        <v/>
      </c>
      <c r="U44" s="7">
        <f>IF($Y44="","",T44+Q44)</f>
        <v/>
      </c>
      <c r="V44" s="7">
        <f>IF($Y44="","",W44-U44)</f>
        <v/>
      </c>
      <c r="W44" s="7">
        <f>IF($Y44="","",P44+S44+N44)</f>
        <v/>
      </c>
      <c r="X44" s="7">
        <f>IF($Y44="","",W44-U44-J44)</f>
        <v/>
      </c>
      <c r="Y44" s="13">
        <f>IF(ROWS($Y$2:$Y44)&lt;=MAX('Per Line'!$AN$2:$AN$1001),MATCH(ROWS($Y$2:$Y44),'Per Line'!$AN$2:$AN$1001,0),"")</f>
        <v/>
      </c>
      <c r="Z44" s="14">
        <f>IF($Y44="","",J44-I44*W44/100)</f>
        <v/>
      </c>
    </row>
    <row r="45">
      <c r="A45" s="12" t="n"/>
      <c r="B45">
        <f>IF($Y45="","",INDEX('Per Line'!$D$2:$D$1001,$Y45)&amp;"")</f>
        <v/>
      </c>
      <c r="C45">
        <f>IF($Y45="","",INDEX('Per Line'!$C$2:$C$1001,$Y45)&amp;"")</f>
        <v/>
      </c>
      <c r="D45" s="11">
        <f>IF($Y45="","",INDEX('Per Line'!$F$2:$F$1001,$Y45))</f>
        <v/>
      </c>
      <c r="E45">
        <f>IF($Y45="","",INDEX('Per Line'!$G$2:$G$1001,$Y45)&amp;"")</f>
        <v/>
      </c>
      <c r="F45">
        <f>IF($Y45="","",INDEX('Per Line'!$I$2:$I$1001,$Y45)&amp;"")</f>
        <v/>
      </c>
      <c r="G45">
        <f>IF($Y45="","",INDEX('Per Line'!$J$2:$J$1001,$Y45)&amp;"")</f>
        <v/>
      </c>
      <c r="H45">
        <f>IF($Y45="","",INDEX('Per Line'!$K$2:$K$1001,$Y45)&amp;"")</f>
        <v/>
      </c>
      <c r="I45">
        <f>IF($Y45="","",INDEX('Per Line'!$O$2:$O$1001,$Y45))</f>
        <v/>
      </c>
      <c r="J45" s="7">
        <f>IF($Y45="","",IF(AND(ISNUMBER(L45),L45&gt;0,W45&gt;L45),I45*L45/100+(W45-L45),I45*W45/100))</f>
        <v/>
      </c>
      <c r="K45">
        <f>IF($Y45="","",INDEX('Per Line'!$Y$2:$Y$1001,$Y45)&amp;"")</f>
        <v/>
      </c>
      <c r="L45">
        <f>IF($Y45="","",INDEX('Per Line'!$AF$2:$AF$1001,$Y45))</f>
        <v/>
      </c>
      <c r="M45">
        <f>IF($Y45="","",IF(AND(ISNUMBER(L45),L45&gt;0),W45&gt;L45,FALSE))</f>
        <v/>
      </c>
      <c r="N45" s="7">
        <f>IF($Y45="","",SUMIFS('Per Line'!$X$2:$X$1001,'Per Line'!$D$2:$D$1001,$B45,'Per Line'!$AP$2:$AP$1001,1))</f>
        <v/>
      </c>
      <c r="O45">
        <f>IF($Y45="","",Settings!$C$7)</f>
        <v/>
      </c>
      <c r="P45" s="7">
        <f>IF($Y45="","",SUMIFS('Per Line'!$X$2:$X$1001,'Per Line'!$D$2:$D$1001,$B45,'Per Line'!$AO$2:$AO$1001,0,'Per Line'!$AP$2:$AP$1001,0))</f>
        <v/>
      </c>
      <c r="Q45" s="7">
        <f>IF($Y45="","",P45*O45)</f>
        <v/>
      </c>
      <c r="R45">
        <f>IF($Y45="","",Settings!$C$6)</f>
        <v/>
      </c>
      <c r="S45" s="7">
        <f>IF($Y45="","",SUMIFS('Per Line'!$X$2:$X$1001,'Per Line'!$D$2:$D$1001,$B45,'Per Line'!$AO$2:$AO$1001,1,'Per Line'!$AP$2:$AP$1001,0))</f>
        <v/>
      </c>
      <c r="T45" s="7">
        <f>IF($Y45="","",S45*R45)</f>
        <v/>
      </c>
      <c r="U45" s="7">
        <f>IF($Y45="","",T45+Q45)</f>
        <v/>
      </c>
      <c r="V45" s="7">
        <f>IF($Y45="","",W45-U45)</f>
        <v/>
      </c>
      <c r="W45" s="7">
        <f>IF($Y45="","",P45+S45+N45)</f>
        <v/>
      </c>
      <c r="X45" s="7">
        <f>IF($Y45="","",W45-U45-J45)</f>
        <v/>
      </c>
      <c r="Y45" s="13">
        <f>IF(ROWS($Y$2:$Y45)&lt;=MAX('Per Line'!$AN$2:$AN$1001),MATCH(ROWS($Y$2:$Y45),'Per Line'!$AN$2:$AN$1001,0),"")</f>
        <v/>
      </c>
      <c r="Z45" s="14">
        <f>IF($Y45="","",J45-I45*W45/100)</f>
        <v/>
      </c>
    </row>
    <row r="46">
      <c r="A46" s="12" t="n"/>
      <c r="B46">
        <f>IF($Y46="","",INDEX('Per Line'!$D$2:$D$1001,$Y46)&amp;"")</f>
        <v/>
      </c>
      <c r="C46">
        <f>IF($Y46="","",INDEX('Per Line'!$C$2:$C$1001,$Y46)&amp;"")</f>
        <v/>
      </c>
      <c r="D46" s="11">
        <f>IF($Y46="","",INDEX('Per Line'!$F$2:$F$1001,$Y46))</f>
        <v/>
      </c>
      <c r="E46">
        <f>IF($Y46="","",INDEX('Per Line'!$G$2:$G$1001,$Y46)&amp;"")</f>
        <v/>
      </c>
      <c r="F46">
        <f>IF($Y46="","",INDEX('Per Line'!$I$2:$I$1001,$Y46)&amp;"")</f>
        <v/>
      </c>
      <c r="G46">
        <f>IF($Y46="","",INDEX('Per Line'!$J$2:$J$1001,$Y46)&amp;"")</f>
        <v/>
      </c>
      <c r="H46">
        <f>IF($Y46="","",INDEX('Per Line'!$K$2:$K$1001,$Y46)&amp;"")</f>
        <v/>
      </c>
      <c r="I46">
        <f>IF($Y46="","",INDEX('Per Line'!$O$2:$O$1001,$Y46))</f>
        <v/>
      </c>
      <c r="J46" s="7">
        <f>IF($Y46="","",IF(AND(ISNUMBER(L46),L46&gt;0,W46&gt;L46),I46*L46/100+(W46-L46),I46*W46/100))</f>
        <v/>
      </c>
      <c r="K46">
        <f>IF($Y46="","",INDEX('Per Line'!$Y$2:$Y$1001,$Y46)&amp;"")</f>
        <v/>
      </c>
      <c r="L46">
        <f>IF($Y46="","",INDEX('Per Line'!$AF$2:$AF$1001,$Y46))</f>
        <v/>
      </c>
      <c r="M46">
        <f>IF($Y46="","",IF(AND(ISNUMBER(L46),L46&gt;0),W46&gt;L46,FALSE))</f>
        <v/>
      </c>
      <c r="N46" s="7">
        <f>IF($Y46="","",SUMIFS('Per Line'!$X$2:$X$1001,'Per Line'!$D$2:$D$1001,$B46,'Per Line'!$AP$2:$AP$1001,1))</f>
        <v/>
      </c>
      <c r="O46">
        <f>IF($Y46="","",Settings!$C$7)</f>
        <v/>
      </c>
      <c r="P46" s="7">
        <f>IF($Y46="","",SUMIFS('Per Line'!$X$2:$X$1001,'Per Line'!$D$2:$D$1001,$B46,'Per Line'!$AO$2:$AO$1001,0,'Per Line'!$AP$2:$AP$1001,0))</f>
        <v/>
      </c>
      <c r="Q46" s="7">
        <f>IF($Y46="","",P46*O46)</f>
        <v/>
      </c>
      <c r="R46">
        <f>IF($Y46="","",Settings!$C$6)</f>
        <v/>
      </c>
      <c r="S46" s="7">
        <f>IF($Y46="","",SUMIFS('Per Line'!$X$2:$X$1001,'Per Line'!$D$2:$D$1001,$B46,'Per Line'!$AO$2:$AO$1001,1,'Per Line'!$AP$2:$AP$1001,0))</f>
        <v/>
      </c>
      <c r="T46" s="7">
        <f>IF($Y46="","",S46*R46)</f>
        <v/>
      </c>
      <c r="U46" s="7">
        <f>IF($Y46="","",T46+Q46)</f>
        <v/>
      </c>
      <c r="V46" s="7">
        <f>IF($Y46="","",W46-U46)</f>
        <v/>
      </c>
      <c r="W46" s="7">
        <f>IF($Y46="","",P46+S46+N46)</f>
        <v/>
      </c>
      <c r="X46" s="7">
        <f>IF($Y46="","",W46-U46-J46)</f>
        <v/>
      </c>
      <c r="Y46" s="13">
        <f>IF(ROWS($Y$2:$Y46)&lt;=MAX('Per Line'!$AN$2:$AN$1001),MATCH(ROWS($Y$2:$Y46),'Per Line'!$AN$2:$AN$1001,0),"")</f>
        <v/>
      </c>
      <c r="Z46" s="14">
        <f>IF($Y46="","",J46-I46*W46/100)</f>
        <v/>
      </c>
    </row>
    <row r="47">
      <c r="A47" s="12" t="n"/>
      <c r="B47">
        <f>IF($Y47="","",INDEX('Per Line'!$D$2:$D$1001,$Y47)&amp;"")</f>
        <v/>
      </c>
      <c r="C47">
        <f>IF($Y47="","",INDEX('Per Line'!$C$2:$C$1001,$Y47)&amp;"")</f>
        <v/>
      </c>
      <c r="D47" s="11">
        <f>IF($Y47="","",INDEX('Per Line'!$F$2:$F$1001,$Y47))</f>
        <v/>
      </c>
      <c r="E47">
        <f>IF($Y47="","",INDEX('Per Line'!$G$2:$G$1001,$Y47)&amp;"")</f>
        <v/>
      </c>
      <c r="F47">
        <f>IF($Y47="","",INDEX('Per Line'!$I$2:$I$1001,$Y47)&amp;"")</f>
        <v/>
      </c>
      <c r="G47">
        <f>IF($Y47="","",INDEX('Per Line'!$J$2:$J$1001,$Y47)&amp;"")</f>
        <v/>
      </c>
      <c r="H47">
        <f>IF($Y47="","",INDEX('Per Line'!$K$2:$K$1001,$Y47)&amp;"")</f>
        <v/>
      </c>
      <c r="I47">
        <f>IF($Y47="","",INDEX('Per Line'!$O$2:$O$1001,$Y47))</f>
        <v/>
      </c>
      <c r="J47" s="7">
        <f>IF($Y47="","",IF(AND(ISNUMBER(L47),L47&gt;0,W47&gt;L47),I47*L47/100+(W47-L47),I47*W47/100))</f>
        <v/>
      </c>
      <c r="K47">
        <f>IF($Y47="","",INDEX('Per Line'!$Y$2:$Y$1001,$Y47)&amp;"")</f>
        <v/>
      </c>
      <c r="L47">
        <f>IF($Y47="","",INDEX('Per Line'!$AF$2:$AF$1001,$Y47))</f>
        <v/>
      </c>
      <c r="M47">
        <f>IF($Y47="","",IF(AND(ISNUMBER(L47),L47&gt;0),W47&gt;L47,FALSE))</f>
        <v/>
      </c>
      <c r="N47" s="7">
        <f>IF($Y47="","",SUMIFS('Per Line'!$X$2:$X$1001,'Per Line'!$D$2:$D$1001,$B47,'Per Line'!$AP$2:$AP$1001,1))</f>
        <v/>
      </c>
      <c r="O47">
        <f>IF($Y47="","",Settings!$C$7)</f>
        <v/>
      </c>
      <c r="P47" s="7">
        <f>IF($Y47="","",SUMIFS('Per Line'!$X$2:$X$1001,'Per Line'!$D$2:$D$1001,$B47,'Per Line'!$AO$2:$AO$1001,0,'Per Line'!$AP$2:$AP$1001,0))</f>
        <v/>
      </c>
      <c r="Q47" s="7">
        <f>IF($Y47="","",P47*O47)</f>
        <v/>
      </c>
      <c r="R47">
        <f>IF($Y47="","",Settings!$C$6)</f>
        <v/>
      </c>
      <c r="S47" s="7">
        <f>IF($Y47="","",SUMIFS('Per Line'!$X$2:$X$1001,'Per Line'!$D$2:$D$1001,$B47,'Per Line'!$AO$2:$AO$1001,1,'Per Line'!$AP$2:$AP$1001,0))</f>
        <v/>
      </c>
      <c r="T47" s="7">
        <f>IF($Y47="","",S47*R47)</f>
        <v/>
      </c>
      <c r="U47" s="7">
        <f>IF($Y47="","",T47+Q47)</f>
        <v/>
      </c>
      <c r="V47" s="7">
        <f>IF($Y47="","",W47-U47)</f>
        <v/>
      </c>
      <c r="W47" s="7">
        <f>IF($Y47="","",P47+S47+N47)</f>
        <v/>
      </c>
      <c r="X47" s="7">
        <f>IF($Y47="","",W47-U47-J47)</f>
        <v/>
      </c>
      <c r="Y47" s="13">
        <f>IF(ROWS($Y$2:$Y47)&lt;=MAX('Per Line'!$AN$2:$AN$1001),MATCH(ROWS($Y$2:$Y47),'Per Line'!$AN$2:$AN$1001,0),"")</f>
        <v/>
      </c>
      <c r="Z47" s="14">
        <f>IF($Y47="","",J47-I47*W47/100)</f>
        <v/>
      </c>
    </row>
    <row r="48">
      <c r="A48" s="12" t="n"/>
      <c r="B48">
        <f>IF($Y48="","",INDEX('Per Line'!$D$2:$D$1001,$Y48)&amp;"")</f>
        <v/>
      </c>
      <c r="C48">
        <f>IF($Y48="","",INDEX('Per Line'!$C$2:$C$1001,$Y48)&amp;"")</f>
        <v/>
      </c>
      <c r="D48" s="11">
        <f>IF($Y48="","",INDEX('Per Line'!$F$2:$F$1001,$Y48))</f>
        <v/>
      </c>
      <c r="E48">
        <f>IF($Y48="","",INDEX('Per Line'!$G$2:$G$1001,$Y48)&amp;"")</f>
        <v/>
      </c>
      <c r="F48">
        <f>IF($Y48="","",INDEX('Per Line'!$I$2:$I$1001,$Y48)&amp;"")</f>
        <v/>
      </c>
      <c r="G48">
        <f>IF($Y48="","",INDEX('Per Line'!$J$2:$J$1001,$Y48)&amp;"")</f>
        <v/>
      </c>
      <c r="H48">
        <f>IF($Y48="","",INDEX('Per Line'!$K$2:$K$1001,$Y48)&amp;"")</f>
        <v/>
      </c>
      <c r="I48">
        <f>IF($Y48="","",INDEX('Per Line'!$O$2:$O$1001,$Y48))</f>
        <v/>
      </c>
      <c r="J48" s="7">
        <f>IF($Y48="","",IF(AND(ISNUMBER(L48),L48&gt;0,W48&gt;L48),I48*L48/100+(W48-L48),I48*W48/100))</f>
        <v/>
      </c>
      <c r="K48">
        <f>IF($Y48="","",INDEX('Per Line'!$Y$2:$Y$1001,$Y48)&amp;"")</f>
        <v/>
      </c>
      <c r="L48">
        <f>IF($Y48="","",INDEX('Per Line'!$AF$2:$AF$1001,$Y48))</f>
        <v/>
      </c>
      <c r="M48">
        <f>IF($Y48="","",IF(AND(ISNUMBER(L48),L48&gt;0),W48&gt;L48,FALSE))</f>
        <v/>
      </c>
      <c r="N48" s="7">
        <f>IF($Y48="","",SUMIFS('Per Line'!$X$2:$X$1001,'Per Line'!$D$2:$D$1001,$B48,'Per Line'!$AP$2:$AP$1001,1))</f>
        <v/>
      </c>
      <c r="O48">
        <f>IF($Y48="","",Settings!$C$7)</f>
        <v/>
      </c>
      <c r="P48" s="7">
        <f>IF($Y48="","",SUMIFS('Per Line'!$X$2:$X$1001,'Per Line'!$D$2:$D$1001,$B48,'Per Line'!$AO$2:$AO$1001,0,'Per Line'!$AP$2:$AP$1001,0))</f>
        <v/>
      </c>
      <c r="Q48" s="7">
        <f>IF($Y48="","",P48*O48)</f>
        <v/>
      </c>
      <c r="R48">
        <f>IF($Y48="","",Settings!$C$6)</f>
        <v/>
      </c>
      <c r="S48" s="7">
        <f>IF($Y48="","",SUMIFS('Per Line'!$X$2:$X$1001,'Per Line'!$D$2:$D$1001,$B48,'Per Line'!$AO$2:$AO$1001,1,'Per Line'!$AP$2:$AP$1001,0))</f>
        <v/>
      </c>
      <c r="T48" s="7">
        <f>IF($Y48="","",S48*R48)</f>
        <v/>
      </c>
      <c r="U48" s="7">
        <f>IF($Y48="","",T48+Q48)</f>
        <v/>
      </c>
      <c r="V48" s="7">
        <f>IF($Y48="","",W48-U48)</f>
        <v/>
      </c>
      <c r="W48" s="7">
        <f>IF($Y48="","",P48+S48+N48)</f>
        <v/>
      </c>
      <c r="X48" s="7">
        <f>IF($Y48="","",W48-U48-J48)</f>
        <v/>
      </c>
      <c r="Y48" s="13">
        <f>IF(ROWS($Y$2:$Y48)&lt;=MAX('Per Line'!$AN$2:$AN$1001),MATCH(ROWS($Y$2:$Y48),'Per Line'!$AN$2:$AN$1001,0),"")</f>
        <v/>
      </c>
      <c r="Z48" s="14">
        <f>IF($Y48="","",J48-I48*W48/100)</f>
        <v/>
      </c>
    </row>
    <row r="49">
      <c r="A49" s="12" t="n"/>
      <c r="B49">
        <f>IF($Y49="","",INDEX('Per Line'!$D$2:$D$1001,$Y49)&amp;"")</f>
        <v/>
      </c>
      <c r="C49">
        <f>IF($Y49="","",INDEX('Per Line'!$C$2:$C$1001,$Y49)&amp;"")</f>
        <v/>
      </c>
      <c r="D49" s="11">
        <f>IF($Y49="","",INDEX('Per Line'!$F$2:$F$1001,$Y49))</f>
        <v/>
      </c>
      <c r="E49">
        <f>IF($Y49="","",INDEX('Per Line'!$G$2:$G$1001,$Y49)&amp;"")</f>
        <v/>
      </c>
      <c r="F49">
        <f>IF($Y49="","",INDEX('Per Line'!$I$2:$I$1001,$Y49)&amp;"")</f>
        <v/>
      </c>
      <c r="G49">
        <f>IF($Y49="","",INDEX('Per Line'!$J$2:$J$1001,$Y49)&amp;"")</f>
        <v/>
      </c>
      <c r="H49">
        <f>IF($Y49="","",INDEX('Per Line'!$K$2:$K$1001,$Y49)&amp;"")</f>
        <v/>
      </c>
      <c r="I49">
        <f>IF($Y49="","",INDEX('Per Line'!$O$2:$O$1001,$Y49))</f>
        <v/>
      </c>
      <c r="J49" s="7">
        <f>IF($Y49="","",IF(AND(ISNUMBER(L49),L49&gt;0,W49&gt;L49),I49*L49/100+(W49-L49),I49*W49/100))</f>
        <v/>
      </c>
      <c r="K49">
        <f>IF($Y49="","",INDEX('Per Line'!$Y$2:$Y$1001,$Y49)&amp;"")</f>
        <v/>
      </c>
      <c r="L49">
        <f>IF($Y49="","",INDEX('Per Line'!$AF$2:$AF$1001,$Y49))</f>
        <v/>
      </c>
      <c r="M49">
        <f>IF($Y49="","",IF(AND(ISNUMBER(L49),L49&gt;0),W49&gt;L49,FALSE))</f>
        <v/>
      </c>
      <c r="N49" s="7">
        <f>IF($Y49="","",SUMIFS('Per Line'!$X$2:$X$1001,'Per Line'!$D$2:$D$1001,$B49,'Per Line'!$AP$2:$AP$1001,1))</f>
        <v/>
      </c>
      <c r="O49">
        <f>IF($Y49="","",Settings!$C$7)</f>
        <v/>
      </c>
      <c r="P49" s="7">
        <f>IF($Y49="","",SUMIFS('Per Line'!$X$2:$X$1001,'Per Line'!$D$2:$D$1001,$B49,'Per Line'!$AO$2:$AO$1001,0,'Per Line'!$AP$2:$AP$1001,0))</f>
        <v/>
      </c>
      <c r="Q49" s="7">
        <f>IF($Y49="","",P49*O49)</f>
        <v/>
      </c>
      <c r="R49">
        <f>IF($Y49="","",Settings!$C$6)</f>
        <v/>
      </c>
      <c r="S49" s="7">
        <f>IF($Y49="","",SUMIFS('Per Line'!$X$2:$X$1001,'Per Line'!$D$2:$D$1001,$B49,'Per Line'!$AO$2:$AO$1001,1,'Per Line'!$AP$2:$AP$1001,0))</f>
        <v/>
      </c>
      <c r="T49" s="7">
        <f>IF($Y49="","",S49*R49)</f>
        <v/>
      </c>
      <c r="U49" s="7">
        <f>IF($Y49="","",T49+Q49)</f>
        <v/>
      </c>
      <c r="V49" s="7">
        <f>IF($Y49="","",W49-U49)</f>
        <v/>
      </c>
      <c r="W49" s="7">
        <f>IF($Y49="","",P49+S49+N49)</f>
        <v/>
      </c>
      <c r="X49" s="7">
        <f>IF($Y49="","",W49-U49-J49)</f>
        <v/>
      </c>
      <c r="Y49" s="13">
        <f>IF(ROWS($Y$2:$Y49)&lt;=MAX('Per Line'!$AN$2:$AN$1001),MATCH(ROWS($Y$2:$Y49),'Per Line'!$AN$2:$AN$1001,0),"")</f>
        <v/>
      </c>
      <c r="Z49" s="14">
        <f>IF($Y49="","",J49-I49*W49/100)</f>
        <v/>
      </c>
    </row>
    <row r="50">
      <c r="A50" s="12" t="n"/>
      <c r="B50">
        <f>IF($Y50="","",INDEX('Per Line'!$D$2:$D$1001,$Y50)&amp;"")</f>
        <v/>
      </c>
      <c r="C50">
        <f>IF($Y50="","",INDEX('Per Line'!$C$2:$C$1001,$Y50)&amp;"")</f>
        <v/>
      </c>
      <c r="D50" s="11">
        <f>IF($Y50="","",INDEX('Per Line'!$F$2:$F$1001,$Y50))</f>
        <v/>
      </c>
      <c r="E50">
        <f>IF($Y50="","",INDEX('Per Line'!$G$2:$G$1001,$Y50)&amp;"")</f>
        <v/>
      </c>
      <c r="F50">
        <f>IF($Y50="","",INDEX('Per Line'!$I$2:$I$1001,$Y50)&amp;"")</f>
        <v/>
      </c>
      <c r="G50">
        <f>IF($Y50="","",INDEX('Per Line'!$J$2:$J$1001,$Y50)&amp;"")</f>
        <v/>
      </c>
      <c r="H50">
        <f>IF($Y50="","",INDEX('Per Line'!$K$2:$K$1001,$Y50)&amp;"")</f>
        <v/>
      </c>
      <c r="I50">
        <f>IF($Y50="","",INDEX('Per Line'!$O$2:$O$1001,$Y50))</f>
        <v/>
      </c>
      <c r="J50" s="7">
        <f>IF($Y50="","",IF(AND(ISNUMBER(L50),L50&gt;0,W50&gt;L50),I50*L50/100+(W50-L50),I50*W50/100))</f>
        <v/>
      </c>
      <c r="K50">
        <f>IF($Y50="","",INDEX('Per Line'!$Y$2:$Y$1001,$Y50)&amp;"")</f>
        <v/>
      </c>
      <c r="L50">
        <f>IF($Y50="","",INDEX('Per Line'!$AF$2:$AF$1001,$Y50))</f>
        <v/>
      </c>
      <c r="M50">
        <f>IF($Y50="","",IF(AND(ISNUMBER(L50),L50&gt;0),W50&gt;L50,FALSE))</f>
        <v/>
      </c>
      <c r="N50" s="7">
        <f>IF($Y50="","",SUMIFS('Per Line'!$X$2:$X$1001,'Per Line'!$D$2:$D$1001,$B50,'Per Line'!$AP$2:$AP$1001,1))</f>
        <v/>
      </c>
      <c r="O50">
        <f>IF($Y50="","",Settings!$C$7)</f>
        <v/>
      </c>
      <c r="P50" s="7">
        <f>IF($Y50="","",SUMIFS('Per Line'!$X$2:$X$1001,'Per Line'!$D$2:$D$1001,$B50,'Per Line'!$AO$2:$AO$1001,0,'Per Line'!$AP$2:$AP$1001,0))</f>
        <v/>
      </c>
      <c r="Q50" s="7">
        <f>IF($Y50="","",P50*O50)</f>
        <v/>
      </c>
      <c r="R50">
        <f>IF($Y50="","",Settings!$C$6)</f>
        <v/>
      </c>
      <c r="S50" s="7">
        <f>IF($Y50="","",SUMIFS('Per Line'!$X$2:$X$1001,'Per Line'!$D$2:$D$1001,$B50,'Per Line'!$AO$2:$AO$1001,1,'Per Line'!$AP$2:$AP$1001,0))</f>
        <v/>
      </c>
      <c r="T50" s="7">
        <f>IF($Y50="","",S50*R50)</f>
        <v/>
      </c>
      <c r="U50" s="7">
        <f>IF($Y50="","",T50+Q50)</f>
        <v/>
      </c>
      <c r="V50" s="7">
        <f>IF($Y50="","",W50-U50)</f>
        <v/>
      </c>
      <c r="W50" s="7">
        <f>IF($Y50="","",P50+S50+N50)</f>
        <v/>
      </c>
      <c r="X50" s="7">
        <f>IF($Y50="","",W50-U50-J50)</f>
        <v/>
      </c>
      <c r="Y50" s="13">
        <f>IF(ROWS($Y$2:$Y50)&lt;=MAX('Per Line'!$AN$2:$AN$1001),MATCH(ROWS($Y$2:$Y50),'Per Line'!$AN$2:$AN$1001,0),"")</f>
        <v/>
      </c>
      <c r="Z50" s="14">
        <f>IF($Y50="","",J50-I50*W50/100)</f>
        <v/>
      </c>
    </row>
    <row r="51">
      <c r="A51" s="12" t="n"/>
      <c r="B51">
        <f>IF($Y51="","",INDEX('Per Line'!$D$2:$D$1001,$Y51)&amp;"")</f>
        <v/>
      </c>
      <c r="C51">
        <f>IF($Y51="","",INDEX('Per Line'!$C$2:$C$1001,$Y51)&amp;"")</f>
        <v/>
      </c>
      <c r="D51" s="11">
        <f>IF($Y51="","",INDEX('Per Line'!$F$2:$F$1001,$Y51))</f>
        <v/>
      </c>
      <c r="E51">
        <f>IF($Y51="","",INDEX('Per Line'!$G$2:$G$1001,$Y51)&amp;"")</f>
        <v/>
      </c>
      <c r="F51">
        <f>IF($Y51="","",INDEX('Per Line'!$I$2:$I$1001,$Y51)&amp;"")</f>
        <v/>
      </c>
      <c r="G51">
        <f>IF($Y51="","",INDEX('Per Line'!$J$2:$J$1001,$Y51)&amp;"")</f>
        <v/>
      </c>
      <c r="H51">
        <f>IF($Y51="","",INDEX('Per Line'!$K$2:$K$1001,$Y51)&amp;"")</f>
        <v/>
      </c>
      <c r="I51">
        <f>IF($Y51="","",INDEX('Per Line'!$O$2:$O$1001,$Y51))</f>
        <v/>
      </c>
      <c r="J51" s="7">
        <f>IF($Y51="","",IF(AND(ISNUMBER(L51),L51&gt;0,W51&gt;L51),I51*L51/100+(W51-L51),I51*W51/100))</f>
        <v/>
      </c>
      <c r="K51">
        <f>IF($Y51="","",INDEX('Per Line'!$Y$2:$Y$1001,$Y51)&amp;"")</f>
        <v/>
      </c>
      <c r="L51">
        <f>IF($Y51="","",INDEX('Per Line'!$AF$2:$AF$1001,$Y51))</f>
        <v/>
      </c>
      <c r="M51">
        <f>IF($Y51="","",IF(AND(ISNUMBER(L51),L51&gt;0),W51&gt;L51,FALSE))</f>
        <v/>
      </c>
      <c r="N51" s="7">
        <f>IF($Y51="","",SUMIFS('Per Line'!$X$2:$X$1001,'Per Line'!$D$2:$D$1001,$B51,'Per Line'!$AP$2:$AP$1001,1))</f>
        <v/>
      </c>
      <c r="O51">
        <f>IF($Y51="","",Settings!$C$7)</f>
        <v/>
      </c>
      <c r="P51" s="7">
        <f>IF($Y51="","",SUMIFS('Per Line'!$X$2:$X$1001,'Per Line'!$D$2:$D$1001,$B51,'Per Line'!$AO$2:$AO$1001,0,'Per Line'!$AP$2:$AP$1001,0))</f>
        <v/>
      </c>
      <c r="Q51" s="7">
        <f>IF($Y51="","",P51*O51)</f>
        <v/>
      </c>
      <c r="R51">
        <f>IF($Y51="","",Settings!$C$6)</f>
        <v/>
      </c>
      <c r="S51" s="7">
        <f>IF($Y51="","",SUMIFS('Per Line'!$X$2:$X$1001,'Per Line'!$D$2:$D$1001,$B51,'Per Line'!$AO$2:$AO$1001,1,'Per Line'!$AP$2:$AP$1001,0))</f>
        <v/>
      </c>
      <c r="T51" s="7">
        <f>IF($Y51="","",S51*R51)</f>
        <v/>
      </c>
      <c r="U51" s="7">
        <f>IF($Y51="","",T51+Q51)</f>
        <v/>
      </c>
      <c r="V51" s="7">
        <f>IF($Y51="","",W51-U51)</f>
        <v/>
      </c>
      <c r="W51" s="7">
        <f>IF($Y51="","",P51+S51+N51)</f>
        <v/>
      </c>
      <c r="X51" s="7">
        <f>IF($Y51="","",W51-U51-J51)</f>
        <v/>
      </c>
      <c r="Y51" s="13">
        <f>IF(ROWS($Y$2:$Y51)&lt;=MAX('Per Line'!$AN$2:$AN$1001),MATCH(ROWS($Y$2:$Y51),'Per Line'!$AN$2:$AN$1001,0),"")</f>
        <v/>
      </c>
      <c r="Z51" s="14">
        <f>IF($Y51="","",J51-I51*W51/100)</f>
        <v/>
      </c>
    </row>
    <row r="52">
      <c r="A52" s="12" t="n"/>
      <c r="B52">
        <f>IF($Y52="","",INDEX('Per Line'!$D$2:$D$1001,$Y52)&amp;"")</f>
        <v/>
      </c>
      <c r="C52">
        <f>IF($Y52="","",INDEX('Per Line'!$C$2:$C$1001,$Y52)&amp;"")</f>
        <v/>
      </c>
      <c r="D52" s="11">
        <f>IF($Y52="","",INDEX('Per Line'!$F$2:$F$1001,$Y52))</f>
        <v/>
      </c>
      <c r="E52">
        <f>IF($Y52="","",INDEX('Per Line'!$G$2:$G$1001,$Y52)&amp;"")</f>
        <v/>
      </c>
      <c r="F52">
        <f>IF($Y52="","",INDEX('Per Line'!$I$2:$I$1001,$Y52)&amp;"")</f>
        <v/>
      </c>
      <c r="G52">
        <f>IF($Y52="","",INDEX('Per Line'!$J$2:$J$1001,$Y52)&amp;"")</f>
        <v/>
      </c>
      <c r="H52">
        <f>IF($Y52="","",INDEX('Per Line'!$K$2:$K$1001,$Y52)&amp;"")</f>
        <v/>
      </c>
      <c r="I52">
        <f>IF($Y52="","",INDEX('Per Line'!$O$2:$O$1001,$Y52))</f>
        <v/>
      </c>
      <c r="J52" s="7">
        <f>IF($Y52="","",IF(AND(ISNUMBER(L52),L52&gt;0,W52&gt;L52),I52*L52/100+(W52-L52),I52*W52/100))</f>
        <v/>
      </c>
      <c r="K52">
        <f>IF($Y52="","",INDEX('Per Line'!$Y$2:$Y$1001,$Y52)&amp;"")</f>
        <v/>
      </c>
      <c r="L52">
        <f>IF($Y52="","",INDEX('Per Line'!$AF$2:$AF$1001,$Y52))</f>
        <v/>
      </c>
      <c r="M52">
        <f>IF($Y52="","",IF(AND(ISNUMBER(L52),L52&gt;0),W52&gt;L52,FALSE))</f>
        <v/>
      </c>
      <c r="N52" s="7">
        <f>IF($Y52="","",SUMIFS('Per Line'!$X$2:$X$1001,'Per Line'!$D$2:$D$1001,$B52,'Per Line'!$AP$2:$AP$1001,1))</f>
        <v/>
      </c>
      <c r="O52">
        <f>IF($Y52="","",Settings!$C$7)</f>
        <v/>
      </c>
      <c r="P52" s="7">
        <f>IF($Y52="","",SUMIFS('Per Line'!$X$2:$X$1001,'Per Line'!$D$2:$D$1001,$B52,'Per Line'!$AO$2:$AO$1001,0,'Per Line'!$AP$2:$AP$1001,0))</f>
        <v/>
      </c>
      <c r="Q52" s="7">
        <f>IF($Y52="","",P52*O52)</f>
        <v/>
      </c>
      <c r="R52">
        <f>IF($Y52="","",Settings!$C$6)</f>
        <v/>
      </c>
      <c r="S52" s="7">
        <f>IF($Y52="","",SUMIFS('Per Line'!$X$2:$X$1001,'Per Line'!$D$2:$D$1001,$B52,'Per Line'!$AO$2:$AO$1001,1,'Per Line'!$AP$2:$AP$1001,0))</f>
        <v/>
      </c>
      <c r="T52" s="7">
        <f>IF($Y52="","",S52*R52)</f>
        <v/>
      </c>
      <c r="U52" s="7">
        <f>IF($Y52="","",T52+Q52)</f>
        <v/>
      </c>
      <c r="V52" s="7">
        <f>IF($Y52="","",W52-U52)</f>
        <v/>
      </c>
      <c r="W52" s="7">
        <f>IF($Y52="","",P52+S52+N52)</f>
        <v/>
      </c>
      <c r="X52" s="7">
        <f>IF($Y52="","",W52-U52-J52)</f>
        <v/>
      </c>
      <c r="Y52" s="13">
        <f>IF(ROWS($Y$2:$Y52)&lt;=MAX('Per Line'!$AN$2:$AN$1001),MATCH(ROWS($Y$2:$Y52),'Per Line'!$AN$2:$AN$1001,0),"")</f>
        <v/>
      </c>
      <c r="Z52" s="14">
        <f>IF($Y52="","",J52-I52*W52/100)</f>
        <v/>
      </c>
    </row>
    <row r="53">
      <c r="A53" s="12" t="n"/>
      <c r="B53">
        <f>IF($Y53="","",INDEX('Per Line'!$D$2:$D$1001,$Y53)&amp;"")</f>
        <v/>
      </c>
      <c r="C53">
        <f>IF($Y53="","",INDEX('Per Line'!$C$2:$C$1001,$Y53)&amp;"")</f>
        <v/>
      </c>
      <c r="D53" s="11">
        <f>IF($Y53="","",INDEX('Per Line'!$F$2:$F$1001,$Y53))</f>
        <v/>
      </c>
      <c r="E53">
        <f>IF($Y53="","",INDEX('Per Line'!$G$2:$G$1001,$Y53)&amp;"")</f>
        <v/>
      </c>
      <c r="F53">
        <f>IF($Y53="","",INDEX('Per Line'!$I$2:$I$1001,$Y53)&amp;"")</f>
        <v/>
      </c>
      <c r="G53">
        <f>IF($Y53="","",INDEX('Per Line'!$J$2:$J$1001,$Y53)&amp;"")</f>
        <v/>
      </c>
      <c r="H53">
        <f>IF($Y53="","",INDEX('Per Line'!$K$2:$K$1001,$Y53)&amp;"")</f>
        <v/>
      </c>
      <c r="I53">
        <f>IF($Y53="","",INDEX('Per Line'!$O$2:$O$1001,$Y53))</f>
        <v/>
      </c>
      <c r="J53" s="7">
        <f>IF($Y53="","",IF(AND(ISNUMBER(L53),L53&gt;0,W53&gt;L53),I53*L53/100+(W53-L53),I53*W53/100))</f>
        <v/>
      </c>
      <c r="K53">
        <f>IF($Y53="","",INDEX('Per Line'!$Y$2:$Y$1001,$Y53)&amp;"")</f>
        <v/>
      </c>
      <c r="L53">
        <f>IF($Y53="","",INDEX('Per Line'!$AF$2:$AF$1001,$Y53))</f>
        <v/>
      </c>
      <c r="M53">
        <f>IF($Y53="","",IF(AND(ISNUMBER(L53),L53&gt;0),W53&gt;L53,FALSE))</f>
        <v/>
      </c>
      <c r="N53" s="7">
        <f>IF($Y53="","",SUMIFS('Per Line'!$X$2:$X$1001,'Per Line'!$D$2:$D$1001,$B53,'Per Line'!$AP$2:$AP$1001,1))</f>
        <v/>
      </c>
      <c r="O53">
        <f>IF($Y53="","",Settings!$C$7)</f>
        <v/>
      </c>
      <c r="P53" s="7">
        <f>IF($Y53="","",SUMIFS('Per Line'!$X$2:$X$1001,'Per Line'!$D$2:$D$1001,$B53,'Per Line'!$AO$2:$AO$1001,0,'Per Line'!$AP$2:$AP$1001,0))</f>
        <v/>
      </c>
      <c r="Q53" s="7">
        <f>IF($Y53="","",P53*O53)</f>
        <v/>
      </c>
      <c r="R53">
        <f>IF($Y53="","",Settings!$C$6)</f>
        <v/>
      </c>
      <c r="S53" s="7">
        <f>IF($Y53="","",SUMIFS('Per Line'!$X$2:$X$1001,'Per Line'!$D$2:$D$1001,$B53,'Per Line'!$AO$2:$AO$1001,1,'Per Line'!$AP$2:$AP$1001,0))</f>
        <v/>
      </c>
      <c r="T53" s="7">
        <f>IF($Y53="","",S53*R53)</f>
        <v/>
      </c>
      <c r="U53" s="7">
        <f>IF($Y53="","",T53+Q53)</f>
        <v/>
      </c>
      <c r="V53" s="7">
        <f>IF($Y53="","",W53-U53)</f>
        <v/>
      </c>
      <c r="W53" s="7">
        <f>IF($Y53="","",P53+S53+N53)</f>
        <v/>
      </c>
      <c r="X53" s="7">
        <f>IF($Y53="","",W53-U53-J53)</f>
        <v/>
      </c>
      <c r="Y53" s="13">
        <f>IF(ROWS($Y$2:$Y53)&lt;=MAX('Per Line'!$AN$2:$AN$1001),MATCH(ROWS($Y$2:$Y53),'Per Line'!$AN$2:$AN$1001,0),"")</f>
        <v/>
      </c>
      <c r="Z53" s="14">
        <f>IF($Y53="","",J53-I53*W53/100)</f>
        <v/>
      </c>
    </row>
    <row r="54">
      <c r="A54" s="12" t="n"/>
      <c r="B54">
        <f>IF($Y54="","",INDEX('Per Line'!$D$2:$D$1001,$Y54)&amp;"")</f>
        <v/>
      </c>
      <c r="C54">
        <f>IF($Y54="","",INDEX('Per Line'!$C$2:$C$1001,$Y54)&amp;"")</f>
        <v/>
      </c>
      <c r="D54" s="11">
        <f>IF($Y54="","",INDEX('Per Line'!$F$2:$F$1001,$Y54))</f>
        <v/>
      </c>
      <c r="E54">
        <f>IF($Y54="","",INDEX('Per Line'!$G$2:$G$1001,$Y54)&amp;"")</f>
        <v/>
      </c>
      <c r="F54">
        <f>IF($Y54="","",INDEX('Per Line'!$I$2:$I$1001,$Y54)&amp;"")</f>
        <v/>
      </c>
      <c r="G54">
        <f>IF($Y54="","",INDEX('Per Line'!$J$2:$J$1001,$Y54)&amp;"")</f>
        <v/>
      </c>
      <c r="H54">
        <f>IF($Y54="","",INDEX('Per Line'!$K$2:$K$1001,$Y54)&amp;"")</f>
        <v/>
      </c>
      <c r="I54">
        <f>IF($Y54="","",INDEX('Per Line'!$O$2:$O$1001,$Y54))</f>
        <v/>
      </c>
      <c r="J54" s="7">
        <f>IF($Y54="","",IF(AND(ISNUMBER(L54),L54&gt;0,W54&gt;L54),I54*L54/100+(W54-L54),I54*W54/100))</f>
        <v/>
      </c>
      <c r="K54">
        <f>IF($Y54="","",INDEX('Per Line'!$Y$2:$Y$1001,$Y54)&amp;"")</f>
        <v/>
      </c>
      <c r="L54">
        <f>IF($Y54="","",INDEX('Per Line'!$AF$2:$AF$1001,$Y54))</f>
        <v/>
      </c>
      <c r="M54">
        <f>IF($Y54="","",IF(AND(ISNUMBER(L54),L54&gt;0),W54&gt;L54,FALSE))</f>
        <v/>
      </c>
      <c r="N54" s="7">
        <f>IF($Y54="","",SUMIFS('Per Line'!$X$2:$X$1001,'Per Line'!$D$2:$D$1001,$B54,'Per Line'!$AP$2:$AP$1001,1))</f>
        <v/>
      </c>
      <c r="O54">
        <f>IF($Y54="","",Settings!$C$7)</f>
        <v/>
      </c>
      <c r="P54" s="7">
        <f>IF($Y54="","",SUMIFS('Per Line'!$X$2:$X$1001,'Per Line'!$D$2:$D$1001,$B54,'Per Line'!$AO$2:$AO$1001,0,'Per Line'!$AP$2:$AP$1001,0))</f>
        <v/>
      </c>
      <c r="Q54" s="7">
        <f>IF($Y54="","",P54*O54)</f>
        <v/>
      </c>
      <c r="R54">
        <f>IF($Y54="","",Settings!$C$6)</f>
        <v/>
      </c>
      <c r="S54" s="7">
        <f>IF($Y54="","",SUMIFS('Per Line'!$X$2:$X$1001,'Per Line'!$D$2:$D$1001,$B54,'Per Line'!$AO$2:$AO$1001,1,'Per Line'!$AP$2:$AP$1001,0))</f>
        <v/>
      </c>
      <c r="T54" s="7">
        <f>IF($Y54="","",S54*R54)</f>
        <v/>
      </c>
      <c r="U54" s="7">
        <f>IF($Y54="","",T54+Q54)</f>
        <v/>
      </c>
      <c r="V54" s="7">
        <f>IF($Y54="","",W54-U54)</f>
        <v/>
      </c>
      <c r="W54" s="7">
        <f>IF($Y54="","",P54+S54+N54)</f>
        <v/>
      </c>
      <c r="X54" s="7">
        <f>IF($Y54="","",W54-U54-J54)</f>
        <v/>
      </c>
      <c r="Y54" s="13">
        <f>IF(ROWS($Y$2:$Y54)&lt;=MAX('Per Line'!$AN$2:$AN$1001),MATCH(ROWS($Y$2:$Y54),'Per Line'!$AN$2:$AN$1001,0),"")</f>
        <v/>
      </c>
      <c r="Z54" s="14">
        <f>IF($Y54="","",J54-I54*W54/100)</f>
        <v/>
      </c>
    </row>
    <row r="55">
      <c r="A55" s="12" t="n"/>
      <c r="B55">
        <f>IF($Y55="","",INDEX('Per Line'!$D$2:$D$1001,$Y55)&amp;"")</f>
        <v/>
      </c>
      <c r="C55">
        <f>IF($Y55="","",INDEX('Per Line'!$C$2:$C$1001,$Y55)&amp;"")</f>
        <v/>
      </c>
      <c r="D55" s="11">
        <f>IF($Y55="","",INDEX('Per Line'!$F$2:$F$1001,$Y55))</f>
        <v/>
      </c>
      <c r="E55">
        <f>IF($Y55="","",INDEX('Per Line'!$G$2:$G$1001,$Y55)&amp;"")</f>
        <v/>
      </c>
      <c r="F55">
        <f>IF($Y55="","",INDEX('Per Line'!$I$2:$I$1001,$Y55)&amp;"")</f>
        <v/>
      </c>
      <c r="G55">
        <f>IF($Y55="","",INDEX('Per Line'!$J$2:$J$1001,$Y55)&amp;"")</f>
        <v/>
      </c>
      <c r="H55">
        <f>IF($Y55="","",INDEX('Per Line'!$K$2:$K$1001,$Y55)&amp;"")</f>
        <v/>
      </c>
      <c r="I55">
        <f>IF($Y55="","",INDEX('Per Line'!$O$2:$O$1001,$Y55))</f>
        <v/>
      </c>
      <c r="J55" s="7">
        <f>IF($Y55="","",IF(AND(ISNUMBER(L55),L55&gt;0,W55&gt;L55),I55*L55/100+(W55-L55),I55*W55/100))</f>
        <v/>
      </c>
      <c r="K55">
        <f>IF($Y55="","",INDEX('Per Line'!$Y$2:$Y$1001,$Y55)&amp;"")</f>
        <v/>
      </c>
      <c r="L55">
        <f>IF($Y55="","",INDEX('Per Line'!$AF$2:$AF$1001,$Y55))</f>
        <v/>
      </c>
      <c r="M55">
        <f>IF($Y55="","",IF(AND(ISNUMBER(L55),L55&gt;0),W55&gt;L55,FALSE))</f>
        <v/>
      </c>
      <c r="N55" s="7">
        <f>IF($Y55="","",SUMIFS('Per Line'!$X$2:$X$1001,'Per Line'!$D$2:$D$1001,$B55,'Per Line'!$AP$2:$AP$1001,1))</f>
        <v/>
      </c>
      <c r="O55">
        <f>IF($Y55="","",Settings!$C$7)</f>
        <v/>
      </c>
      <c r="P55" s="7">
        <f>IF($Y55="","",SUMIFS('Per Line'!$X$2:$X$1001,'Per Line'!$D$2:$D$1001,$B55,'Per Line'!$AO$2:$AO$1001,0,'Per Line'!$AP$2:$AP$1001,0))</f>
        <v/>
      </c>
      <c r="Q55" s="7">
        <f>IF($Y55="","",P55*O55)</f>
        <v/>
      </c>
      <c r="R55">
        <f>IF($Y55="","",Settings!$C$6)</f>
        <v/>
      </c>
      <c r="S55" s="7">
        <f>IF($Y55="","",SUMIFS('Per Line'!$X$2:$X$1001,'Per Line'!$D$2:$D$1001,$B55,'Per Line'!$AO$2:$AO$1001,1,'Per Line'!$AP$2:$AP$1001,0))</f>
        <v/>
      </c>
      <c r="T55" s="7">
        <f>IF($Y55="","",S55*R55)</f>
        <v/>
      </c>
      <c r="U55" s="7">
        <f>IF($Y55="","",T55+Q55)</f>
        <v/>
      </c>
      <c r="V55" s="7">
        <f>IF($Y55="","",W55-U55)</f>
        <v/>
      </c>
      <c r="W55" s="7">
        <f>IF($Y55="","",P55+S55+N55)</f>
        <v/>
      </c>
      <c r="X55" s="7">
        <f>IF($Y55="","",W55-U55-J55)</f>
        <v/>
      </c>
      <c r="Y55" s="13">
        <f>IF(ROWS($Y$2:$Y55)&lt;=MAX('Per Line'!$AN$2:$AN$1001),MATCH(ROWS($Y$2:$Y55),'Per Line'!$AN$2:$AN$1001,0),"")</f>
        <v/>
      </c>
      <c r="Z55" s="14">
        <f>IF($Y55="","",J55-I55*W55/100)</f>
        <v/>
      </c>
    </row>
    <row r="56">
      <c r="A56" s="12" t="n"/>
      <c r="B56">
        <f>IF($Y56="","",INDEX('Per Line'!$D$2:$D$1001,$Y56)&amp;"")</f>
        <v/>
      </c>
      <c r="C56">
        <f>IF($Y56="","",INDEX('Per Line'!$C$2:$C$1001,$Y56)&amp;"")</f>
        <v/>
      </c>
      <c r="D56" s="11">
        <f>IF($Y56="","",INDEX('Per Line'!$F$2:$F$1001,$Y56))</f>
        <v/>
      </c>
      <c r="E56">
        <f>IF($Y56="","",INDEX('Per Line'!$G$2:$G$1001,$Y56)&amp;"")</f>
        <v/>
      </c>
      <c r="F56">
        <f>IF($Y56="","",INDEX('Per Line'!$I$2:$I$1001,$Y56)&amp;"")</f>
        <v/>
      </c>
      <c r="G56">
        <f>IF($Y56="","",INDEX('Per Line'!$J$2:$J$1001,$Y56)&amp;"")</f>
        <v/>
      </c>
      <c r="H56">
        <f>IF($Y56="","",INDEX('Per Line'!$K$2:$K$1001,$Y56)&amp;"")</f>
        <v/>
      </c>
      <c r="I56">
        <f>IF($Y56="","",INDEX('Per Line'!$O$2:$O$1001,$Y56))</f>
        <v/>
      </c>
      <c r="J56" s="7">
        <f>IF($Y56="","",IF(AND(ISNUMBER(L56),L56&gt;0,W56&gt;L56),I56*L56/100+(W56-L56),I56*W56/100))</f>
        <v/>
      </c>
      <c r="K56">
        <f>IF($Y56="","",INDEX('Per Line'!$Y$2:$Y$1001,$Y56)&amp;"")</f>
        <v/>
      </c>
      <c r="L56">
        <f>IF($Y56="","",INDEX('Per Line'!$AF$2:$AF$1001,$Y56))</f>
        <v/>
      </c>
      <c r="M56">
        <f>IF($Y56="","",IF(AND(ISNUMBER(L56),L56&gt;0),W56&gt;L56,FALSE))</f>
        <v/>
      </c>
      <c r="N56" s="7">
        <f>IF($Y56="","",SUMIFS('Per Line'!$X$2:$X$1001,'Per Line'!$D$2:$D$1001,$B56,'Per Line'!$AP$2:$AP$1001,1))</f>
        <v/>
      </c>
      <c r="O56">
        <f>IF($Y56="","",Settings!$C$7)</f>
        <v/>
      </c>
      <c r="P56" s="7">
        <f>IF($Y56="","",SUMIFS('Per Line'!$X$2:$X$1001,'Per Line'!$D$2:$D$1001,$B56,'Per Line'!$AO$2:$AO$1001,0,'Per Line'!$AP$2:$AP$1001,0))</f>
        <v/>
      </c>
      <c r="Q56" s="7">
        <f>IF($Y56="","",P56*O56)</f>
        <v/>
      </c>
      <c r="R56">
        <f>IF($Y56="","",Settings!$C$6)</f>
        <v/>
      </c>
      <c r="S56" s="7">
        <f>IF($Y56="","",SUMIFS('Per Line'!$X$2:$X$1001,'Per Line'!$D$2:$D$1001,$B56,'Per Line'!$AO$2:$AO$1001,1,'Per Line'!$AP$2:$AP$1001,0))</f>
        <v/>
      </c>
      <c r="T56" s="7">
        <f>IF($Y56="","",S56*R56)</f>
        <v/>
      </c>
      <c r="U56" s="7">
        <f>IF($Y56="","",T56+Q56)</f>
        <v/>
      </c>
      <c r="V56" s="7">
        <f>IF($Y56="","",W56-U56)</f>
        <v/>
      </c>
      <c r="W56" s="7">
        <f>IF($Y56="","",P56+S56+N56)</f>
        <v/>
      </c>
      <c r="X56" s="7">
        <f>IF($Y56="","",W56-U56-J56)</f>
        <v/>
      </c>
      <c r="Y56" s="13">
        <f>IF(ROWS($Y$2:$Y56)&lt;=MAX('Per Line'!$AN$2:$AN$1001),MATCH(ROWS($Y$2:$Y56),'Per Line'!$AN$2:$AN$1001,0),"")</f>
        <v/>
      </c>
      <c r="Z56" s="14">
        <f>IF($Y56="","",J56-I56*W56/100)</f>
        <v/>
      </c>
    </row>
    <row r="57">
      <c r="A57" s="12" t="n"/>
      <c r="B57">
        <f>IF($Y57="","",INDEX('Per Line'!$D$2:$D$1001,$Y57)&amp;"")</f>
        <v/>
      </c>
      <c r="C57">
        <f>IF($Y57="","",INDEX('Per Line'!$C$2:$C$1001,$Y57)&amp;"")</f>
        <v/>
      </c>
      <c r="D57" s="11">
        <f>IF($Y57="","",INDEX('Per Line'!$F$2:$F$1001,$Y57))</f>
        <v/>
      </c>
      <c r="E57">
        <f>IF($Y57="","",INDEX('Per Line'!$G$2:$G$1001,$Y57)&amp;"")</f>
        <v/>
      </c>
      <c r="F57">
        <f>IF($Y57="","",INDEX('Per Line'!$I$2:$I$1001,$Y57)&amp;"")</f>
        <v/>
      </c>
      <c r="G57">
        <f>IF($Y57="","",INDEX('Per Line'!$J$2:$J$1001,$Y57)&amp;"")</f>
        <v/>
      </c>
      <c r="H57">
        <f>IF($Y57="","",INDEX('Per Line'!$K$2:$K$1001,$Y57)&amp;"")</f>
        <v/>
      </c>
      <c r="I57">
        <f>IF($Y57="","",INDEX('Per Line'!$O$2:$O$1001,$Y57))</f>
        <v/>
      </c>
      <c r="J57" s="7">
        <f>IF($Y57="","",IF(AND(ISNUMBER(L57),L57&gt;0,W57&gt;L57),I57*L57/100+(W57-L57),I57*W57/100))</f>
        <v/>
      </c>
      <c r="K57">
        <f>IF($Y57="","",INDEX('Per Line'!$Y$2:$Y$1001,$Y57)&amp;"")</f>
        <v/>
      </c>
      <c r="L57">
        <f>IF($Y57="","",INDEX('Per Line'!$AF$2:$AF$1001,$Y57))</f>
        <v/>
      </c>
      <c r="M57">
        <f>IF($Y57="","",IF(AND(ISNUMBER(L57),L57&gt;0),W57&gt;L57,FALSE))</f>
        <v/>
      </c>
      <c r="N57" s="7">
        <f>IF($Y57="","",SUMIFS('Per Line'!$X$2:$X$1001,'Per Line'!$D$2:$D$1001,$B57,'Per Line'!$AP$2:$AP$1001,1))</f>
        <v/>
      </c>
      <c r="O57">
        <f>IF($Y57="","",Settings!$C$7)</f>
        <v/>
      </c>
      <c r="P57" s="7">
        <f>IF($Y57="","",SUMIFS('Per Line'!$X$2:$X$1001,'Per Line'!$D$2:$D$1001,$B57,'Per Line'!$AO$2:$AO$1001,0,'Per Line'!$AP$2:$AP$1001,0))</f>
        <v/>
      </c>
      <c r="Q57" s="7">
        <f>IF($Y57="","",P57*O57)</f>
        <v/>
      </c>
      <c r="R57">
        <f>IF($Y57="","",Settings!$C$6)</f>
        <v/>
      </c>
      <c r="S57" s="7">
        <f>IF($Y57="","",SUMIFS('Per Line'!$X$2:$X$1001,'Per Line'!$D$2:$D$1001,$B57,'Per Line'!$AO$2:$AO$1001,1,'Per Line'!$AP$2:$AP$1001,0))</f>
        <v/>
      </c>
      <c r="T57" s="7">
        <f>IF($Y57="","",S57*R57)</f>
        <v/>
      </c>
      <c r="U57" s="7">
        <f>IF($Y57="","",T57+Q57)</f>
        <v/>
      </c>
      <c r="V57" s="7">
        <f>IF($Y57="","",W57-U57)</f>
        <v/>
      </c>
      <c r="W57" s="7">
        <f>IF($Y57="","",P57+S57+N57)</f>
        <v/>
      </c>
      <c r="X57" s="7">
        <f>IF($Y57="","",W57-U57-J57)</f>
        <v/>
      </c>
      <c r="Y57" s="13">
        <f>IF(ROWS($Y$2:$Y57)&lt;=MAX('Per Line'!$AN$2:$AN$1001),MATCH(ROWS($Y$2:$Y57),'Per Line'!$AN$2:$AN$1001,0),"")</f>
        <v/>
      </c>
      <c r="Z57" s="14">
        <f>IF($Y57="","",J57-I57*W57/100)</f>
        <v/>
      </c>
    </row>
    <row r="58">
      <c r="A58" s="12" t="n"/>
      <c r="B58">
        <f>IF($Y58="","",INDEX('Per Line'!$D$2:$D$1001,$Y58)&amp;"")</f>
        <v/>
      </c>
      <c r="C58">
        <f>IF($Y58="","",INDEX('Per Line'!$C$2:$C$1001,$Y58)&amp;"")</f>
        <v/>
      </c>
      <c r="D58" s="11">
        <f>IF($Y58="","",INDEX('Per Line'!$F$2:$F$1001,$Y58))</f>
        <v/>
      </c>
      <c r="E58">
        <f>IF($Y58="","",INDEX('Per Line'!$G$2:$G$1001,$Y58)&amp;"")</f>
        <v/>
      </c>
      <c r="F58">
        <f>IF($Y58="","",INDEX('Per Line'!$I$2:$I$1001,$Y58)&amp;"")</f>
        <v/>
      </c>
      <c r="G58">
        <f>IF($Y58="","",INDEX('Per Line'!$J$2:$J$1001,$Y58)&amp;"")</f>
        <v/>
      </c>
      <c r="H58">
        <f>IF($Y58="","",INDEX('Per Line'!$K$2:$K$1001,$Y58)&amp;"")</f>
        <v/>
      </c>
      <c r="I58">
        <f>IF($Y58="","",INDEX('Per Line'!$O$2:$O$1001,$Y58))</f>
        <v/>
      </c>
      <c r="J58" s="7">
        <f>IF($Y58="","",IF(AND(ISNUMBER(L58),L58&gt;0,W58&gt;L58),I58*L58/100+(W58-L58),I58*W58/100))</f>
        <v/>
      </c>
      <c r="K58">
        <f>IF($Y58="","",INDEX('Per Line'!$Y$2:$Y$1001,$Y58)&amp;"")</f>
        <v/>
      </c>
      <c r="L58">
        <f>IF($Y58="","",INDEX('Per Line'!$AF$2:$AF$1001,$Y58))</f>
        <v/>
      </c>
      <c r="M58">
        <f>IF($Y58="","",IF(AND(ISNUMBER(L58),L58&gt;0),W58&gt;L58,FALSE))</f>
        <v/>
      </c>
      <c r="N58" s="7">
        <f>IF($Y58="","",SUMIFS('Per Line'!$X$2:$X$1001,'Per Line'!$D$2:$D$1001,$B58,'Per Line'!$AP$2:$AP$1001,1))</f>
        <v/>
      </c>
      <c r="O58">
        <f>IF($Y58="","",Settings!$C$7)</f>
        <v/>
      </c>
      <c r="P58" s="7">
        <f>IF($Y58="","",SUMIFS('Per Line'!$X$2:$X$1001,'Per Line'!$D$2:$D$1001,$B58,'Per Line'!$AO$2:$AO$1001,0,'Per Line'!$AP$2:$AP$1001,0))</f>
        <v/>
      </c>
      <c r="Q58" s="7">
        <f>IF($Y58="","",P58*O58)</f>
        <v/>
      </c>
      <c r="R58">
        <f>IF($Y58="","",Settings!$C$6)</f>
        <v/>
      </c>
      <c r="S58" s="7">
        <f>IF($Y58="","",SUMIFS('Per Line'!$X$2:$X$1001,'Per Line'!$D$2:$D$1001,$B58,'Per Line'!$AO$2:$AO$1001,1,'Per Line'!$AP$2:$AP$1001,0))</f>
        <v/>
      </c>
      <c r="T58" s="7">
        <f>IF($Y58="","",S58*R58)</f>
        <v/>
      </c>
      <c r="U58" s="7">
        <f>IF($Y58="","",T58+Q58)</f>
        <v/>
      </c>
      <c r="V58" s="7">
        <f>IF($Y58="","",W58-U58)</f>
        <v/>
      </c>
      <c r="W58" s="7">
        <f>IF($Y58="","",P58+S58+N58)</f>
        <v/>
      </c>
      <c r="X58" s="7">
        <f>IF($Y58="","",W58-U58-J58)</f>
        <v/>
      </c>
      <c r="Y58" s="13">
        <f>IF(ROWS($Y$2:$Y58)&lt;=MAX('Per Line'!$AN$2:$AN$1001),MATCH(ROWS($Y$2:$Y58),'Per Line'!$AN$2:$AN$1001,0),"")</f>
        <v/>
      </c>
      <c r="Z58" s="14">
        <f>IF($Y58="","",J58-I58*W58/100)</f>
        <v/>
      </c>
    </row>
    <row r="59">
      <c r="A59" s="12" t="n"/>
      <c r="B59">
        <f>IF($Y59="","",INDEX('Per Line'!$D$2:$D$1001,$Y59)&amp;"")</f>
        <v/>
      </c>
      <c r="C59">
        <f>IF($Y59="","",INDEX('Per Line'!$C$2:$C$1001,$Y59)&amp;"")</f>
        <v/>
      </c>
      <c r="D59" s="11">
        <f>IF($Y59="","",INDEX('Per Line'!$F$2:$F$1001,$Y59))</f>
        <v/>
      </c>
      <c r="E59">
        <f>IF($Y59="","",INDEX('Per Line'!$G$2:$G$1001,$Y59)&amp;"")</f>
        <v/>
      </c>
      <c r="F59">
        <f>IF($Y59="","",INDEX('Per Line'!$I$2:$I$1001,$Y59)&amp;"")</f>
        <v/>
      </c>
      <c r="G59">
        <f>IF($Y59="","",INDEX('Per Line'!$J$2:$J$1001,$Y59)&amp;"")</f>
        <v/>
      </c>
      <c r="H59">
        <f>IF($Y59="","",INDEX('Per Line'!$K$2:$K$1001,$Y59)&amp;"")</f>
        <v/>
      </c>
      <c r="I59">
        <f>IF($Y59="","",INDEX('Per Line'!$O$2:$O$1001,$Y59))</f>
        <v/>
      </c>
      <c r="J59" s="7">
        <f>IF($Y59="","",IF(AND(ISNUMBER(L59),L59&gt;0,W59&gt;L59),I59*L59/100+(W59-L59),I59*W59/100))</f>
        <v/>
      </c>
      <c r="K59">
        <f>IF($Y59="","",INDEX('Per Line'!$Y$2:$Y$1001,$Y59)&amp;"")</f>
        <v/>
      </c>
      <c r="L59">
        <f>IF($Y59="","",INDEX('Per Line'!$AF$2:$AF$1001,$Y59))</f>
        <v/>
      </c>
      <c r="M59">
        <f>IF($Y59="","",IF(AND(ISNUMBER(L59),L59&gt;0),W59&gt;L59,FALSE))</f>
        <v/>
      </c>
      <c r="N59" s="7">
        <f>IF($Y59="","",SUMIFS('Per Line'!$X$2:$X$1001,'Per Line'!$D$2:$D$1001,$B59,'Per Line'!$AP$2:$AP$1001,1))</f>
        <v/>
      </c>
      <c r="O59">
        <f>IF($Y59="","",Settings!$C$7)</f>
        <v/>
      </c>
      <c r="P59" s="7">
        <f>IF($Y59="","",SUMIFS('Per Line'!$X$2:$X$1001,'Per Line'!$D$2:$D$1001,$B59,'Per Line'!$AO$2:$AO$1001,0,'Per Line'!$AP$2:$AP$1001,0))</f>
        <v/>
      </c>
      <c r="Q59" s="7">
        <f>IF($Y59="","",P59*O59)</f>
        <v/>
      </c>
      <c r="R59">
        <f>IF($Y59="","",Settings!$C$6)</f>
        <v/>
      </c>
      <c r="S59" s="7">
        <f>IF($Y59="","",SUMIFS('Per Line'!$X$2:$X$1001,'Per Line'!$D$2:$D$1001,$B59,'Per Line'!$AO$2:$AO$1001,1,'Per Line'!$AP$2:$AP$1001,0))</f>
        <v/>
      </c>
      <c r="T59" s="7">
        <f>IF($Y59="","",S59*R59)</f>
        <v/>
      </c>
      <c r="U59" s="7">
        <f>IF($Y59="","",T59+Q59)</f>
        <v/>
      </c>
      <c r="V59" s="7">
        <f>IF($Y59="","",W59-U59)</f>
        <v/>
      </c>
      <c r="W59" s="7">
        <f>IF($Y59="","",P59+S59+N59)</f>
        <v/>
      </c>
      <c r="X59" s="7">
        <f>IF($Y59="","",W59-U59-J59)</f>
        <v/>
      </c>
      <c r="Y59" s="13">
        <f>IF(ROWS($Y$2:$Y59)&lt;=MAX('Per Line'!$AN$2:$AN$1001),MATCH(ROWS($Y$2:$Y59),'Per Line'!$AN$2:$AN$1001,0),"")</f>
        <v/>
      </c>
      <c r="Z59" s="14">
        <f>IF($Y59="","",J59-I59*W59/100)</f>
        <v/>
      </c>
    </row>
    <row r="60">
      <c r="A60" s="12" t="n"/>
      <c r="B60">
        <f>IF($Y60="","",INDEX('Per Line'!$D$2:$D$1001,$Y60)&amp;"")</f>
        <v/>
      </c>
      <c r="C60">
        <f>IF($Y60="","",INDEX('Per Line'!$C$2:$C$1001,$Y60)&amp;"")</f>
        <v/>
      </c>
      <c r="D60" s="11">
        <f>IF($Y60="","",INDEX('Per Line'!$F$2:$F$1001,$Y60))</f>
        <v/>
      </c>
      <c r="E60">
        <f>IF($Y60="","",INDEX('Per Line'!$G$2:$G$1001,$Y60)&amp;"")</f>
        <v/>
      </c>
      <c r="F60">
        <f>IF($Y60="","",INDEX('Per Line'!$I$2:$I$1001,$Y60)&amp;"")</f>
        <v/>
      </c>
      <c r="G60">
        <f>IF($Y60="","",INDEX('Per Line'!$J$2:$J$1001,$Y60)&amp;"")</f>
        <v/>
      </c>
      <c r="H60">
        <f>IF($Y60="","",INDEX('Per Line'!$K$2:$K$1001,$Y60)&amp;"")</f>
        <v/>
      </c>
      <c r="I60">
        <f>IF($Y60="","",INDEX('Per Line'!$O$2:$O$1001,$Y60))</f>
        <v/>
      </c>
      <c r="J60" s="7">
        <f>IF($Y60="","",IF(AND(ISNUMBER(L60),L60&gt;0,W60&gt;L60),I60*L60/100+(W60-L60),I60*W60/100))</f>
        <v/>
      </c>
      <c r="K60">
        <f>IF($Y60="","",INDEX('Per Line'!$Y$2:$Y$1001,$Y60)&amp;"")</f>
        <v/>
      </c>
      <c r="L60">
        <f>IF($Y60="","",INDEX('Per Line'!$AF$2:$AF$1001,$Y60))</f>
        <v/>
      </c>
      <c r="M60">
        <f>IF($Y60="","",IF(AND(ISNUMBER(L60),L60&gt;0),W60&gt;L60,FALSE))</f>
        <v/>
      </c>
      <c r="N60" s="7">
        <f>IF($Y60="","",SUMIFS('Per Line'!$X$2:$X$1001,'Per Line'!$D$2:$D$1001,$B60,'Per Line'!$AP$2:$AP$1001,1))</f>
        <v/>
      </c>
      <c r="O60">
        <f>IF($Y60="","",Settings!$C$7)</f>
        <v/>
      </c>
      <c r="P60" s="7">
        <f>IF($Y60="","",SUMIFS('Per Line'!$X$2:$X$1001,'Per Line'!$D$2:$D$1001,$B60,'Per Line'!$AO$2:$AO$1001,0,'Per Line'!$AP$2:$AP$1001,0))</f>
        <v/>
      </c>
      <c r="Q60" s="7">
        <f>IF($Y60="","",P60*O60)</f>
        <v/>
      </c>
      <c r="R60">
        <f>IF($Y60="","",Settings!$C$6)</f>
        <v/>
      </c>
      <c r="S60" s="7">
        <f>IF($Y60="","",SUMIFS('Per Line'!$X$2:$X$1001,'Per Line'!$D$2:$D$1001,$B60,'Per Line'!$AO$2:$AO$1001,1,'Per Line'!$AP$2:$AP$1001,0))</f>
        <v/>
      </c>
      <c r="T60" s="7">
        <f>IF($Y60="","",S60*R60)</f>
        <v/>
      </c>
      <c r="U60" s="7">
        <f>IF($Y60="","",T60+Q60)</f>
        <v/>
      </c>
      <c r="V60" s="7">
        <f>IF($Y60="","",W60-U60)</f>
        <v/>
      </c>
      <c r="W60" s="7">
        <f>IF($Y60="","",P60+S60+N60)</f>
        <v/>
      </c>
      <c r="X60" s="7">
        <f>IF($Y60="","",W60-U60-J60)</f>
        <v/>
      </c>
      <c r="Y60" s="13">
        <f>IF(ROWS($Y$2:$Y60)&lt;=MAX('Per Line'!$AN$2:$AN$1001),MATCH(ROWS($Y$2:$Y60),'Per Line'!$AN$2:$AN$1001,0),"")</f>
        <v/>
      </c>
      <c r="Z60" s="14">
        <f>IF($Y60="","",J60-I60*W60/100)</f>
        <v/>
      </c>
    </row>
    <row r="61">
      <c r="A61" s="12" t="n"/>
      <c r="B61">
        <f>IF($Y61="","",INDEX('Per Line'!$D$2:$D$1001,$Y61)&amp;"")</f>
        <v/>
      </c>
      <c r="C61">
        <f>IF($Y61="","",INDEX('Per Line'!$C$2:$C$1001,$Y61)&amp;"")</f>
        <v/>
      </c>
      <c r="D61" s="11">
        <f>IF($Y61="","",INDEX('Per Line'!$F$2:$F$1001,$Y61))</f>
        <v/>
      </c>
      <c r="E61">
        <f>IF($Y61="","",INDEX('Per Line'!$G$2:$G$1001,$Y61)&amp;"")</f>
        <v/>
      </c>
      <c r="F61">
        <f>IF($Y61="","",INDEX('Per Line'!$I$2:$I$1001,$Y61)&amp;"")</f>
        <v/>
      </c>
      <c r="G61">
        <f>IF($Y61="","",INDEX('Per Line'!$J$2:$J$1001,$Y61)&amp;"")</f>
        <v/>
      </c>
      <c r="H61">
        <f>IF($Y61="","",INDEX('Per Line'!$K$2:$K$1001,$Y61)&amp;"")</f>
        <v/>
      </c>
      <c r="I61">
        <f>IF($Y61="","",INDEX('Per Line'!$O$2:$O$1001,$Y61))</f>
        <v/>
      </c>
      <c r="J61" s="7">
        <f>IF($Y61="","",IF(AND(ISNUMBER(L61),L61&gt;0,W61&gt;L61),I61*L61/100+(W61-L61),I61*W61/100))</f>
        <v/>
      </c>
      <c r="K61">
        <f>IF($Y61="","",INDEX('Per Line'!$Y$2:$Y$1001,$Y61)&amp;"")</f>
        <v/>
      </c>
      <c r="L61">
        <f>IF($Y61="","",INDEX('Per Line'!$AF$2:$AF$1001,$Y61))</f>
        <v/>
      </c>
      <c r="M61">
        <f>IF($Y61="","",IF(AND(ISNUMBER(L61),L61&gt;0),W61&gt;L61,FALSE))</f>
        <v/>
      </c>
      <c r="N61" s="7">
        <f>IF($Y61="","",SUMIFS('Per Line'!$X$2:$X$1001,'Per Line'!$D$2:$D$1001,$B61,'Per Line'!$AP$2:$AP$1001,1))</f>
        <v/>
      </c>
      <c r="O61">
        <f>IF($Y61="","",Settings!$C$7)</f>
        <v/>
      </c>
      <c r="P61" s="7">
        <f>IF($Y61="","",SUMIFS('Per Line'!$X$2:$X$1001,'Per Line'!$D$2:$D$1001,$B61,'Per Line'!$AO$2:$AO$1001,0,'Per Line'!$AP$2:$AP$1001,0))</f>
        <v/>
      </c>
      <c r="Q61" s="7">
        <f>IF($Y61="","",P61*O61)</f>
        <v/>
      </c>
      <c r="R61">
        <f>IF($Y61="","",Settings!$C$6)</f>
        <v/>
      </c>
      <c r="S61" s="7">
        <f>IF($Y61="","",SUMIFS('Per Line'!$X$2:$X$1001,'Per Line'!$D$2:$D$1001,$B61,'Per Line'!$AO$2:$AO$1001,1,'Per Line'!$AP$2:$AP$1001,0))</f>
        <v/>
      </c>
      <c r="T61" s="7">
        <f>IF($Y61="","",S61*R61)</f>
        <v/>
      </c>
      <c r="U61" s="7">
        <f>IF($Y61="","",T61+Q61)</f>
        <v/>
      </c>
      <c r="V61" s="7">
        <f>IF($Y61="","",W61-U61)</f>
        <v/>
      </c>
      <c r="W61" s="7">
        <f>IF($Y61="","",P61+S61+N61)</f>
        <v/>
      </c>
      <c r="X61" s="7">
        <f>IF($Y61="","",W61-U61-J61)</f>
        <v/>
      </c>
      <c r="Y61" s="13">
        <f>IF(ROWS($Y$2:$Y61)&lt;=MAX('Per Line'!$AN$2:$AN$1001),MATCH(ROWS($Y$2:$Y61),'Per Line'!$AN$2:$AN$1001,0),"")</f>
        <v/>
      </c>
      <c r="Z61" s="14">
        <f>IF($Y61="","",J61-I61*W61/100)</f>
        <v/>
      </c>
    </row>
    <row r="62">
      <c r="A62" s="12" t="n"/>
      <c r="B62">
        <f>IF($Y62="","",INDEX('Per Line'!$D$2:$D$1001,$Y62)&amp;"")</f>
        <v/>
      </c>
      <c r="C62">
        <f>IF($Y62="","",INDEX('Per Line'!$C$2:$C$1001,$Y62)&amp;"")</f>
        <v/>
      </c>
      <c r="D62" s="11">
        <f>IF($Y62="","",INDEX('Per Line'!$F$2:$F$1001,$Y62))</f>
        <v/>
      </c>
      <c r="E62">
        <f>IF($Y62="","",INDEX('Per Line'!$G$2:$G$1001,$Y62)&amp;"")</f>
        <v/>
      </c>
      <c r="F62">
        <f>IF($Y62="","",INDEX('Per Line'!$I$2:$I$1001,$Y62)&amp;"")</f>
        <v/>
      </c>
      <c r="G62">
        <f>IF($Y62="","",INDEX('Per Line'!$J$2:$J$1001,$Y62)&amp;"")</f>
        <v/>
      </c>
      <c r="H62">
        <f>IF($Y62="","",INDEX('Per Line'!$K$2:$K$1001,$Y62)&amp;"")</f>
        <v/>
      </c>
      <c r="I62">
        <f>IF($Y62="","",INDEX('Per Line'!$O$2:$O$1001,$Y62))</f>
        <v/>
      </c>
      <c r="J62" s="7">
        <f>IF($Y62="","",IF(AND(ISNUMBER(L62),L62&gt;0,W62&gt;L62),I62*L62/100+(W62-L62),I62*W62/100))</f>
        <v/>
      </c>
      <c r="K62">
        <f>IF($Y62="","",INDEX('Per Line'!$Y$2:$Y$1001,$Y62)&amp;"")</f>
        <v/>
      </c>
      <c r="L62">
        <f>IF($Y62="","",INDEX('Per Line'!$AF$2:$AF$1001,$Y62))</f>
        <v/>
      </c>
      <c r="M62">
        <f>IF($Y62="","",IF(AND(ISNUMBER(L62),L62&gt;0),W62&gt;L62,FALSE))</f>
        <v/>
      </c>
      <c r="N62" s="7">
        <f>IF($Y62="","",SUMIFS('Per Line'!$X$2:$X$1001,'Per Line'!$D$2:$D$1001,$B62,'Per Line'!$AP$2:$AP$1001,1))</f>
        <v/>
      </c>
      <c r="O62">
        <f>IF($Y62="","",Settings!$C$7)</f>
        <v/>
      </c>
      <c r="P62" s="7">
        <f>IF($Y62="","",SUMIFS('Per Line'!$X$2:$X$1001,'Per Line'!$D$2:$D$1001,$B62,'Per Line'!$AO$2:$AO$1001,0,'Per Line'!$AP$2:$AP$1001,0))</f>
        <v/>
      </c>
      <c r="Q62" s="7">
        <f>IF($Y62="","",P62*O62)</f>
        <v/>
      </c>
      <c r="R62">
        <f>IF($Y62="","",Settings!$C$6)</f>
        <v/>
      </c>
      <c r="S62" s="7">
        <f>IF($Y62="","",SUMIFS('Per Line'!$X$2:$X$1001,'Per Line'!$D$2:$D$1001,$B62,'Per Line'!$AO$2:$AO$1001,1,'Per Line'!$AP$2:$AP$1001,0))</f>
        <v/>
      </c>
      <c r="T62" s="7">
        <f>IF($Y62="","",S62*R62)</f>
        <v/>
      </c>
      <c r="U62" s="7">
        <f>IF($Y62="","",T62+Q62)</f>
        <v/>
      </c>
      <c r="V62" s="7">
        <f>IF($Y62="","",W62-U62)</f>
        <v/>
      </c>
      <c r="W62" s="7">
        <f>IF($Y62="","",P62+S62+N62)</f>
        <v/>
      </c>
      <c r="X62" s="7">
        <f>IF($Y62="","",W62-U62-J62)</f>
        <v/>
      </c>
      <c r="Y62" s="13">
        <f>IF(ROWS($Y$2:$Y62)&lt;=MAX('Per Line'!$AN$2:$AN$1001),MATCH(ROWS($Y$2:$Y62),'Per Line'!$AN$2:$AN$1001,0),"")</f>
        <v/>
      </c>
      <c r="Z62" s="14">
        <f>IF($Y62="","",J62-I62*W62/100)</f>
        <v/>
      </c>
    </row>
    <row r="63">
      <c r="A63" s="12" t="n"/>
      <c r="B63">
        <f>IF($Y63="","",INDEX('Per Line'!$D$2:$D$1001,$Y63)&amp;"")</f>
        <v/>
      </c>
      <c r="C63">
        <f>IF($Y63="","",INDEX('Per Line'!$C$2:$C$1001,$Y63)&amp;"")</f>
        <v/>
      </c>
      <c r="D63" s="11">
        <f>IF($Y63="","",INDEX('Per Line'!$F$2:$F$1001,$Y63))</f>
        <v/>
      </c>
      <c r="E63">
        <f>IF($Y63="","",INDEX('Per Line'!$G$2:$G$1001,$Y63)&amp;"")</f>
        <v/>
      </c>
      <c r="F63">
        <f>IF($Y63="","",INDEX('Per Line'!$I$2:$I$1001,$Y63)&amp;"")</f>
        <v/>
      </c>
      <c r="G63">
        <f>IF($Y63="","",INDEX('Per Line'!$J$2:$J$1001,$Y63)&amp;"")</f>
        <v/>
      </c>
      <c r="H63">
        <f>IF($Y63="","",INDEX('Per Line'!$K$2:$K$1001,$Y63)&amp;"")</f>
        <v/>
      </c>
      <c r="I63">
        <f>IF($Y63="","",INDEX('Per Line'!$O$2:$O$1001,$Y63))</f>
        <v/>
      </c>
      <c r="J63" s="7">
        <f>IF($Y63="","",IF(AND(ISNUMBER(L63),L63&gt;0,W63&gt;L63),I63*L63/100+(W63-L63),I63*W63/100))</f>
        <v/>
      </c>
      <c r="K63">
        <f>IF($Y63="","",INDEX('Per Line'!$Y$2:$Y$1001,$Y63)&amp;"")</f>
        <v/>
      </c>
      <c r="L63">
        <f>IF($Y63="","",INDEX('Per Line'!$AF$2:$AF$1001,$Y63))</f>
        <v/>
      </c>
      <c r="M63">
        <f>IF($Y63="","",IF(AND(ISNUMBER(L63),L63&gt;0),W63&gt;L63,FALSE))</f>
        <v/>
      </c>
      <c r="N63" s="7">
        <f>IF($Y63="","",SUMIFS('Per Line'!$X$2:$X$1001,'Per Line'!$D$2:$D$1001,$B63,'Per Line'!$AP$2:$AP$1001,1))</f>
        <v/>
      </c>
      <c r="O63">
        <f>IF($Y63="","",Settings!$C$7)</f>
        <v/>
      </c>
      <c r="P63" s="7">
        <f>IF($Y63="","",SUMIFS('Per Line'!$X$2:$X$1001,'Per Line'!$D$2:$D$1001,$B63,'Per Line'!$AO$2:$AO$1001,0,'Per Line'!$AP$2:$AP$1001,0))</f>
        <v/>
      </c>
      <c r="Q63" s="7">
        <f>IF($Y63="","",P63*O63)</f>
        <v/>
      </c>
      <c r="R63">
        <f>IF($Y63="","",Settings!$C$6)</f>
        <v/>
      </c>
      <c r="S63" s="7">
        <f>IF($Y63="","",SUMIFS('Per Line'!$X$2:$X$1001,'Per Line'!$D$2:$D$1001,$B63,'Per Line'!$AO$2:$AO$1001,1,'Per Line'!$AP$2:$AP$1001,0))</f>
        <v/>
      </c>
      <c r="T63" s="7">
        <f>IF($Y63="","",S63*R63)</f>
        <v/>
      </c>
      <c r="U63" s="7">
        <f>IF($Y63="","",T63+Q63)</f>
        <v/>
      </c>
      <c r="V63" s="7">
        <f>IF($Y63="","",W63-U63)</f>
        <v/>
      </c>
      <c r="W63" s="7">
        <f>IF($Y63="","",P63+S63+N63)</f>
        <v/>
      </c>
      <c r="X63" s="7">
        <f>IF($Y63="","",W63-U63-J63)</f>
        <v/>
      </c>
      <c r="Y63" s="13">
        <f>IF(ROWS($Y$2:$Y63)&lt;=MAX('Per Line'!$AN$2:$AN$1001),MATCH(ROWS($Y$2:$Y63),'Per Line'!$AN$2:$AN$1001,0),"")</f>
        <v/>
      </c>
      <c r="Z63" s="14">
        <f>IF($Y63="","",J63-I63*W63/100)</f>
        <v/>
      </c>
    </row>
    <row r="64">
      <c r="A64" s="12" t="n"/>
      <c r="B64">
        <f>IF($Y64="","",INDEX('Per Line'!$D$2:$D$1001,$Y64)&amp;"")</f>
        <v/>
      </c>
      <c r="C64">
        <f>IF($Y64="","",INDEX('Per Line'!$C$2:$C$1001,$Y64)&amp;"")</f>
        <v/>
      </c>
      <c r="D64" s="11">
        <f>IF($Y64="","",INDEX('Per Line'!$F$2:$F$1001,$Y64))</f>
        <v/>
      </c>
      <c r="E64">
        <f>IF($Y64="","",INDEX('Per Line'!$G$2:$G$1001,$Y64)&amp;"")</f>
        <v/>
      </c>
      <c r="F64">
        <f>IF($Y64="","",INDEX('Per Line'!$I$2:$I$1001,$Y64)&amp;"")</f>
        <v/>
      </c>
      <c r="G64">
        <f>IF($Y64="","",INDEX('Per Line'!$J$2:$J$1001,$Y64)&amp;"")</f>
        <v/>
      </c>
      <c r="H64">
        <f>IF($Y64="","",INDEX('Per Line'!$K$2:$K$1001,$Y64)&amp;"")</f>
        <v/>
      </c>
      <c r="I64">
        <f>IF($Y64="","",INDEX('Per Line'!$O$2:$O$1001,$Y64))</f>
        <v/>
      </c>
      <c r="J64" s="7">
        <f>IF($Y64="","",IF(AND(ISNUMBER(L64),L64&gt;0,W64&gt;L64),I64*L64/100+(W64-L64),I64*W64/100))</f>
        <v/>
      </c>
      <c r="K64">
        <f>IF($Y64="","",INDEX('Per Line'!$Y$2:$Y$1001,$Y64)&amp;"")</f>
        <v/>
      </c>
      <c r="L64">
        <f>IF($Y64="","",INDEX('Per Line'!$AF$2:$AF$1001,$Y64))</f>
        <v/>
      </c>
      <c r="M64">
        <f>IF($Y64="","",IF(AND(ISNUMBER(L64),L64&gt;0),W64&gt;L64,FALSE))</f>
        <v/>
      </c>
      <c r="N64" s="7">
        <f>IF($Y64="","",SUMIFS('Per Line'!$X$2:$X$1001,'Per Line'!$D$2:$D$1001,$B64,'Per Line'!$AP$2:$AP$1001,1))</f>
        <v/>
      </c>
      <c r="O64">
        <f>IF($Y64="","",Settings!$C$7)</f>
        <v/>
      </c>
      <c r="P64" s="7">
        <f>IF($Y64="","",SUMIFS('Per Line'!$X$2:$X$1001,'Per Line'!$D$2:$D$1001,$B64,'Per Line'!$AO$2:$AO$1001,0,'Per Line'!$AP$2:$AP$1001,0))</f>
        <v/>
      </c>
      <c r="Q64" s="7">
        <f>IF($Y64="","",P64*O64)</f>
        <v/>
      </c>
      <c r="R64">
        <f>IF($Y64="","",Settings!$C$6)</f>
        <v/>
      </c>
      <c r="S64" s="7">
        <f>IF($Y64="","",SUMIFS('Per Line'!$X$2:$X$1001,'Per Line'!$D$2:$D$1001,$B64,'Per Line'!$AO$2:$AO$1001,1,'Per Line'!$AP$2:$AP$1001,0))</f>
        <v/>
      </c>
      <c r="T64" s="7">
        <f>IF($Y64="","",S64*R64)</f>
        <v/>
      </c>
      <c r="U64" s="7">
        <f>IF($Y64="","",T64+Q64)</f>
        <v/>
      </c>
      <c r="V64" s="7">
        <f>IF($Y64="","",W64-U64)</f>
        <v/>
      </c>
      <c r="W64" s="7">
        <f>IF($Y64="","",P64+S64+N64)</f>
        <v/>
      </c>
      <c r="X64" s="7">
        <f>IF($Y64="","",W64-U64-J64)</f>
        <v/>
      </c>
      <c r="Y64" s="13">
        <f>IF(ROWS($Y$2:$Y64)&lt;=MAX('Per Line'!$AN$2:$AN$1001),MATCH(ROWS($Y$2:$Y64),'Per Line'!$AN$2:$AN$1001,0),"")</f>
        <v/>
      </c>
      <c r="Z64" s="14">
        <f>IF($Y64="","",J64-I64*W64/100)</f>
        <v/>
      </c>
    </row>
    <row r="65">
      <c r="A65" s="12" t="n"/>
      <c r="B65">
        <f>IF($Y65="","",INDEX('Per Line'!$D$2:$D$1001,$Y65)&amp;"")</f>
        <v/>
      </c>
      <c r="C65">
        <f>IF($Y65="","",INDEX('Per Line'!$C$2:$C$1001,$Y65)&amp;"")</f>
        <v/>
      </c>
      <c r="D65" s="11">
        <f>IF($Y65="","",INDEX('Per Line'!$F$2:$F$1001,$Y65))</f>
        <v/>
      </c>
      <c r="E65">
        <f>IF($Y65="","",INDEX('Per Line'!$G$2:$G$1001,$Y65)&amp;"")</f>
        <v/>
      </c>
      <c r="F65">
        <f>IF($Y65="","",INDEX('Per Line'!$I$2:$I$1001,$Y65)&amp;"")</f>
        <v/>
      </c>
      <c r="G65">
        <f>IF($Y65="","",INDEX('Per Line'!$J$2:$J$1001,$Y65)&amp;"")</f>
        <v/>
      </c>
      <c r="H65">
        <f>IF($Y65="","",INDEX('Per Line'!$K$2:$K$1001,$Y65)&amp;"")</f>
        <v/>
      </c>
      <c r="I65">
        <f>IF($Y65="","",INDEX('Per Line'!$O$2:$O$1001,$Y65))</f>
        <v/>
      </c>
      <c r="J65" s="7">
        <f>IF($Y65="","",IF(AND(ISNUMBER(L65),L65&gt;0,W65&gt;L65),I65*L65/100+(W65-L65),I65*W65/100))</f>
        <v/>
      </c>
      <c r="K65">
        <f>IF($Y65="","",INDEX('Per Line'!$Y$2:$Y$1001,$Y65)&amp;"")</f>
        <v/>
      </c>
      <c r="L65">
        <f>IF($Y65="","",INDEX('Per Line'!$AF$2:$AF$1001,$Y65))</f>
        <v/>
      </c>
      <c r="M65">
        <f>IF($Y65="","",IF(AND(ISNUMBER(L65),L65&gt;0),W65&gt;L65,FALSE))</f>
        <v/>
      </c>
      <c r="N65" s="7">
        <f>IF($Y65="","",SUMIFS('Per Line'!$X$2:$X$1001,'Per Line'!$D$2:$D$1001,$B65,'Per Line'!$AP$2:$AP$1001,1))</f>
        <v/>
      </c>
      <c r="O65">
        <f>IF($Y65="","",Settings!$C$7)</f>
        <v/>
      </c>
      <c r="P65" s="7">
        <f>IF($Y65="","",SUMIFS('Per Line'!$X$2:$X$1001,'Per Line'!$D$2:$D$1001,$B65,'Per Line'!$AO$2:$AO$1001,0,'Per Line'!$AP$2:$AP$1001,0))</f>
        <v/>
      </c>
      <c r="Q65" s="7">
        <f>IF($Y65="","",P65*O65)</f>
        <v/>
      </c>
      <c r="R65">
        <f>IF($Y65="","",Settings!$C$6)</f>
        <v/>
      </c>
      <c r="S65" s="7">
        <f>IF($Y65="","",SUMIFS('Per Line'!$X$2:$X$1001,'Per Line'!$D$2:$D$1001,$B65,'Per Line'!$AO$2:$AO$1001,1,'Per Line'!$AP$2:$AP$1001,0))</f>
        <v/>
      </c>
      <c r="T65" s="7">
        <f>IF($Y65="","",S65*R65)</f>
        <v/>
      </c>
      <c r="U65" s="7">
        <f>IF($Y65="","",T65+Q65)</f>
        <v/>
      </c>
      <c r="V65" s="7">
        <f>IF($Y65="","",W65-U65)</f>
        <v/>
      </c>
      <c r="W65" s="7">
        <f>IF($Y65="","",P65+S65+N65)</f>
        <v/>
      </c>
      <c r="X65" s="7">
        <f>IF($Y65="","",W65-U65-J65)</f>
        <v/>
      </c>
      <c r="Y65" s="13">
        <f>IF(ROWS($Y$2:$Y65)&lt;=MAX('Per Line'!$AN$2:$AN$1001),MATCH(ROWS($Y$2:$Y65),'Per Line'!$AN$2:$AN$1001,0),"")</f>
        <v/>
      </c>
      <c r="Z65" s="14">
        <f>IF($Y65="","",J65-I65*W65/100)</f>
        <v/>
      </c>
    </row>
    <row r="66">
      <c r="A66" s="12" t="n"/>
      <c r="B66">
        <f>IF($Y66="","",INDEX('Per Line'!$D$2:$D$1001,$Y66)&amp;"")</f>
        <v/>
      </c>
      <c r="C66">
        <f>IF($Y66="","",INDEX('Per Line'!$C$2:$C$1001,$Y66)&amp;"")</f>
        <v/>
      </c>
      <c r="D66" s="11">
        <f>IF($Y66="","",INDEX('Per Line'!$F$2:$F$1001,$Y66))</f>
        <v/>
      </c>
      <c r="E66">
        <f>IF($Y66="","",INDEX('Per Line'!$G$2:$G$1001,$Y66)&amp;"")</f>
        <v/>
      </c>
      <c r="F66">
        <f>IF($Y66="","",INDEX('Per Line'!$I$2:$I$1001,$Y66)&amp;"")</f>
        <v/>
      </c>
      <c r="G66">
        <f>IF($Y66="","",INDEX('Per Line'!$J$2:$J$1001,$Y66)&amp;"")</f>
        <v/>
      </c>
      <c r="H66">
        <f>IF($Y66="","",INDEX('Per Line'!$K$2:$K$1001,$Y66)&amp;"")</f>
        <v/>
      </c>
      <c r="I66">
        <f>IF($Y66="","",INDEX('Per Line'!$O$2:$O$1001,$Y66))</f>
        <v/>
      </c>
      <c r="J66" s="7">
        <f>IF($Y66="","",IF(AND(ISNUMBER(L66),L66&gt;0,W66&gt;L66),I66*L66/100+(W66-L66),I66*W66/100))</f>
        <v/>
      </c>
      <c r="K66">
        <f>IF($Y66="","",INDEX('Per Line'!$Y$2:$Y$1001,$Y66)&amp;"")</f>
        <v/>
      </c>
      <c r="L66">
        <f>IF($Y66="","",INDEX('Per Line'!$AF$2:$AF$1001,$Y66))</f>
        <v/>
      </c>
      <c r="M66">
        <f>IF($Y66="","",IF(AND(ISNUMBER(L66),L66&gt;0),W66&gt;L66,FALSE))</f>
        <v/>
      </c>
      <c r="N66" s="7">
        <f>IF($Y66="","",SUMIFS('Per Line'!$X$2:$X$1001,'Per Line'!$D$2:$D$1001,$B66,'Per Line'!$AP$2:$AP$1001,1))</f>
        <v/>
      </c>
      <c r="O66">
        <f>IF($Y66="","",Settings!$C$7)</f>
        <v/>
      </c>
      <c r="P66" s="7">
        <f>IF($Y66="","",SUMIFS('Per Line'!$X$2:$X$1001,'Per Line'!$D$2:$D$1001,$B66,'Per Line'!$AO$2:$AO$1001,0,'Per Line'!$AP$2:$AP$1001,0))</f>
        <v/>
      </c>
      <c r="Q66" s="7">
        <f>IF($Y66="","",P66*O66)</f>
        <v/>
      </c>
      <c r="R66">
        <f>IF($Y66="","",Settings!$C$6)</f>
        <v/>
      </c>
      <c r="S66" s="7">
        <f>IF($Y66="","",SUMIFS('Per Line'!$X$2:$X$1001,'Per Line'!$D$2:$D$1001,$B66,'Per Line'!$AO$2:$AO$1001,1,'Per Line'!$AP$2:$AP$1001,0))</f>
        <v/>
      </c>
      <c r="T66" s="7">
        <f>IF($Y66="","",S66*R66)</f>
        <v/>
      </c>
      <c r="U66" s="7">
        <f>IF($Y66="","",T66+Q66)</f>
        <v/>
      </c>
      <c r="V66" s="7">
        <f>IF($Y66="","",W66-U66)</f>
        <v/>
      </c>
      <c r="W66" s="7">
        <f>IF($Y66="","",P66+S66+N66)</f>
        <v/>
      </c>
      <c r="X66" s="7">
        <f>IF($Y66="","",W66-U66-J66)</f>
        <v/>
      </c>
      <c r="Y66" s="13">
        <f>IF(ROWS($Y$2:$Y66)&lt;=MAX('Per Line'!$AN$2:$AN$1001),MATCH(ROWS($Y$2:$Y66),'Per Line'!$AN$2:$AN$1001,0),"")</f>
        <v/>
      </c>
      <c r="Z66" s="14">
        <f>IF($Y66="","",J66-I66*W66/100)</f>
        <v/>
      </c>
    </row>
    <row r="67">
      <c r="A67" s="12" t="n"/>
      <c r="B67">
        <f>IF($Y67="","",INDEX('Per Line'!$D$2:$D$1001,$Y67)&amp;"")</f>
        <v/>
      </c>
      <c r="C67">
        <f>IF($Y67="","",INDEX('Per Line'!$C$2:$C$1001,$Y67)&amp;"")</f>
        <v/>
      </c>
      <c r="D67" s="11">
        <f>IF($Y67="","",INDEX('Per Line'!$F$2:$F$1001,$Y67))</f>
        <v/>
      </c>
      <c r="E67">
        <f>IF($Y67="","",INDEX('Per Line'!$G$2:$G$1001,$Y67)&amp;"")</f>
        <v/>
      </c>
      <c r="F67">
        <f>IF($Y67="","",INDEX('Per Line'!$I$2:$I$1001,$Y67)&amp;"")</f>
        <v/>
      </c>
      <c r="G67">
        <f>IF($Y67="","",INDEX('Per Line'!$J$2:$J$1001,$Y67)&amp;"")</f>
        <v/>
      </c>
      <c r="H67">
        <f>IF($Y67="","",INDEX('Per Line'!$K$2:$K$1001,$Y67)&amp;"")</f>
        <v/>
      </c>
      <c r="I67">
        <f>IF($Y67="","",INDEX('Per Line'!$O$2:$O$1001,$Y67))</f>
        <v/>
      </c>
      <c r="J67" s="7">
        <f>IF($Y67="","",IF(AND(ISNUMBER(L67),L67&gt;0,W67&gt;L67),I67*L67/100+(W67-L67),I67*W67/100))</f>
        <v/>
      </c>
      <c r="K67">
        <f>IF($Y67="","",INDEX('Per Line'!$Y$2:$Y$1001,$Y67)&amp;"")</f>
        <v/>
      </c>
      <c r="L67">
        <f>IF($Y67="","",INDEX('Per Line'!$AF$2:$AF$1001,$Y67))</f>
        <v/>
      </c>
      <c r="M67">
        <f>IF($Y67="","",IF(AND(ISNUMBER(L67),L67&gt;0),W67&gt;L67,FALSE))</f>
        <v/>
      </c>
      <c r="N67" s="7">
        <f>IF($Y67="","",SUMIFS('Per Line'!$X$2:$X$1001,'Per Line'!$D$2:$D$1001,$B67,'Per Line'!$AP$2:$AP$1001,1))</f>
        <v/>
      </c>
      <c r="O67">
        <f>IF($Y67="","",Settings!$C$7)</f>
        <v/>
      </c>
      <c r="P67" s="7">
        <f>IF($Y67="","",SUMIFS('Per Line'!$X$2:$X$1001,'Per Line'!$D$2:$D$1001,$B67,'Per Line'!$AO$2:$AO$1001,0,'Per Line'!$AP$2:$AP$1001,0))</f>
        <v/>
      </c>
      <c r="Q67" s="7">
        <f>IF($Y67="","",P67*O67)</f>
        <v/>
      </c>
      <c r="R67">
        <f>IF($Y67="","",Settings!$C$6)</f>
        <v/>
      </c>
      <c r="S67" s="7">
        <f>IF($Y67="","",SUMIFS('Per Line'!$X$2:$X$1001,'Per Line'!$D$2:$D$1001,$B67,'Per Line'!$AO$2:$AO$1001,1,'Per Line'!$AP$2:$AP$1001,0))</f>
        <v/>
      </c>
      <c r="T67" s="7">
        <f>IF($Y67="","",S67*R67)</f>
        <v/>
      </c>
      <c r="U67" s="7">
        <f>IF($Y67="","",T67+Q67)</f>
        <v/>
      </c>
      <c r="V67" s="7">
        <f>IF($Y67="","",W67-U67)</f>
        <v/>
      </c>
      <c r="W67" s="7">
        <f>IF($Y67="","",P67+S67+N67)</f>
        <v/>
      </c>
      <c r="X67" s="7">
        <f>IF($Y67="","",W67-U67-J67)</f>
        <v/>
      </c>
      <c r="Y67" s="13">
        <f>IF(ROWS($Y$2:$Y67)&lt;=MAX('Per Line'!$AN$2:$AN$1001),MATCH(ROWS($Y$2:$Y67),'Per Line'!$AN$2:$AN$1001,0),"")</f>
        <v/>
      </c>
      <c r="Z67" s="14">
        <f>IF($Y67="","",J67-I67*W67/100)</f>
        <v/>
      </c>
    </row>
    <row r="68">
      <c r="A68" s="12" t="n"/>
      <c r="B68">
        <f>IF($Y68="","",INDEX('Per Line'!$D$2:$D$1001,$Y68)&amp;"")</f>
        <v/>
      </c>
      <c r="C68">
        <f>IF($Y68="","",INDEX('Per Line'!$C$2:$C$1001,$Y68)&amp;"")</f>
        <v/>
      </c>
      <c r="D68" s="11">
        <f>IF($Y68="","",INDEX('Per Line'!$F$2:$F$1001,$Y68))</f>
        <v/>
      </c>
      <c r="E68">
        <f>IF($Y68="","",INDEX('Per Line'!$G$2:$G$1001,$Y68)&amp;"")</f>
        <v/>
      </c>
      <c r="F68">
        <f>IF($Y68="","",INDEX('Per Line'!$I$2:$I$1001,$Y68)&amp;"")</f>
        <v/>
      </c>
      <c r="G68">
        <f>IF($Y68="","",INDEX('Per Line'!$J$2:$J$1001,$Y68)&amp;"")</f>
        <v/>
      </c>
      <c r="H68">
        <f>IF($Y68="","",INDEX('Per Line'!$K$2:$K$1001,$Y68)&amp;"")</f>
        <v/>
      </c>
      <c r="I68">
        <f>IF($Y68="","",INDEX('Per Line'!$O$2:$O$1001,$Y68))</f>
        <v/>
      </c>
      <c r="J68" s="7">
        <f>IF($Y68="","",IF(AND(ISNUMBER(L68),L68&gt;0,W68&gt;L68),I68*L68/100+(W68-L68),I68*W68/100))</f>
        <v/>
      </c>
      <c r="K68">
        <f>IF($Y68="","",INDEX('Per Line'!$Y$2:$Y$1001,$Y68)&amp;"")</f>
        <v/>
      </c>
      <c r="L68">
        <f>IF($Y68="","",INDEX('Per Line'!$AF$2:$AF$1001,$Y68))</f>
        <v/>
      </c>
      <c r="M68">
        <f>IF($Y68="","",IF(AND(ISNUMBER(L68),L68&gt;0),W68&gt;L68,FALSE))</f>
        <v/>
      </c>
      <c r="N68" s="7">
        <f>IF($Y68="","",SUMIFS('Per Line'!$X$2:$X$1001,'Per Line'!$D$2:$D$1001,$B68,'Per Line'!$AP$2:$AP$1001,1))</f>
        <v/>
      </c>
      <c r="O68">
        <f>IF($Y68="","",Settings!$C$7)</f>
        <v/>
      </c>
      <c r="P68" s="7">
        <f>IF($Y68="","",SUMIFS('Per Line'!$X$2:$X$1001,'Per Line'!$D$2:$D$1001,$B68,'Per Line'!$AO$2:$AO$1001,0,'Per Line'!$AP$2:$AP$1001,0))</f>
        <v/>
      </c>
      <c r="Q68" s="7">
        <f>IF($Y68="","",P68*O68)</f>
        <v/>
      </c>
      <c r="R68">
        <f>IF($Y68="","",Settings!$C$6)</f>
        <v/>
      </c>
      <c r="S68" s="7">
        <f>IF($Y68="","",SUMIFS('Per Line'!$X$2:$X$1001,'Per Line'!$D$2:$D$1001,$B68,'Per Line'!$AO$2:$AO$1001,1,'Per Line'!$AP$2:$AP$1001,0))</f>
        <v/>
      </c>
      <c r="T68" s="7">
        <f>IF($Y68="","",S68*R68)</f>
        <v/>
      </c>
      <c r="U68" s="7">
        <f>IF($Y68="","",T68+Q68)</f>
        <v/>
      </c>
      <c r="V68" s="7">
        <f>IF($Y68="","",W68-U68)</f>
        <v/>
      </c>
      <c r="W68" s="7">
        <f>IF($Y68="","",P68+S68+N68)</f>
        <v/>
      </c>
      <c r="X68" s="7">
        <f>IF($Y68="","",W68-U68-J68)</f>
        <v/>
      </c>
      <c r="Y68" s="13">
        <f>IF(ROWS($Y$2:$Y68)&lt;=MAX('Per Line'!$AN$2:$AN$1001),MATCH(ROWS($Y$2:$Y68),'Per Line'!$AN$2:$AN$1001,0),"")</f>
        <v/>
      </c>
      <c r="Z68" s="14">
        <f>IF($Y68="","",J68-I68*W68/100)</f>
        <v/>
      </c>
    </row>
    <row r="69">
      <c r="A69" s="12" t="n"/>
      <c r="B69">
        <f>IF($Y69="","",INDEX('Per Line'!$D$2:$D$1001,$Y69)&amp;"")</f>
        <v/>
      </c>
      <c r="C69">
        <f>IF($Y69="","",INDEX('Per Line'!$C$2:$C$1001,$Y69)&amp;"")</f>
        <v/>
      </c>
      <c r="D69" s="11">
        <f>IF($Y69="","",INDEX('Per Line'!$F$2:$F$1001,$Y69))</f>
        <v/>
      </c>
      <c r="E69">
        <f>IF($Y69="","",INDEX('Per Line'!$G$2:$G$1001,$Y69)&amp;"")</f>
        <v/>
      </c>
      <c r="F69">
        <f>IF($Y69="","",INDEX('Per Line'!$I$2:$I$1001,$Y69)&amp;"")</f>
        <v/>
      </c>
      <c r="G69">
        <f>IF($Y69="","",INDEX('Per Line'!$J$2:$J$1001,$Y69)&amp;"")</f>
        <v/>
      </c>
      <c r="H69">
        <f>IF($Y69="","",INDEX('Per Line'!$K$2:$K$1001,$Y69)&amp;"")</f>
        <v/>
      </c>
      <c r="I69">
        <f>IF($Y69="","",INDEX('Per Line'!$O$2:$O$1001,$Y69))</f>
        <v/>
      </c>
      <c r="J69" s="7">
        <f>IF($Y69="","",IF(AND(ISNUMBER(L69),L69&gt;0,W69&gt;L69),I69*L69/100+(W69-L69),I69*W69/100))</f>
        <v/>
      </c>
      <c r="K69">
        <f>IF($Y69="","",INDEX('Per Line'!$Y$2:$Y$1001,$Y69)&amp;"")</f>
        <v/>
      </c>
      <c r="L69">
        <f>IF($Y69="","",INDEX('Per Line'!$AF$2:$AF$1001,$Y69))</f>
        <v/>
      </c>
      <c r="M69">
        <f>IF($Y69="","",IF(AND(ISNUMBER(L69),L69&gt;0),W69&gt;L69,FALSE))</f>
        <v/>
      </c>
      <c r="N69" s="7">
        <f>IF($Y69="","",SUMIFS('Per Line'!$X$2:$X$1001,'Per Line'!$D$2:$D$1001,$B69,'Per Line'!$AP$2:$AP$1001,1))</f>
        <v/>
      </c>
      <c r="O69">
        <f>IF($Y69="","",Settings!$C$7)</f>
        <v/>
      </c>
      <c r="P69" s="7">
        <f>IF($Y69="","",SUMIFS('Per Line'!$X$2:$X$1001,'Per Line'!$D$2:$D$1001,$B69,'Per Line'!$AO$2:$AO$1001,0,'Per Line'!$AP$2:$AP$1001,0))</f>
        <v/>
      </c>
      <c r="Q69" s="7">
        <f>IF($Y69="","",P69*O69)</f>
        <v/>
      </c>
      <c r="R69">
        <f>IF($Y69="","",Settings!$C$6)</f>
        <v/>
      </c>
      <c r="S69" s="7">
        <f>IF($Y69="","",SUMIFS('Per Line'!$X$2:$X$1001,'Per Line'!$D$2:$D$1001,$B69,'Per Line'!$AO$2:$AO$1001,1,'Per Line'!$AP$2:$AP$1001,0))</f>
        <v/>
      </c>
      <c r="T69" s="7">
        <f>IF($Y69="","",S69*R69)</f>
        <v/>
      </c>
      <c r="U69" s="7">
        <f>IF($Y69="","",T69+Q69)</f>
        <v/>
      </c>
      <c r="V69" s="7">
        <f>IF($Y69="","",W69-U69)</f>
        <v/>
      </c>
      <c r="W69" s="7">
        <f>IF($Y69="","",P69+S69+N69)</f>
        <v/>
      </c>
      <c r="X69" s="7">
        <f>IF($Y69="","",W69-U69-J69)</f>
        <v/>
      </c>
      <c r="Y69" s="13">
        <f>IF(ROWS($Y$2:$Y69)&lt;=MAX('Per Line'!$AN$2:$AN$1001),MATCH(ROWS($Y$2:$Y69),'Per Line'!$AN$2:$AN$1001,0),"")</f>
        <v/>
      </c>
      <c r="Z69" s="14">
        <f>IF($Y69="","",J69-I69*W69/100)</f>
        <v/>
      </c>
    </row>
    <row r="70">
      <c r="A70" s="12" t="n"/>
      <c r="B70">
        <f>IF($Y70="","",INDEX('Per Line'!$D$2:$D$1001,$Y70)&amp;"")</f>
        <v/>
      </c>
      <c r="C70">
        <f>IF($Y70="","",INDEX('Per Line'!$C$2:$C$1001,$Y70)&amp;"")</f>
        <v/>
      </c>
      <c r="D70" s="11">
        <f>IF($Y70="","",INDEX('Per Line'!$F$2:$F$1001,$Y70))</f>
        <v/>
      </c>
      <c r="E70">
        <f>IF($Y70="","",INDEX('Per Line'!$G$2:$G$1001,$Y70)&amp;"")</f>
        <v/>
      </c>
      <c r="F70">
        <f>IF($Y70="","",INDEX('Per Line'!$I$2:$I$1001,$Y70)&amp;"")</f>
        <v/>
      </c>
      <c r="G70">
        <f>IF($Y70="","",INDEX('Per Line'!$J$2:$J$1001,$Y70)&amp;"")</f>
        <v/>
      </c>
      <c r="H70">
        <f>IF($Y70="","",INDEX('Per Line'!$K$2:$K$1001,$Y70)&amp;"")</f>
        <v/>
      </c>
      <c r="I70">
        <f>IF($Y70="","",INDEX('Per Line'!$O$2:$O$1001,$Y70))</f>
        <v/>
      </c>
      <c r="J70" s="7">
        <f>IF($Y70="","",IF(AND(ISNUMBER(L70),L70&gt;0,W70&gt;L70),I70*L70/100+(W70-L70),I70*W70/100))</f>
        <v/>
      </c>
      <c r="K70">
        <f>IF($Y70="","",INDEX('Per Line'!$Y$2:$Y$1001,$Y70)&amp;"")</f>
        <v/>
      </c>
      <c r="L70">
        <f>IF($Y70="","",INDEX('Per Line'!$AF$2:$AF$1001,$Y70))</f>
        <v/>
      </c>
      <c r="M70">
        <f>IF($Y70="","",IF(AND(ISNUMBER(L70),L70&gt;0),W70&gt;L70,FALSE))</f>
        <v/>
      </c>
      <c r="N70" s="7">
        <f>IF($Y70="","",SUMIFS('Per Line'!$X$2:$X$1001,'Per Line'!$D$2:$D$1001,$B70,'Per Line'!$AP$2:$AP$1001,1))</f>
        <v/>
      </c>
      <c r="O70">
        <f>IF($Y70="","",Settings!$C$7)</f>
        <v/>
      </c>
      <c r="P70" s="7">
        <f>IF($Y70="","",SUMIFS('Per Line'!$X$2:$X$1001,'Per Line'!$D$2:$D$1001,$B70,'Per Line'!$AO$2:$AO$1001,0,'Per Line'!$AP$2:$AP$1001,0))</f>
        <v/>
      </c>
      <c r="Q70" s="7">
        <f>IF($Y70="","",P70*O70)</f>
        <v/>
      </c>
      <c r="R70">
        <f>IF($Y70="","",Settings!$C$6)</f>
        <v/>
      </c>
      <c r="S70" s="7">
        <f>IF($Y70="","",SUMIFS('Per Line'!$X$2:$X$1001,'Per Line'!$D$2:$D$1001,$B70,'Per Line'!$AO$2:$AO$1001,1,'Per Line'!$AP$2:$AP$1001,0))</f>
        <v/>
      </c>
      <c r="T70" s="7">
        <f>IF($Y70="","",S70*R70)</f>
        <v/>
      </c>
      <c r="U70" s="7">
        <f>IF($Y70="","",T70+Q70)</f>
        <v/>
      </c>
      <c r="V70" s="7">
        <f>IF($Y70="","",W70-U70)</f>
        <v/>
      </c>
      <c r="W70" s="7">
        <f>IF($Y70="","",P70+S70+N70)</f>
        <v/>
      </c>
      <c r="X70" s="7">
        <f>IF($Y70="","",W70-U70-J70)</f>
        <v/>
      </c>
      <c r="Y70" s="13">
        <f>IF(ROWS($Y$2:$Y70)&lt;=MAX('Per Line'!$AN$2:$AN$1001),MATCH(ROWS($Y$2:$Y70),'Per Line'!$AN$2:$AN$1001,0),"")</f>
        <v/>
      </c>
      <c r="Z70" s="14">
        <f>IF($Y70="","",J70-I70*W70/100)</f>
        <v/>
      </c>
    </row>
    <row r="71">
      <c r="A71" s="12" t="n"/>
      <c r="B71">
        <f>IF($Y71="","",INDEX('Per Line'!$D$2:$D$1001,$Y71)&amp;"")</f>
        <v/>
      </c>
      <c r="C71">
        <f>IF($Y71="","",INDEX('Per Line'!$C$2:$C$1001,$Y71)&amp;"")</f>
        <v/>
      </c>
      <c r="D71" s="11">
        <f>IF($Y71="","",INDEX('Per Line'!$F$2:$F$1001,$Y71))</f>
        <v/>
      </c>
      <c r="E71">
        <f>IF($Y71="","",INDEX('Per Line'!$G$2:$G$1001,$Y71)&amp;"")</f>
        <v/>
      </c>
      <c r="F71">
        <f>IF($Y71="","",INDEX('Per Line'!$I$2:$I$1001,$Y71)&amp;"")</f>
        <v/>
      </c>
      <c r="G71">
        <f>IF($Y71="","",INDEX('Per Line'!$J$2:$J$1001,$Y71)&amp;"")</f>
        <v/>
      </c>
      <c r="H71">
        <f>IF($Y71="","",INDEX('Per Line'!$K$2:$K$1001,$Y71)&amp;"")</f>
        <v/>
      </c>
      <c r="I71">
        <f>IF($Y71="","",INDEX('Per Line'!$O$2:$O$1001,$Y71))</f>
        <v/>
      </c>
      <c r="J71" s="7">
        <f>IF($Y71="","",IF(AND(ISNUMBER(L71),L71&gt;0,W71&gt;L71),I71*L71/100+(W71-L71),I71*W71/100))</f>
        <v/>
      </c>
      <c r="K71">
        <f>IF($Y71="","",INDEX('Per Line'!$Y$2:$Y$1001,$Y71)&amp;"")</f>
        <v/>
      </c>
      <c r="L71">
        <f>IF($Y71="","",INDEX('Per Line'!$AF$2:$AF$1001,$Y71))</f>
        <v/>
      </c>
      <c r="M71">
        <f>IF($Y71="","",IF(AND(ISNUMBER(L71),L71&gt;0),W71&gt;L71,FALSE))</f>
        <v/>
      </c>
      <c r="N71" s="7">
        <f>IF($Y71="","",SUMIFS('Per Line'!$X$2:$X$1001,'Per Line'!$D$2:$D$1001,$B71,'Per Line'!$AP$2:$AP$1001,1))</f>
        <v/>
      </c>
      <c r="O71">
        <f>IF($Y71="","",Settings!$C$7)</f>
        <v/>
      </c>
      <c r="P71" s="7">
        <f>IF($Y71="","",SUMIFS('Per Line'!$X$2:$X$1001,'Per Line'!$D$2:$D$1001,$B71,'Per Line'!$AO$2:$AO$1001,0,'Per Line'!$AP$2:$AP$1001,0))</f>
        <v/>
      </c>
      <c r="Q71" s="7">
        <f>IF($Y71="","",P71*O71)</f>
        <v/>
      </c>
      <c r="R71">
        <f>IF($Y71="","",Settings!$C$6)</f>
        <v/>
      </c>
      <c r="S71" s="7">
        <f>IF($Y71="","",SUMIFS('Per Line'!$X$2:$X$1001,'Per Line'!$D$2:$D$1001,$B71,'Per Line'!$AO$2:$AO$1001,1,'Per Line'!$AP$2:$AP$1001,0))</f>
        <v/>
      </c>
      <c r="T71" s="7">
        <f>IF($Y71="","",S71*R71)</f>
        <v/>
      </c>
      <c r="U71" s="7">
        <f>IF($Y71="","",T71+Q71)</f>
        <v/>
      </c>
      <c r="V71" s="7">
        <f>IF($Y71="","",W71-U71)</f>
        <v/>
      </c>
      <c r="W71" s="7">
        <f>IF($Y71="","",P71+S71+N71)</f>
        <v/>
      </c>
      <c r="X71" s="7">
        <f>IF($Y71="","",W71-U71-J71)</f>
        <v/>
      </c>
      <c r="Y71" s="13">
        <f>IF(ROWS($Y$2:$Y71)&lt;=MAX('Per Line'!$AN$2:$AN$1001),MATCH(ROWS($Y$2:$Y71),'Per Line'!$AN$2:$AN$1001,0),"")</f>
        <v/>
      </c>
      <c r="Z71" s="14">
        <f>IF($Y71="","",J71-I71*W71/100)</f>
        <v/>
      </c>
    </row>
    <row r="72">
      <c r="A72" s="12" t="n"/>
      <c r="B72">
        <f>IF($Y72="","",INDEX('Per Line'!$D$2:$D$1001,$Y72)&amp;"")</f>
        <v/>
      </c>
      <c r="C72">
        <f>IF($Y72="","",INDEX('Per Line'!$C$2:$C$1001,$Y72)&amp;"")</f>
        <v/>
      </c>
      <c r="D72" s="11">
        <f>IF($Y72="","",INDEX('Per Line'!$F$2:$F$1001,$Y72))</f>
        <v/>
      </c>
      <c r="E72">
        <f>IF($Y72="","",INDEX('Per Line'!$G$2:$G$1001,$Y72)&amp;"")</f>
        <v/>
      </c>
      <c r="F72">
        <f>IF($Y72="","",INDEX('Per Line'!$I$2:$I$1001,$Y72)&amp;"")</f>
        <v/>
      </c>
      <c r="G72">
        <f>IF($Y72="","",INDEX('Per Line'!$J$2:$J$1001,$Y72)&amp;"")</f>
        <v/>
      </c>
      <c r="H72">
        <f>IF($Y72="","",INDEX('Per Line'!$K$2:$K$1001,$Y72)&amp;"")</f>
        <v/>
      </c>
      <c r="I72">
        <f>IF($Y72="","",INDEX('Per Line'!$O$2:$O$1001,$Y72))</f>
        <v/>
      </c>
      <c r="J72" s="7">
        <f>IF($Y72="","",IF(AND(ISNUMBER(L72),L72&gt;0,W72&gt;L72),I72*L72/100+(W72-L72),I72*W72/100))</f>
        <v/>
      </c>
      <c r="K72">
        <f>IF($Y72="","",INDEX('Per Line'!$Y$2:$Y$1001,$Y72)&amp;"")</f>
        <v/>
      </c>
      <c r="L72">
        <f>IF($Y72="","",INDEX('Per Line'!$AF$2:$AF$1001,$Y72))</f>
        <v/>
      </c>
      <c r="M72">
        <f>IF($Y72="","",IF(AND(ISNUMBER(L72),L72&gt;0),W72&gt;L72,FALSE))</f>
        <v/>
      </c>
      <c r="N72" s="7">
        <f>IF($Y72="","",SUMIFS('Per Line'!$X$2:$X$1001,'Per Line'!$D$2:$D$1001,$B72,'Per Line'!$AP$2:$AP$1001,1))</f>
        <v/>
      </c>
      <c r="O72">
        <f>IF($Y72="","",Settings!$C$7)</f>
        <v/>
      </c>
      <c r="P72" s="7">
        <f>IF($Y72="","",SUMIFS('Per Line'!$X$2:$X$1001,'Per Line'!$D$2:$D$1001,$B72,'Per Line'!$AO$2:$AO$1001,0,'Per Line'!$AP$2:$AP$1001,0))</f>
        <v/>
      </c>
      <c r="Q72" s="7">
        <f>IF($Y72="","",P72*O72)</f>
        <v/>
      </c>
      <c r="R72">
        <f>IF($Y72="","",Settings!$C$6)</f>
        <v/>
      </c>
      <c r="S72" s="7">
        <f>IF($Y72="","",SUMIFS('Per Line'!$X$2:$X$1001,'Per Line'!$D$2:$D$1001,$B72,'Per Line'!$AO$2:$AO$1001,1,'Per Line'!$AP$2:$AP$1001,0))</f>
        <v/>
      </c>
      <c r="T72" s="7">
        <f>IF($Y72="","",S72*R72)</f>
        <v/>
      </c>
      <c r="U72" s="7">
        <f>IF($Y72="","",T72+Q72)</f>
        <v/>
      </c>
      <c r="V72" s="7">
        <f>IF($Y72="","",W72-U72)</f>
        <v/>
      </c>
      <c r="W72" s="7">
        <f>IF($Y72="","",P72+S72+N72)</f>
        <v/>
      </c>
      <c r="X72" s="7">
        <f>IF($Y72="","",W72-U72-J72)</f>
        <v/>
      </c>
      <c r="Y72" s="13">
        <f>IF(ROWS($Y$2:$Y72)&lt;=MAX('Per Line'!$AN$2:$AN$1001),MATCH(ROWS($Y$2:$Y72),'Per Line'!$AN$2:$AN$1001,0),"")</f>
        <v/>
      </c>
      <c r="Z72" s="14">
        <f>IF($Y72="","",J72-I72*W72/100)</f>
        <v/>
      </c>
    </row>
    <row r="73">
      <c r="A73" s="12" t="n"/>
      <c r="B73">
        <f>IF($Y73="","",INDEX('Per Line'!$D$2:$D$1001,$Y73)&amp;"")</f>
        <v/>
      </c>
      <c r="C73">
        <f>IF($Y73="","",INDEX('Per Line'!$C$2:$C$1001,$Y73)&amp;"")</f>
        <v/>
      </c>
      <c r="D73" s="11">
        <f>IF($Y73="","",INDEX('Per Line'!$F$2:$F$1001,$Y73))</f>
        <v/>
      </c>
      <c r="E73">
        <f>IF($Y73="","",INDEX('Per Line'!$G$2:$G$1001,$Y73)&amp;"")</f>
        <v/>
      </c>
      <c r="F73">
        <f>IF($Y73="","",INDEX('Per Line'!$I$2:$I$1001,$Y73)&amp;"")</f>
        <v/>
      </c>
      <c r="G73">
        <f>IF($Y73="","",INDEX('Per Line'!$J$2:$J$1001,$Y73)&amp;"")</f>
        <v/>
      </c>
      <c r="H73">
        <f>IF($Y73="","",INDEX('Per Line'!$K$2:$K$1001,$Y73)&amp;"")</f>
        <v/>
      </c>
      <c r="I73">
        <f>IF($Y73="","",INDEX('Per Line'!$O$2:$O$1001,$Y73))</f>
        <v/>
      </c>
      <c r="J73" s="7">
        <f>IF($Y73="","",IF(AND(ISNUMBER(L73),L73&gt;0,W73&gt;L73),I73*L73/100+(W73-L73),I73*W73/100))</f>
        <v/>
      </c>
      <c r="K73">
        <f>IF($Y73="","",INDEX('Per Line'!$Y$2:$Y$1001,$Y73)&amp;"")</f>
        <v/>
      </c>
      <c r="L73">
        <f>IF($Y73="","",INDEX('Per Line'!$AF$2:$AF$1001,$Y73))</f>
        <v/>
      </c>
      <c r="M73">
        <f>IF($Y73="","",IF(AND(ISNUMBER(L73),L73&gt;0),W73&gt;L73,FALSE))</f>
        <v/>
      </c>
      <c r="N73" s="7">
        <f>IF($Y73="","",SUMIFS('Per Line'!$X$2:$X$1001,'Per Line'!$D$2:$D$1001,$B73,'Per Line'!$AP$2:$AP$1001,1))</f>
        <v/>
      </c>
      <c r="O73">
        <f>IF($Y73="","",Settings!$C$7)</f>
        <v/>
      </c>
      <c r="P73" s="7">
        <f>IF($Y73="","",SUMIFS('Per Line'!$X$2:$X$1001,'Per Line'!$D$2:$D$1001,$B73,'Per Line'!$AO$2:$AO$1001,0,'Per Line'!$AP$2:$AP$1001,0))</f>
        <v/>
      </c>
      <c r="Q73" s="7">
        <f>IF($Y73="","",P73*O73)</f>
        <v/>
      </c>
      <c r="R73">
        <f>IF($Y73="","",Settings!$C$6)</f>
        <v/>
      </c>
      <c r="S73" s="7">
        <f>IF($Y73="","",SUMIFS('Per Line'!$X$2:$X$1001,'Per Line'!$D$2:$D$1001,$B73,'Per Line'!$AO$2:$AO$1001,1,'Per Line'!$AP$2:$AP$1001,0))</f>
        <v/>
      </c>
      <c r="T73" s="7">
        <f>IF($Y73="","",S73*R73)</f>
        <v/>
      </c>
      <c r="U73" s="7">
        <f>IF($Y73="","",T73+Q73)</f>
        <v/>
      </c>
      <c r="V73" s="7">
        <f>IF($Y73="","",W73-U73)</f>
        <v/>
      </c>
      <c r="W73" s="7">
        <f>IF($Y73="","",P73+S73+N73)</f>
        <v/>
      </c>
      <c r="X73" s="7">
        <f>IF($Y73="","",W73-U73-J73)</f>
        <v/>
      </c>
      <c r="Y73" s="13">
        <f>IF(ROWS($Y$2:$Y73)&lt;=MAX('Per Line'!$AN$2:$AN$1001),MATCH(ROWS($Y$2:$Y73),'Per Line'!$AN$2:$AN$1001,0),"")</f>
        <v/>
      </c>
      <c r="Z73" s="14">
        <f>IF($Y73="","",J73-I73*W73/100)</f>
        <v/>
      </c>
    </row>
    <row r="74">
      <c r="A74" s="12" t="n"/>
      <c r="B74">
        <f>IF($Y74="","",INDEX('Per Line'!$D$2:$D$1001,$Y74)&amp;"")</f>
        <v/>
      </c>
      <c r="C74">
        <f>IF($Y74="","",INDEX('Per Line'!$C$2:$C$1001,$Y74)&amp;"")</f>
        <v/>
      </c>
      <c r="D74" s="11">
        <f>IF($Y74="","",INDEX('Per Line'!$F$2:$F$1001,$Y74))</f>
        <v/>
      </c>
      <c r="E74">
        <f>IF($Y74="","",INDEX('Per Line'!$G$2:$G$1001,$Y74)&amp;"")</f>
        <v/>
      </c>
      <c r="F74">
        <f>IF($Y74="","",INDEX('Per Line'!$I$2:$I$1001,$Y74)&amp;"")</f>
        <v/>
      </c>
      <c r="G74">
        <f>IF($Y74="","",INDEX('Per Line'!$J$2:$J$1001,$Y74)&amp;"")</f>
        <v/>
      </c>
      <c r="H74">
        <f>IF($Y74="","",INDEX('Per Line'!$K$2:$K$1001,$Y74)&amp;"")</f>
        <v/>
      </c>
      <c r="I74">
        <f>IF($Y74="","",INDEX('Per Line'!$O$2:$O$1001,$Y74))</f>
        <v/>
      </c>
      <c r="J74" s="7">
        <f>IF($Y74="","",IF(AND(ISNUMBER(L74),L74&gt;0,W74&gt;L74),I74*L74/100+(W74-L74),I74*W74/100))</f>
        <v/>
      </c>
      <c r="K74">
        <f>IF($Y74="","",INDEX('Per Line'!$Y$2:$Y$1001,$Y74)&amp;"")</f>
        <v/>
      </c>
      <c r="L74">
        <f>IF($Y74="","",INDEX('Per Line'!$AF$2:$AF$1001,$Y74))</f>
        <v/>
      </c>
      <c r="M74">
        <f>IF($Y74="","",IF(AND(ISNUMBER(L74),L74&gt;0),W74&gt;L74,FALSE))</f>
        <v/>
      </c>
      <c r="N74" s="7">
        <f>IF($Y74="","",SUMIFS('Per Line'!$X$2:$X$1001,'Per Line'!$D$2:$D$1001,$B74,'Per Line'!$AP$2:$AP$1001,1))</f>
        <v/>
      </c>
      <c r="O74">
        <f>IF($Y74="","",Settings!$C$7)</f>
        <v/>
      </c>
      <c r="P74" s="7">
        <f>IF($Y74="","",SUMIFS('Per Line'!$X$2:$X$1001,'Per Line'!$D$2:$D$1001,$B74,'Per Line'!$AO$2:$AO$1001,0,'Per Line'!$AP$2:$AP$1001,0))</f>
        <v/>
      </c>
      <c r="Q74" s="7">
        <f>IF($Y74="","",P74*O74)</f>
        <v/>
      </c>
      <c r="R74">
        <f>IF($Y74="","",Settings!$C$6)</f>
        <v/>
      </c>
      <c r="S74" s="7">
        <f>IF($Y74="","",SUMIFS('Per Line'!$X$2:$X$1001,'Per Line'!$D$2:$D$1001,$B74,'Per Line'!$AO$2:$AO$1001,1,'Per Line'!$AP$2:$AP$1001,0))</f>
        <v/>
      </c>
      <c r="T74" s="7">
        <f>IF($Y74="","",S74*R74)</f>
        <v/>
      </c>
      <c r="U74" s="7">
        <f>IF($Y74="","",T74+Q74)</f>
        <v/>
      </c>
      <c r="V74" s="7">
        <f>IF($Y74="","",W74-U74)</f>
        <v/>
      </c>
      <c r="W74" s="7">
        <f>IF($Y74="","",P74+S74+N74)</f>
        <v/>
      </c>
      <c r="X74" s="7">
        <f>IF($Y74="","",W74-U74-J74)</f>
        <v/>
      </c>
      <c r="Y74" s="13">
        <f>IF(ROWS($Y$2:$Y74)&lt;=MAX('Per Line'!$AN$2:$AN$1001),MATCH(ROWS($Y$2:$Y74),'Per Line'!$AN$2:$AN$1001,0),"")</f>
        <v/>
      </c>
      <c r="Z74" s="14">
        <f>IF($Y74="","",J74-I74*W74/100)</f>
        <v/>
      </c>
    </row>
    <row r="75">
      <c r="A75" s="12" t="n"/>
      <c r="B75">
        <f>IF($Y75="","",INDEX('Per Line'!$D$2:$D$1001,$Y75)&amp;"")</f>
        <v/>
      </c>
      <c r="C75">
        <f>IF($Y75="","",INDEX('Per Line'!$C$2:$C$1001,$Y75)&amp;"")</f>
        <v/>
      </c>
      <c r="D75" s="11">
        <f>IF($Y75="","",INDEX('Per Line'!$F$2:$F$1001,$Y75))</f>
        <v/>
      </c>
      <c r="E75">
        <f>IF($Y75="","",INDEX('Per Line'!$G$2:$G$1001,$Y75)&amp;"")</f>
        <v/>
      </c>
      <c r="F75">
        <f>IF($Y75="","",INDEX('Per Line'!$I$2:$I$1001,$Y75)&amp;"")</f>
        <v/>
      </c>
      <c r="G75">
        <f>IF($Y75="","",INDEX('Per Line'!$J$2:$J$1001,$Y75)&amp;"")</f>
        <v/>
      </c>
      <c r="H75">
        <f>IF($Y75="","",INDEX('Per Line'!$K$2:$K$1001,$Y75)&amp;"")</f>
        <v/>
      </c>
      <c r="I75">
        <f>IF($Y75="","",INDEX('Per Line'!$O$2:$O$1001,$Y75))</f>
        <v/>
      </c>
      <c r="J75" s="7">
        <f>IF($Y75="","",IF(AND(ISNUMBER(L75),L75&gt;0,W75&gt;L75),I75*L75/100+(W75-L75),I75*W75/100))</f>
        <v/>
      </c>
      <c r="K75">
        <f>IF($Y75="","",INDEX('Per Line'!$Y$2:$Y$1001,$Y75)&amp;"")</f>
        <v/>
      </c>
      <c r="L75">
        <f>IF($Y75="","",INDEX('Per Line'!$AF$2:$AF$1001,$Y75))</f>
        <v/>
      </c>
      <c r="M75">
        <f>IF($Y75="","",IF(AND(ISNUMBER(L75),L75&gt;0),W75&gt;L75,FALSE))</f>
        <v/>
      </c>
      <c r="N75" s="7">
        <f>IF($Y75="","",SUMIFS('Per Line'!$X$2:$X$1001,'Per Line'!$D$2:$D$1001,$B75,'Per Line'!$AP$2:$AP$1001,1))</f>
        <v/>
      </c>
      <c r="O75">
        <f>IF($Y75="","",Settings!$C$7)</f>
        <v/>
      </c>
      <c r="P75" s="7">
        <f>IF($Y75="","",SUMIFS('Per Line'!$X$2:$X$1001,'Per Line'!$D$2:$D$1001,$B75,'Per Line'!$AO$2:$AO$1001,0,'Per Line'!$AP$2:$AP$1001,0))</f>
        <v/>
      </c>
      <c r="Q75" s="7">
        <f>IF($Y75="","",P75*O75)</f>
        <v/>
      </c>
      <c r="R75">
        <f>IF($Y75="","",Settings!$C$6)</f>
        <v/>
      </c>
      <c r="S75" s="7">
        <f>IF($Y75="","",SUMIFS('Per Line'!$X$2:$X$1001,'Per Line'!$D$2:$D$1001,$B75,'Per Line'!$AO$2:$AO$1001,1,'Per Line'!$AP$2:$AP$1001,0))</f>
        <v/>
      </c>
      <c r="T75" s="7">
        <f>IF($Y75="","",S75*R75)</f>
        <v/>
      </c>
      <c r="U75" s="7">
        <f>IF($Y75="","",T75+Q75)</f>
        <v/>
      </c>
      <c r="V75" s="7">
        <f>IF($Y75="","",W75-U75)</f>
        <v/>
      </c>
      <c r="W75" s="7">
        <f>IF($Y75="","",P75+S75+N75)</f>
        <v/>
      </c>
      <c r="X75" s="7">
        <f>IF($Y75="","",W75-U75-J75)</f>
        <v/>
      </c>
      <c r="Y75" s="13">
        <f>IF(ROWS($Y$2:$Y75)&lt;=MAX('Per Line'!$AN$2:$AN$1001),MATCH(ROWS($Y$2:$Y75),'Per Line'!$AN$2:$AN$1001,0),"")</f>
        <v/>
      </c>
      <c r="Z75" s="14">
        <f>IF($Y75="","",J75-I75*W75/100)</f>
        <v/>
      </c>
    </row>
    <row r="76">
      <c r="A76" s="12" t="n"/>
      <c r="B76">
        <f>IF($Y76="","",INDEX('Per Line'!$D$2:$D$1001,$Y76)&amp;"")</f>
        <v/>
      </c>
      <c r="C76">
        <f>IF($Y76="","",INDEX('Per Line'!$C$2:$C$1001,$Y76)&amp;"")</f>
        <v/>
      </c>
      <c r="D76" s="11">
        <f>IF($Y76="","",INDEX('Per Line'!$F$2:$F$1001,$Y76))</f>
        <v/>
      </c>
      <c r="E76">
        <f>IF($Y76="","",INDEX('Per Line'!$G$2:$G$1001,$Y76)&amp;"")</f>
        <v/>
      </c>
      <c r="F76">
        <f>IF($Y76="","",INDEX('Per Line'!$I$2:$I$1001,$Y76)&amp;"")</f>
        <v/>
      </c>
      <c r="G76">
        <f>IF($Y76="","",INDEX('Per Line'!$J$2:$J$1001,$Y76)&amp;"")</f>
        <v/>
      </c>
      <c r="H76">
        <f>IF($Y76="","",INDEX('Per Line'!$K$2:$K$1001,$Y76)&amp;"")</f>
        <v/>
      </c>
      <c r="I76">
        <f>IF($Y76="","",INDEX('Per Line'!$O$2:$O$1001,$Y76))</f>
        <v/>
      </c>
      <c r="J76" s="7">
        <f>IF($Y76="","",IF(AND(ISNUMBER(L76),L76&gt;0,W76&gt;L76),I76*L76/100+(W76-L76),I76*W76/100))</f>
        <v/>
      </c>
      <c r="K76">
        <f>IF($Y76="","",INDEX('Per Line'!$Y$2:$Y$1001,$Y76)&amp;"")</f>
        <v/>
      </c>
      <c r="L76">
        <f>IF($Y76="","",INDEX('Per Line'!$AF$2:$AF$1001,$Y76))</f>
        <v/>
      </c>
      <c r="M76">
        <f>IF($Y76="","",IF(AND(ISNUMBER(L76),L76&gt;0),W76&gt;L76,FALSE))</f>
        <v/>
      </c>
      <c r="N76" s="7">
        <f>IF($Y76="","",SUMIFS('Per Line'!$X$2:$X$1001,'Per Line'!$D$2:$D$1001,$B76,'Per Line'!$AP$2:$AP$1001,1))</f>
        <v/>
      </c>
      <c r="O76">
        <f>IF($Y76="","",Settings!$C$7)</f>
        <v/>
      </c>
      <c r="P76" s="7">
        <f>IF($Y76="","",SUMIFS('Per Line'!$X$2:$X$1001,'Per Line'!$D$2:$D$1001,$B76,'Per Line'!$AO$2:$AO$1001,0,'Per Line'!$AP$2:$AP$1001,0))</f>
        <v/>
      </c>
      <c r="Q76" s="7">
        <f>IF($Y76="","",P76*O76)</f>
        <v/>
      </c>
      <c r="R76">
        <f>IF($Y76="","",Settings!$C$6)</f>
        <v/>
      </c>
      <c r="S76" s="7">
        <f>IF($Y76="","",SUMIFS('Per Line'!$X$2:$X$1001,'Per Line'!$D$2:$D$1001,$B76,'Per Line'!$AO$2:$AO$1001,1,'Per Line'!$AP$2:$AP$1001,0))</f>
        <v/>
      </c>
      <c r="T76" s="7">
        <f>IF($Y76="","",S76*R76)</f>
        <v/>
      </c>
      <c r="U76" s="7">
        <f>IF($Y76="","",T76+Q76)</f>
        <v/>
      </c>
      <c r="V76" s="7">
        <f>IF($Y76="","",W76-U76)</f>
        <v/>
      </c>
      <c r="W76" s="7">
        <f>IF($Y76="","",P76+S76+N76)</f>
        <v/>
      </c>
      <c r="X76" s="7">
        <f>IF($Y76="","",W76-U76-J76)</f>
        <v/>
      </c>
      <c r="Y76" s="13">
        <f>IF(ROWS($Y$2:$Y76)&lt;=MAX('Per Line'!$AN$2:$AN$1001),MATCH(ROWS($Y$2:$Y76),'Per Line'!$AN$2:$AN$1001,0),"")</f>
        <v/>
      </c>
      <c r="Z76" s="14">
        <f>IF($Y76="","",J76-I76*W76/100)</f>
        <v/>
      </c>
    </row>
    <row r="77">
      <c r="A77" s="12" t="n"/>
      <c r="B77">
        <f>IF($Y77="","",INDEX('Per Line'!$D$2:$D$1001,$Y77)&amp;"")</f>
        <v/>
      </c>
      <c r="C77">
        <f>IF($Y77="","",INDEX('Per Line'!$C$2:$C$1001,$Y77)&amp;"")</f>
        <v/>
      </c>
      <c r="D77" s="11">
        <f>IF($Y77="","",INDEX('Per Line'!$F$2:$F$1001,$Y77))</f>
        <v/>
      </c>
      <c r="E77">
        <f>IF($Y77="","",INDEX('Per Line'!$G$2:$G$1001,$Y77)&amp;"")</f>
        <v/>
      </c>
      <c r="F77">
        <f>IF($Y77="","",INDEX('Per Line'!$I$2:$I$1001,$Y77)&amp;"")</f>
        <v/>
      </c>
      <c r="G77">
        <f>IF($Y77="","",INDEX('Per Line'!$J$2:$J$1001,$Y77)&amp;"")</f>
        <v/>
      </c>
      <c r="H77">
        <f>IF($Y77="","",INDEX('Per Line'!$K$2:$K$1001,$Y77)&amp;"")</f>
        <v/>
      </c>
      <c r="I77">
        <f>IF($Y77="","",INDEX('Per Line'!$O$2:$O$1001,$Y77))</f>
        <v/>
      </c>
      <c r="J77" s="7">
        <f>IF($Y77="","",IF(AND(ISNUMBER(L77),L77&gt;0,W77&gt;L77),I77*L77/100+(W77-L77),I77*W77/100))</f>
        <v/>
      </c>
      <c r="K77">
        <f>IF($Y77="","",INDEX('Per Line'!$Y$2:$Y$1001,$Y77)&amp;"")</f>
        <v/>
      </c>
      <c r="L77">
        <f>IF($Y77="","",INDEX('Per Line'!$AF$2:$AF$1001,$Y77))</f>
        <v/>
      </c>
      <c r="M77">
        <f>IF($Y77="","",IF(AND(ISNUMBER(L77),L77&gt;0),W77&gt;L77,FALSE))</f>
        <v/>
      </c>
      <c r="N77" s="7">
        <f>IF($Y77="","",SUMIFS('Per Line'!$X$2:$X$1001,'Per Line'!$D$2:$D$1001,$B77,'Per Line'!$AP$2:$AP$1001,1))</f>
        <v/>
      </c>
      <c r="O77">
        <f>IF($Y77="","",Settings!$C$7)</f>
        <v/>
      </c>
      <c r="P77" s="7">
        <f>IF($Y77="","",SUMIFS('Per Line'!$X$2:$X$1001,'Per Line'!$D$2:$D$1001,$B77,'Per Line'!$AO$2:$AO$1001,0,'Per Line'!$AP$2:$AP$1001,0))</f>
        <v/>
      </c>
      <c r="Q77" s="7">
        <f>IF($Y77="","",P77*O77)</f>
        <v/>
      </c>
      <c r="R77">
        <f>IF($Y77="","",Settings!$C$6)</f>
        <v/>
      </c>
      <c r="S77" s="7">
        <f>IF($Y77="","",SUMIFS('Per Line'!$X$2:$X$1001,'Per Line'!$D$2:$D$1001,$B77,'Per Line'!$AO$2:$AO$1001,1,'Per Line'!$AP$2:$AP$1001,0))</f>
        <v/>
      </c>
      <c r="T77" s="7">
        <f>IF($Y77="","",S77*R77)</f>
        <v/>
      </c>
      <c r="U77" s="7">
        <f>IF($Y77="","",T77+Q77)</f>
        <v/>
      </c>
      <c r="V77" s="7">
        <f>IF($Y77="","",W77-U77)</f>
        <v/>
      </c>
      <c r="W77" s="7">
        <f>IF($Y77="","",P77+S77+N77)</f>
        <v/>
      </c>
      <c r="X77" s="7">
        <f>IF($Y77="","",W77-U77-J77)</f>
        <v/>
      </c>
      <c r="Y77" s="13">
        <f>IF(ROWS($Y$2:$Y77)&lt;=MAX('Per Line'!$AN$2:$AN$1001),MATCH(ROWS($Y$2:$Y77),'Per Line'!$AN$2:$AN$1001,0),"")</f>
        <v/>
      </c>
      <c r="Z77" s="14">
        <f>IF($Y77="","",J77-I77*W77/100)</f>
        <v/>
      </c>
    </row>
    <row r="78">
      <c r="A78" s="12" t="n"/>
      <c r="B78">
        <f>IF($Y78="","",INDEX('Per Line'!$D$2:$D$1001,$Y78)&amp;"")</f>
        <v/>
      </c>
      <c r="C78">
        <f>IF($Y78="","",INDEX('Per Line'!$C$2:$C$1001,$Y78)&amp;"")</f>
        <v/>
      </c>
      <c r="D78" s="11">
        <f>IF($Y78="","",INDEX('Per Line'!$F$2:$F$1001,$Y78))</f>
        <v/>
      </c>
      <c r="E78">
        <f>IF($Y78="","",INDEX('Per Line'!$G$2:$G$1001,$Y78)&amp;"")</f>
        <v/>
      </c>
      <c r="F78">
        <f>IF($Y78="","",INDEX('Per Line'!$I$2:$I$1001,$Y78)&amp;"")</f>
        <v/>
      </c>
      <c r="G78">
        <f>IF($Y78="","",INDEX('Per Line'!$J$2:$J$1001,$Y78)&amp;"")</f>
        <v/>
      </c>
      <c r="H78">
        <f>IF($Y78="","",INDEX('Per Line'!$K$2:$K$1001,$Y78)&amp;"")</f>
        <v/>
      </c>
      <c r="I78">
        <f>IF($Y78="","",INDEX('Per Line'!$O$2:$O$1001,$Y78))</f>
        <v/>
      </c>
      <c r="J78" s="7">
        <f>IF($Y78="","",IF(AND(ISNUMBER(L78),L78&gt;0,W78&gt;L78),I78*L78/100+(W78-L78),I78*W78/100))</f>
        <v/>
      </c>
      <c r="K78">
        <f>IF($Y78="","",INDEX('Per Line'!$Y$2:$Y$1001,$Y78)&amp;"")</f>
        <v/>
      </c>
      <c r="L78">
        <f>IF($Y78="","",INDEX('Per Line'!$AF$2:$AF$1001,$Y78))</f>
        <v/>
      </c>
      <c r="M78">
        <f>IF($Y78="","",IF(AND(ISNUMBER(L78),L78&gt;0),W78&gt;L78,FALSE))</f>
        <v/>
      </c>
      <c r="N78" s="7">
        <f>IF($Y78="","",SUMIFS('Per Line'!$X$2:$X$1001,'Per Line'!$D$2:$D$1001,$B78,'Per Line'!$AP$2:$AP$1001,1))</f>
        <v/>
      </c>
      <c r="O78">
        <f>IF($Y78="","",Settings!$C$7)</f>
        <v/>
      </c>
      <c r="P78" s="7">
        <f>IF($Y78="","",SUMIFS('Per Line'!$X$2:$X$1001,'Per Line'!$D$2:$D$1001,$B78,'Per Line'!$AO$2:$AO$1001,0,'Per Line'!$AP$2:$AP$1001,0))</f>
        <v/>
      </c>
      <c r="Q78" s="7">
        <f>IF($Y78="","",P78*O78)</f>
        <v/>
      </c>
      <c r="R78">
        <f>IF($Y78="","",Settings!$C$6)</f>
        <v/>
      </c>
      <c r="S78" s="7">
        <f>IF($Y78="","",SUMIFS('Per Line'!$X$2:$X$1001,'Per Line'!$D$2:$D$1001,$B78,'Per Line'!$AO$2:$AO$1001,1,'Per Line'!$AP$2:$AP$1001,0))</f>
        <v/>
      </c>
      <c r="T78" s="7">
        <f>IF($Y78="","",S78*R78)</f>
        <v/>
      </c>
      <c r="U78" s="7">
        <f>IF($Y78="","",T78+Q78)</f>
        <v/>
      </c>
      <c r="V78" s="7">
        <f>IF($Y78="","",W78-U78)</f>
        <v/>
      </c>
      <c r="W78" s="7">
        <f>IF($Y78="","",P78+S78+N78)</f>
        <v/>
      </c>
      <c r="X78" s="7">
        <f>IF($Y78="","",W78-U78-J78)</f>
        <v/>
      </c>
      <c r="Y78" s="13">
        <f>IF(ROWS($Y$2:$Y78)&lt;=MAX('Per Line'!$AN$2:$AN$1001),MATCH(ROWS($Y$2:$Y78),'Per Line'!$AN$2:$AN$1001,0),"")</f>
        <v/>
      </c>
      <c r="Z78" s="14">
        <f>IF($Y78="","",J78-I78*W78/100)</f>
        <v/>
      </c>
    </row>
    <row r="79">
      <c r="A79" s="12" t="n"/>
      <c r="B79">
        <f>IF($Y79="","",INDEX('Per Line'!$D$2:$D$1001,$Y79)&amp;"")</f>
        <v/>
      </c>
      <c r="C79">
        <f>IF($Y79="","",INDEX('Per Line'!$C$2:$C$1001,$Y79)&amp;"")</f>
        <v/>
      </c>
      <c r="D79" s="11">
        <f>IF($Y79="","",INDEX('Per Line'!$F$2:$F$1001,$Y79))</f>
        <v/>
      </c>
      <c r="E79">
        <f>IF($Y79="","",INDEX('Per Line'!$G$2:$G$1001,$Y79)&amp;"")</f>
        <v/>
      </c>
      <c r="F79">
        <f>IF($Y79="","",INDEX('Per Line'!$I$2:$I$1001,$Y79)&amp;"")</f>
        <v/>
      </c>
      <c r="G79">
        <f>IF($Y79="","",INDEX('Per Line'!$J$2:$J$1001,$Y79)&amp;"")</f>
        <v/>
      </c>
      <c r="H79">
        <f>IF($Y79="","",INDEX('Per Line'!$K$2:$K$1001,$Y79)&amp;"")</f>
        <v/>
      </c>
      <c r="I79">
        <f>IF($Y79="","",INDEX('Per Line'!$O$2:$O$1001,$Y79))</f>
        <v/>
      </c>
      <c r="J79" s="7">
        <f>IF($Y79="","",IF(AND(ISNUMBER(L79),L79&gt;0,W79&gt;L79),I79*L79/100+(W79-L79),I79*W79/100))</f>
        <v/>
      </c>
      <c r="K79">
        <f>IF($Y79="","",INDEX('Per Line'!$Y$2:$Y$1001,$Y79)&amp;"")</f>
        <v/>
      </c>
      <c r="L79">
        <f>IF($Y79="","",INDEX('Per Line'!$AF$2:$AF$1001,$Y79))</f>
        <v/>
      </c>
      <c r="M79">
        <f>IF($Y79="","",IF(AND(ISNUMBER(L79),L79&gt;0),W79&gt;L79,FALSE))</f>
        <v/>
      </c>
      <c r="N79" s="7">
        <f>IF($Y79="","",SUMIFS('Per Line'!$X$2:$X$1001,'Per Line'!$D$2:$D$1001,$B79,'Per Line'!$AP$2:$AP$1001,1))</f>
        <v/>
      </c>
      <c r="O79">
        <f>IF($Y79="","",Settings!$C$7)</f>
        <v/>
      </c>
      <c r="P79" s="7">
        <f>IF($Y79="","",SUMIFS('Per Line'!$X$2:$X$1001,'Per Line'!$D$2:$D$1001,$B79,'Per Line'!$AO$2:$AO$1001,0,'Per Line'!$AP$2:$AP$1001,0))</f>
        <v/>
      </c>
      <c r="Q79" s="7">
        <f>IF($Y79="","",P79*O79)</f>
        <v/>
      </c>
      <c r="R79">
        <f>IF($Y79="","",Settings!$C$6)</f>
        <v/>
      </c>
      <c r="S79" s="7">
        <f>IF($Y79="","",SUMIFS('Per Line'!$X$2:$X$1001,'Per Line'!$D$2:$D$1001,$B79,'Per Line'!$AO$2:$AO$1001,1,'Per Line'!$AP$2:$AP$1001,0))</f>
        <v/>
      </c>
      <c r="T79" s="7">
        <f>IF($Y79="","",S79*R79)</f>
        <v/>
      </c>
      <c r="U79" s="7">
        <f>IF($Y79="","",T79+Q79)</f>
        <v/>
      </c>
      <c r="V79" s="7">
        <f>IF($Y79="","",W79-U79)</f>
        <v/>
      </c>
      <c r="W79" s="7">
        <f>IF($Y79="","",P79+S79+N79)</f>
        <v/>
      </c>
      <c r="X79" s="7">
        <f>IF($Y79="","",W79-U79-J79)</f>
        <v/>
      </c>
      <c r="Y79" s="13">
        <f>IF(ROWS($Y$2:$Y79)&lt;=MAX('Per Line'!$AN$2:$AN$1001),MATCH(ROWS($Y$2:$Y79),'Per Line'!$AN$2:$AN$1001,0),"")</f>
        <v/>
      </c>
      <c r="Z79" s="14">
        <f>IF($Y79="","",J79-I79*W79/100)</f>
        <v/>
      </c>
    </row>
    <row r="80">
      <c r="A80" s="12" t="n"/>
      <c r="B80">
        <f>IF($Y80="","",INDEX('Per Line'!$D$2:$D$1001,$Y80)&amp;"")</f>
        <v/>
      </c>
      <c r="C80">
        <f>IF($Y80="","",INDEX('Per Line'!$C$2:$C$1001,$Y80)&amp;"")</f>
        <v/>
      </c>
      <c r="D80" s="11">
        <f>IF($Y80="","",INDEX('Per Line'!$F$2:$F$1001,$Y80))</f>
        <v/>
      </c>
      <c r="E80">
        <f>IF($Y80="","",INDEX('Per Line'!$G$2:$G$1001,$Y80)&amp;"")</f>
        <v/>
      </c>
      <c r="F80">
        <f>IF($Y80="","",INDEX('Per Line'!$I$2:$I$1001,$Y80)&amp;"")</f>
        <v/>
      </c>
      <c r="G80">
        <f>IF($Y80="","",INDEX('Per Line'!$J$2:$J$1001,$Y80)&amp;"")</f>
        <v/>
      </c>
      <c r="H80">
        <f>IF($Y80="","",INDEX('Per Line'!$K$2:$K$1001,$Y80)&amp;"")</f>
        <v/>
      </c>
      <c r="I80">
        <f>IF($Y80="","",INDEX('Per Line'!$O$2:$O$1001,$Y80))</f>
        <v/>
      </c>
      <c r="J80" s="7">
        <f>IF($Y80="","",IF(AND(ISNUMBER(L80),L80&gt;0,W80&gt;L80),I80*L80/100+(W80-L80),I80*W80/100))</f>
        <v/>
      </c>
      <c r="K80">
        <f>IF($Y80="","",INDEX('Per Line'!$Y$2:$Y$1001,$Y80)&amp;"")</f>
        <v/>
      </c>
      <c r="L80">
        <f>IF($Y80="","",INDEX('Per Line'!$AF$2:$AF$1001,$Y80))</f>
        <v/>
      </c>
      <c r="M80">
        <f>IF($Y80="","",IF(AND(ISNUMBER(L80),L80&gt;0),W80&gt;L80,FALSE))</f>
        <v/>
      </c>
      <c r="N80" s="7">
        <f>IF($Y80="","",SUMIFS('Per Line'!$X$2:$X$1001,'Per Line'!$D$2:$D$1001,$B80,'Per Line'!$AP$2:$AP$1001,1))</f>
        <v/>
      </c>
      <c r="O80">
        <f>IF($Y80="","",Settings!$C$7)</f>
        <v/>
      </c>
      <c r="P80" s="7">
        <f>IF($Y80="","",SUMIFS('Per Line'!$X$2:$X$1001,'Per Line'!$D$2:$D$1001,$B80,'Per Line'!$AO$2:$AO$1001,0,'Per Line'!$AP$2:$AP$1001,0))</f>
        <v/>
      </c>
      <c r="Q80" s="7">
        <f>IF($Y80="","",P80*O80)</f>
        <v/>
      </c>
      <c r="R80">
        <f>IF($Y80="","",Settings!$C$6)</f>
        <v/>
      </c>
      <c r="S80" s="7">
        <f>IF($Y80="","",SUMIFS('Per Line'!$X$2:$X$1001,'Per Line'!$D$2:$D$1001,$B80,'Per Line'!$AO$2:$AO$1001,1,'Per Line'!$AP$2:$AP$1001,0))</f>
        <v/>
      </c>
      <c r="T80" s="7">
        <f>IF($Y80="","",S80*R80)</f>
        <v/>
      </c>
      <c r="U80" s="7">
        <f>IF($Y80="","",T80+Q80)</f>
        <v/>
      </c>
      <c r="V80" s="7">
        <f>IF($Y80="","",W80-U80)</f>
        <v/>
      </c>
      <c r="W80" s="7">
        <f>IF($Y80="","",P80+S80+N80)</f>
        <v/>
      </c>
      <c r="X80" s="7">
        <f>IF($Y80="","",W80-U80-J80)</f>
        <v/>
      </c>
      <c r="Y80" s="13">
        <f>IF(ROWS($Y$2:$Y80)&lt;=MAX('Per Line'!$AN$2:$AN$1001),MATCH(ROWS($Y$2:$Y80),'Per Line'!$AN$2:$AN$1001,0),"")</f>
        <v/>
      </c>
      <c r="Z80" s="14">
        <f>IF($Y80="","",J80-I80*W80/100)</f>
        <v/>
      </c>
    </row>
    <row r="81">
      <c r="A81" s="12" t="n"/>
      <c r="B81">
        <f>IF($Y81="","",INDEX('Per Line'!$D$2:$D$1001,$Y81)&amp;"")</f>
        <v/>
      </c>
      <c r="C81">
        <f>IF($Y81="","",INDEX('Per Line'!$C$2:$C$1001,$Y81)&amp;"")</f>
        <v/>
      </c>
      <c r="D81" s="11">
        <f>IF($Y81="","",INDEX('Per Line'!$F$2:$F$1001,$Y81))</f>
        <v/>
      </c>
      <c r="E81">
        <f>IF($Y81="","",INDEX('Per Line'!$G$2:$G$1001,$Y81)&amp;"")</f>
        <v/>
      </c>
      <c r="F81">
        <f>IF($Y81="","",INDEX('Per Line'!$I$2:$I$1001,$Y81)&amp;"")</f>
        <v/>
      </c>
      <c r="G81">
        <f>IF($Y81="","",INDEX('Per Line'!$J$2:$J$1001,$Y81)&amp;"")</f>
        <v/>
      </c>
      <c r="H81">
        <f>IF($Y81="","",INDEX('Per Line'!$K$2:$K$1001,$Y81)&amp;"")</f>
        <v/>
      </c>
      <c r="I81">
        <f>IF($Y81="","",INDEX('Per Line'!$O$2:$O$1001,$Y81))</f>
        <v/>
      </c>
      <c r="J81" s="7">
        <f>IF($Y81="","",IF(AND(ISNUMBER(L81),L81&gt;0,W81&gt;L81),I81*L81/100+(W81-L81),I81*W81/100))</f>
        <v/>
      </c>
      <c r="K81">
        <f>IF($Y81="","",INDEX('Per Line'!$Y$2:$Y$1001,$Y81)&amp;"")</f>
        <v/>
      </c>
      <c r="L81">
        <f>IF($Y81="","",INDEX('Per Line'!$AF$2:$AF$1001,$Y81))</f>
        <v/>
      </c>
      <c r="M81">
        <f>IF($Y81="","",IF(AND(ISNUMBER(L81),L81&gt;0),W81&gt;L81,FALSE))</f>
        <v/>
      </c>
      <c r="N81" s="7">
        <f>IF($Y81="","",SUMIFS('Per Line'!$X$2:$X$1001,'Per Line'!$D$2:$D$1001,$B81,'Per Line'!$AP$2:$AP$1001,1))</f>
        <v/>
      </c>
      <c r="O81">
        <f>IF($Y81="","",Settings!$C$7)</f>
        <v/>
      </c>
      <c r="P81" s="7">
        <f>IF($Y81="","",SUMIFS('Per Line'!$X$2:$X$1001,'Per Line'!$D$2:$D$1001,$B81,'Per Line'!$AO$2:$AO$1001,0,'Per Line'!$AP$2:$AP$1001,0))</f>
        <v/>
      </c>
      <c r="Q81" s="7">
        <f>IF($Y81="","",P81*O81)</f>
        <v/>
      </c>
      <c r="R81">
        <f>IF($Y81="","",Settings!$C$6)</f>
        <v/>
      </c>
      <c r="S81" s="7">
        <f>IF($Y81="","",SUMIFS('Per Line'!$X$2:$X$1001,'Per Line'!$D$2:$D$1001,$B81,'Per Line'!$AO$2:$AO$1001,1,'Per Line'!$AP$2:$AP$1001,0))</f>
        <v/>
      </c>
      <c r="T81" s="7">
        <f>IF($Y81="","",S81*R81)</f>
        <v/>
      </c>
      <c r="U81" s="7">
        <f>IF($Y81="","",T81+Q81)</f>
        <v/>
      </c>
      <c r="V81" s="7">
        <f>IF($Y81="","",W81-U81)</f>
        <v/>
      </c>
      <c r="W81" s="7">
        <f>IF($Y81="","",P81+S81+N81)</f>
        <v/>
      </c>
      <c r="X81" s="7">
        <f>IF($Y81="","",W81-U81-J81)</f>
        <v/>
      </c>
      <c r="Y81" s="13">
        <f>IF(ROWS($Y$2:$Y81)&lt;=MAX('Per Line'!$AN$2:$AN$1001),MATCH(ROWS($Y$2:$Y81),'Per Line'!$AN$2:$AN$1001,0),"")</f>
        <v/>
      </c>
      <c r="Z81" s="14">
        <f>IF($Y81="","",J81-I81*W81/100)</f>
        <v/>
      </c>
    </row>
    <row r="82">
      <c r="A82" s="12" t="n"/>
      <c r="B82">
        <f>IF($Y82="","",INDEX('Per Line'!$D$2:$D$1001,$Y82)&amp;"")</f>
        <v/>
      </c>
      <c r="C82">
        <f>IF($Y82="","",INDEX('Per Line'!$C$2:$C$1001,$Y82)&amp;"")</f>
        <v/>
      </c>
      <c r="D82" s="11">
        <f>IF($Y82="","",INDEX('Per Line'!$F$2:$F$1001,$Y82))</f>
        <v/>
      </c>
      <c r="E82">
        <f>IF($Y82="","",INDEX('Per Line'!$G$2:$G$1001,$Y82)&amp;"")</f>
        <v/>
      </c>
      <c r="F82">
        <f>IF($Y82="","",INDEX('Per Line'!$I$2:$I$1001,$Y82)&amp;"")</f>
        <v/>
      </c>
      <c r="G82">
        <f>IF($Y82="","",INDEX('Per Line'!$J$2:$J$1001,$Y82)&amp;"")</f>
        <v/>
      </c>
      <c r="H82">
        <f>IF($Y82="","",INDEX('Per Line'!$K$2:$K$1001,$Y82)&amp;"")</f>
        <v/>
      </c>
      <c r="I82">
        <f>IF($Y82="","",INDEX('Per Line'!$O$2:$O$1001,$Y82))</f>
        <v/>
      </c>
      <c r="J82" s="7">
        <f>IF($Y82="","",IF(AND(ISNUMBER(L82),L82&gt;0,W82&gt;L82),I82*L82/100+(W82-L82),I82*W82/100))</f>
        <v/>
      </c>
      <c r="K82">
        <f>IF($Y82="","",INDEX('Per Line'!$Y$2:$Y$1001,$Y82)&amp;"")</f>
        <v/>
      </c>
      <c r="L82">
        <f>IF($Y82="","",INDEX('Per Line'!$AF$2:$AF$1001,$Y82))</f>
        <v/>
      </c>
      <c r="M82">
        <f>IF($Y82="","",IF(AND(ISNUMBER(L82),L82&gt;0),W82&gt;L82,FALSE))</f>
        <v/>
      </c>
      <c r="N82" s="7">
        <f>IF($Y82="","",SUMIFS('Per Line'!$X$2:$X$1001,'Per Line'!$D$2:$D$1001,$B82,'Per Line'!$AP$2:$AP$1001,1))</f>
        <v/>
      </c>
      <c r="O82">
        <f>IF($Y82="","",Settings!$C$7)</f>
        <v/>
      </c>
      <c r="P82" s="7">
        <f>IF($Y82="","",SUMIFS('Per Line'!$X$2:$X$1001,'Per Line'!$D$2:$D$1001,$B82,'Per Line'!$AO$2:$AO$1001,0,'Per Line'!$AP$2:$AP$1001,0))</f>
        <v/>
      </c>
      <c r="Q82" s="7">
        <f>IF($Y82="","",P82*O82)</f>
        <v/>
      </c>
      <c r="R82">
        <f>IF($Y82="","",Settings!$C$6)</f>
        <v/>
      </c>
      <c r="S82" s="7">
        <f>IF($Y82="","",SUMIFS('Per Line'!$X$2:$X$1001,'Per Line'!$D$2:$D$1001,$B82,'Per Line'!$AO$2:$AO$1001,1,'Per Line'!$AP$2:$AP$1001,0))</f>
        <v/>
      </c>
      <c r="T82" s="7">
        <f>IF($Y82="","",S82*R82)</f>
        <v/>
      </c>
      <c r="U82" s="7">
        <f>IF($Y82="","",T82+Q82)</f>
        <v/>
      </c>
      <c r="V82" s="7">
        <f>IF($Y82="","",W82-U82)</f>
        <v/>
      </c>
      <c r="W82" s="7">
        <f>IF($Y82="","",P82+S82+N82)</f>
        <v/>
      </c>
      <c r="X82" s="7">
        <f>IF($Y82="","",W82-U82-J82)</f>
        <v/>
      </c>
      <c r="Y82" s="13">
        <f>IF(ROWS($Y$2:$Y82)&lt;=MAX('Per Line'!$AN$2:$AN$1001),MATCH(ROWS($Y$2:$Y82),'Per Line'!$AN$2:$AN$1001,0),"")</f>
        <v/>
      </c>
      <c r="Z82" s="14">
        <f>IF($Y82="","",J82-I82*W82/100)</f>
        <v/>
      </c>
    </row>
    <row r="83">
      <c r="A83" s="12" t="n"/>
      <c r="B83">
        <f>IF($Y83="","",INDEX('Per Line'!$D$2:$D$1001,$Y83)&amp;"")</f>
        <v/>
      </c>
      <c r="C83">
        <f>IF($Y83="","",INDEX('Per Line'!$C$2:$C$1001,$Y83)&amp;"")</f>
        <v/>
      </c>
      <c r="D83" s="11">
        <f>IF($Y83="","",INDEX('Per Line'!$F$2:$F$1001,$Y83))</f>
        <v/>
      </c>
      <c r="E83">
        <f>IF($Y83="","",INDEX('Per Line'!$G$2:$G$1001,$Y83)&amp;"")</f>
        <v/>
      </c>
      <c r="F83">
        <f>IF($Y83="","",INDEX('Per Line'!$I$2:$I$1001,$Y83)&amp;"")</f>
        <v/>
      </c>
      <c r="G83">
        <f>IF($Y83="","",INDEX('Per Line'!$J$2:$J$1001,$Y83)&amp;"")</f>
        <v/>
      </c>
      <c r="H83">
        <f>IF($Y83="","",INDEX('Per Line'!$K$2:$K$1001,$Y83)&amp;"")</f>
        <v/>
      </c>
      <c r="I83">
        <f>IF($Y83="","",INDEX('Per Line'!$O$2:$O$1001,$Y83))</f>
        <v/>
      </c>
      <c r="J83" s="7">
        <f>IF($Y83="","",IF(AND(ISNUMBER(L83),L83&gt;0,W83&gt;L83),I83*L83/100+(W83-L83),I83*W83/100))</f>
        <v/>
      </c>
      <c r="K83">
        <f>IF($Y83="","",INDEX('Per Line'!$Y$2:$Y$1001,$Y83)&amp;"")</f>
        <v/>
      </c>
      <c r="L83">
        <f>IF($Y83="","",INDEX('Per Line'!$AF$2:$AF$1001,$Y83))</f>
        <v/>
      </c>
      <c r="M83">
        <f>IF($Y83="","",IF(AND(ISNUMBER(L83),L83&gt;0),W83&gt;L83,FALSE))</f>
        <v/>
      </c>
      <c r="N83" s="7">
        <f>IF($Y83="","",SUMIFS('Per Line'!$X$2:$X$1001,'Per Line'!$D$2:$D$1001,$B83,'Per Line'!$AP$2:$AP$1001,1))</f>
        <v/>
      </c>
      <c r="O83">
        <f>IF($Y83="","",Settings!$C$7)</f>
        <v/>
      </c>
      <c r="P83" s="7">
        <f>IF($Y83="","",SUMIFS('Per Line'!$X$2:$X$1001,'Per Line'!$D$2:$D$1001,$B83,'Per Line'!$AO$2:$AO$1001,0,'Per Line'!$AP$2:$AP$1001,0))</f>
        <v/>
      </c>
      <c r="Q83" s="7">
        <f>IF($Y83="","",P83*O83)</f>
        <v/>
      </c>
      <c r="R83">
        <f>IF($Y83="","",Settings!$C$6)</f>
        <v/>
      </c>
      <c r="S83" s="7">
        <f>IF($Y83="","",SUMIFS('Per Line'!$X$2:$X$1001,'Per Line'!$D$2:$D$1001,$B83,'Per Line'!$AO$2:$AO$1001,1,'Per Line'!$AP$2:$AP$1001,0))</f>
        <v/>
      </c>
      <c r="T83" s="7">
        <f>IF($Y83="","",S83*R83)</f>
        <v/>
      </c>
      <c r="U83" s="7">
        <f>IF($Y83="","",T83+Q83)</f>
        <v/>
      </c>
      <c r="V83" s="7">
        <f>IF($Y83="","",W83-U83)</f>
        <v/>
      </c>
      <c r="W83" s="7">
        <f>IF($Y83="","",P83+S83+N83)</f>
        <v/>
      </c>
      <c r="X83" s="7">
        <f>IF($Y83="","",W83-U83-J83)</f>
        <v/>
      </c>
      <c r="Y83" s="13">
        <f>IF(ROWS($Y$2:$Y83)&lt;=MAX('Per Line'!$AN$2:$AN$1001),MATCH(ROWS($Y$2:$Y83),'Per Line'!$AN$2:$AN$1001,0),"")</f>
        <v/>
      </c>
      <c r="Z83" s="14">
        <f>IF($Y83="","",J83-I83*W83/100)</f>
        <v/>
      </c>
    </row>
    <row r="84">
      <c r="A84" s="12" t="n"/>
      <c r="B84">
        <f>IF($Y84="","",INDEX('Per Line'!$D$2:$D$1001,$Y84)&amp;"")</f>
        <v/>
      </c>
      <c r="C84">
        <f>IF($Y84="","",INDEX('Per Line'!$C$2:$C$1001,$Y84)&amp;"")</f>
        <v/>
      </c>
      <c r="D84" s="11">
        <f>IF($Y84="","",INDEX('Per Line'!$F$2:$F$1001,$Y84))</f>
        <v/>
      </c>
      <c r="E84">
        <f>IF($Y84="","",INDEX('Per Line'!$G$2:$G$1001,$Y84)&amp;"")</f>
        <v/>
      </c>
      <c r="F84">
        <f>IF($Y84="","",INDEX('Per Line'!$I$2:$I$1001,$Y84)&amp;"")</f>
        <v/>
      </c>
      <c r="G84">
        <f>IF($Y84="","",INDEX('Per Line'!$J$2:$J$1001,$Y84)&amp;"")</f>
        <v/>
      </c>
      <c r="H84">
        <f>IF($Y84="","",INDEX('Per Line'!$K$2:$K$1001,$Y84)&amp;"")</f>
        <v/>
      </c>
      <c r="I84">
        <f>IF($Y84="","",INDEX('Per Line'!$O$2:$O$1001,$Y84))</f>
        <v/>
      </c>
      <c r="J84" s="7">
        <f>IF($Y84="","",IF(AND(ISNUMBER(L84),L84&gt;0,W84&gt;L84),I84*L84/100+(W84-L84),I84*W84/100))</f>
        <v/>
      </c>
      <c r="K84">
        <f>IF($Y84="","",INDEX('Per Line'!$Y$2:$Y$1001,$Y84)&amp;"")</f>
        <v/>
      </c>
      <c r="L84">
        <f>IF($Y84="","",INDEX('Per Line'!$AF$2:$AF$1001,$Y84))</f>
        <v/>
      </c>
      <c r="M84">
        <f>IF($Y84="","",IF(AND(ISNUMBER(L84),L84&gt;0),W84&gt;L84,FALSE))</f>
        <v/>
      </c>
      <c r="N84" s="7">
        <f>IF($Y84="","",SUMIFS('Per Line'!$X$2:$X$1001,'Per Line'!$D$2:$D$1001,$B84,'Per Line'!$AP$2:$AP$1001,1))</f>
        <v/>
      </c>
      <c r="O84">
        <f>IF($Y84="","",Settings!$C$7)</f>
        <v/>
      </c>
      <c r="P84" s="7">
        <f>IF($Y84="","",SUMIFS('Per Line'!$X$2:$X$1001,'Per Line'!$D$2:$D$1001,$B84,'Per Line'!$AO$2:$AO$1001,0,'Per Line'!$AP$2:$AP$1001,0))</f>
        <v/>
      </c>
      <c r="Q84" s="7">
        <f>IF($Y84="","",P84*O84)</f>
        <v/>
      </c>
      <c r="R84">
        <f>IF($Y84="","",Settings!$C$6)</f>
        <v/>
      </c>
      <c r="S84" s="7">
        <f>IF($Y84="","",SUMIFS('Per Line'!$X$2:$X$1001,'Per Line'!$D$2:$D$1001,$B84,'Per Line'!$AO$2:$AO$1001,1,'Per Line'!$AP$2:$AP$1001,0))</f>
        <v/>
      </c>
      <c r="T84" s="7">
        <f>IF($Y84="","",S84*R84)</f>
        <v/>
      </c>
      <c r="U84" s="7">
        <f>IF($Y84="","",T84+Q84)</f>
        <v/>
      </c>
      <c r="V84" s="7">
        <f>IF($Y84="","",W84-U84)</f>
        <v/>
      </c>
      <c r="W84" s="7">
        <f>IF($Y84="","",P84+S84+N84)</f>
        <v/>
      </c>
      <c r="X84" s="7">
        <f>IF($Y84="","",W84-U84-J84)</f>
        <v/>
      </c>
      <c r="Y84" s="13">
        <f>IF(ROWS($Y$2:$Y84)&lt;=MAX('Per Line'!$AN$2:$AN$1001),MATCH(ROWS($Y$2:$Y84),'Per Line'!$AN$2:$AN$1001,0),"")</f>
        <v/>
      </c>
      <c r="Z84" s="14">
        <f>IF($Y84="","",J84-I84*W84/100)</f>
        <v/>
      </c>
    </row>
    <row r="85">
      <c r="A85" s="12" t="n"/>
      <c r="B85">
        <f>IF($Y85="","",INDEX('Per Line'!$D$2:$D$1001,$Y85)&amp;"")</f>
        <v/>
      </c>
      <c r="C85">
        <f>IF($Y85="","",INDEX('Per Line'!$C$2:$C$1001,$Y85)&amp;"")</f>
        <v/>
      </c>
      <c r="D85" s="11">
        <f>IF($Y85="","",INDEX('Per Line'!$F$2:$F$1001,$Y85))</f>
        <v/>
      </c>
      <c r="E85">
        <f>IF($Y85="","",INDEX('Per Line'!$G$2:$G$1001,$Y85)&amp;"")</f>
        <v/>
      </c>
      <c r="F85">
        <f>IF($Y85="","",INDEX('Per Line'!$I$2:$I$1001,$Y85)&amp;"")</f>
        <v/>
      </c>
      <c r="G85">
        <f>IF($Y85="","",INDEX('Per Line'!$J$2:$J$1001,$Y85)&amp;"")</f>
        <v/>
      </c>
      <c r="H85">
        <f>IF($Y85="","",INDEX('Per Line'!$K$2:$K$1001,$Y85)&amp;"")</f>
        <v/>
      </c>
      <c r="I85">
        <f>IF($Y85="","",INDEX('Per Line'!$O$2:$O$1001,$Y85))</f>
        <v/>
      </c>
      <c r="J85" s="7">
        <f>IF($Y85="","",IF(AND(ISNUMBER(L85),L85&gt;0,W85&gt;L85),I85*L85/100+(W85-L85),I85*W85/100))</f>
        <v/>
      </c>
      <c r="K85">
        <f>IF($Y85="","",INDEX('Per Line'!$Y$2:$Y$1001,$Y85)&amp;"")</f>
        <v/>
      </c>
      <c r="L85">
        <f>IF($Y85="","",INDEX('Per Line'!$AF$2:$AF$1001,$Y85))</f>
        <v/>
      </c>
      <c r="M85">
        <f>IF($Y85="","",IF(AND(ISNUMBER(L85),L85&gt;0),W85&gt;L85,FALSE))</f>
        <v/>
      </c>
      <c r="N85" s="7">
        <f>IF($Y85="","",SUMIFS('Per Line'!$X$2:$X$1001,'Per Line'!$D$2:$D$1001,$B85,'Per Line'!$AP$2:$AP$1001,1))</f>
        <v/>
      </c>
      <c r="O85">
        <f>IF($Y85="","",Settings!$C$7)</f>
        <v/>
      </c>
      <c r="P85" s="7">
        <f>IF($Y85="","",SUMIFS('Per Line'!$X$2:$X$1001,'Per Line'!$D$2:$D$1001,$B85,'Per Line'!$AO$2:$AO$1001,0,'Per Line'!$AP$2:$AP$1001,0))</f>
        <v/>
      </c>
      <c r="Q85" s="7">
        <f>IF($Y85="","",P85*O85)</f>
        <v/>
      </c>
      <c r="R85">
        <f>IF($Y85="","",Settings!$C$6)</f>
        <v/>
      </c>
      <c r="S85" s="7">
        <f>IF($Y85="","",SUMIFS('Per Line'!$X$2:$X$1001,'Per Line'!$D$2:$D$1001,$B85,'Per Line'!$AO$2:$AO$1001,1,'Per Line'!$AP$2:$AP$1001,0))</f>
        <v/>
      </c>
      <c r="T85" s="7">
        <f>IF($Y85="","",S85*R85)</f>
        <v/>
      </c>
      <c r="U85" s="7">
        <f>IF($Y85="","",T85+Q85)</f>
        <v/>
      </c>
      <c r="V85" s="7">
        <f>IF($Y85="","",W85-U85)</f>
        <v/>
      </c>
      <c r="W85" s="7">
        <f>IF($Y85="","",P85+S85+N85)</f>
        <v/>
      </c>
      <c r="X85" s="7">
        <f>IF($Y85="","",W85-U85-J85)</f>
        <v/>
      </c>
      <c r="Y85" s="13">
        <f>IF(ROWS($Y$2:$Y85)&lt;=MAX('Per Line'!$AN$2:$AN$1001),MATCH(ROWS($Y$2:$Y85),'Per Line'!$AN$2:$AN$1001,0),"")</f>
        <v/>
      </c>
      <c r="Z85" s="14">
        <f>IF($Y85="","",J85-I85*W85/100)</f>
        <v/>
      </c>
    </row>
    <row r="86">
      <c r="A86" s="12" t="n"/>
      <c r="B86">
        <f>IF($Y86="","",INDEX('Per Line'!$D$2:$D$1001,$Y86)&amp;"")</f>
        <v/>
      </c>
      <c r="C86">
        <f>IF($Y86="","",INDEX('Per Line'!$C$2:$C$1001,$Y86)&amp;"")</f>
        <v/>
      </c>
      <c r="D86" s="11">
        <f>IF($Y86="","",INDEX('Per Line'!$F$2:$F$1001,$Y86))</f>
        <v/>
      </c>
      <c r="E86">
        <f>IF($Y86="","",INDEX('Per Line'!$G$2:$G$1001,$Y86)&amp;"")</f>
        <v/>
      </c>
      <c r="F86">
        <f>IF($Y86="","",INDEX('Per Line'!$I$2:$I$1001,$Y86)&amp;"")</f>
        <v/>
      </c>
      <c r="G86">
        <f>IF($Y86="","",INDEX('Per Line'!$J$2:$J$1001,$Y86)&amp;"")</f>
        <v/>
      </c>
      <c r="H86">
        <f>IF($Y86="","",INDEX('Per Line'!$K$2:$K$1001,$Y86)&amp;"")</f>
        <v/>
      </c>
      <c r="I86">
        <f>IF($Y86="","",INDEX('Per Line'!$O$2:$O$1001,$Y86))</f>
        <v/>
      </c>
      <c r="J86" s="7">
        <f>IF($Y86="","",IF(AND(ISNUMBER(L86),L86&gt;0,W86&gt;L86),I86*L86/100+(W86-L86),I86*W86/100))</f>
        <v/>
      </c>
      <c r="K86">
        <f>IF($Y86="","",INDEX('Per Line'!$Y$2:$Y$1001,$Y86)&amp;"")</f>
        <v/>
      </c>
      <c r="L86">
        <f>IF($Y86="","",INDEX('Per Line'!$AF$2:$AF$1001,$Y86))</f>
        <v/>
      </c>
      <c r="M86">
        <f>IF($Y86="","",IF(AND(ISNUMBER(L86),L86&gt;0),W86&gt;L86,FALSE))</f>
        <v/>
      </c>
      <c r="N86" s="7">
        <f>IF($Y86="","",SUMIFS('Per Line'!$X$2:$X$1001,'Per Line'!$D$2:$D$1001,$B86,'Per Line'!$AP$2:$AP$1001,1))</f>
        <v/>
      </c>
      <c r="O86">
        <f>IF($Y86="","",Settings!$C$7)</f>
        <v/>
      </c>
      <c r="P86" s="7">
        <f>IF($Y86="","",SUMIFS('Per Line'!$X$2:$X$1001,'Per Line'!$D$2:$D$1001,$B86,'Per Line'!$AO$2:$AO$1001,0,'Per Line'!$AP$2:$AP$1001,0))</f>
        <v/>
      </c>
      <c r="Q86" s="7">
        <f>IF($Y86="","",P86*O86)</f>
        <v/>
      </c>
      <c r="R86">
        <f>IF($Y86="","",Settings!$C$6)</f>
        <v/>
      </c>
      <c r="S86" s="7">
        <f>IF($Y86="","",SUMIFS('Per Line'!$X$2:$X$1001,'Per Line'!$D$2:$D$1001,$B86,'Per Line'!$AO$2:$AO$1001,1,'Per Line'!$AP$2:$AP$1001,0))</f>
        <v/>
      </c>
      <c r="T86" s="7">
        <f>IF($Y86="","",S86*R86)</f>
        <v/>
      </c>
      <c r="U86" s="7">
        <f>IF($Y86="","",T86+Q86)</f>
        <v/>
      </c>
      <c r="V86" s="7">
        <f>IF($Y86="","",W86-U86)</f>
        <v/>
      </c>
      <c r="W86" s="7">
        <f>IF($Y86="","",P86+S86+N86)</f>
        <v/>
      </c>
      <c r="X86" s="7">
        <f>IF($Y86="","",W86-U86-J86)</f>
        <v/>
      </c>
      <c r="Y86" s="13">
        <f>IF(ROWS($Y$2:$Y86)&lt;=MAX('Per Line'!$AN$2:$AN$1001),MATCH(ROWS($Y$2:$Y86),'Per Line'!$AN$2:$AN$1001,0),"")</f>
        <v/>
      </c>
      <c r="Z86" s="14">
        <f>IF($Y86="","",J86-I86*W86/100)</f>
        <v/>
      </c>
    </row>
    <row r="87">
      <c r="A87" s="12" t="n"/>
      <c r="B87">
        <f>IF($Y87="","",INDEX('Per Line'!$D$2:$D$1001,$Y87)&amp;"")</f>
        <v/>
      </c>
      <c r="C87">
        <f>IF($Y87="","",INDEX('Per Line'!$C$2:$C$1001,$Y87)&amp;"")</f>
        <v/>
      </c>
      <c r="D87" s="11">
        <f>IF($Y87="","",INDEX('Per Line'!$F$2:$F$1001,$Y87))</f>
        <v/>
      </c>
      <c r="E87">
        <f>IF($Y87="","",INDEX('Per Line'!$G$2:$G$1001,$Y87)&amp;"")</f>
        <v/>
      </c>
      <c r="F87">
        <f>IF($Y87="","",INDEX('Per Line'!$I$2:$I$1001,$Y87)&amp;"")</f>
        <v/>
      </c>
      <c r="G87">
        <f>IF($Y87="","",INDEX('Per Line'!$J$2:$J$1001,$Y87)&amp;"")</f>
        <v/>
      </c>
      <c r="H87">
        <f>IF($Y87="","",INDEX('Per Line'!$K$2:$K$1001,$Y87)&amp;"")</f>
        <v/>
      </c>
      <c r="I87">
        <f>IF($Y87="","",INDEX('Per Line'!$O$2:$O$1001,$Y87))</f>
        <v/>
      </c>
      <c r="J87" s="7">
        <f>IF($Y87="","",IF(AND(ISNUMBER(L87),L87&gt;0,W87&gt;L87),I87*L87/100+(W87-L87),I87*W87/100))</f>
        <v/>
      </c>
      <c r="K87">
        <f>IF($Y87="","",INDEX('Per Line'!$Y$2:$Y$1001,$Y87)&amp;"")</f>
        <v/>
      </c>
      <c r="L87">
        <f>IF($Y87="","",INDEX('Per Line'!$AF$2:$AF$1001,$Y87))</f>
        <v/>
      </c>
      <c r="M87">
        <f>IF($Y87="","",IF(AND(ISNUMBER(L87),L87&gt;0),W87&gt;L87,FALSE))</f>
        <v/>
      </c>
      <c r="N87" s="7">
        <f>IF($Y87="","",SUMIFS('Per Line'!$X$2:$X$1001,'Per Line'!$D$2:$D$1001,$B87,'Per Line'!$AP$2:$AP$1001,1))</f>
        <v/>
      </c>
      <c r="O87">
        <f>IF($Y87="","",Settings!$C$7)</f>
        <v/>
      </c>
      <c r="P87" s="7">
        <f>IF($Y87="","",SUMIFS('Per Line'!$X$2:$X$1001,'Per Line'!$D$2:$D$1001,$B87,'Per Line'!$AO$2:$AO$1001,0,'Per Line'!$AP$2:$AP$1001,0))</f>
        <v/>
      </c>
      <c r="Q87" s="7">
        <f>IF($Y87="","",P87*O87)</f>
        <v/>
      </c>
      <c r="R87">
        <f>IF($Y87="","",Settings!$C$6)</f>
        <v/>
      </c>
      <c r="S87" s="7">
        <f>IF($Y87="","",SUMIFS('Per Line'!$X$2:$X$1001,'Per Line'!$D$2:$D$1001,$B87,'Per Line'!$AO$2:$AO$1001,1,'Per Line'!$AP$2:$AP$1001,0))</f>
        <v/>
      </c>
      <c r="T87" s="7">
        <f>IF($Y87="","",S87*R87)</f>
        <v/>
      </c>
      <c r="U87" s="7">
        <f>IF($Y87="","",T87+Q87)</f>
        <v/>
      </c>
      <c r="V87" s="7">
        <f>IF($Y87="","",W87-U87)</f>
        <v/>
      </c>
      <c r="W87" s="7">
        <f>IF($Y87="","",P87+S87+N87)</f>
        <v/>
      </c>
      <c r="X87" s="7">
        <f>IF($Y87="","",W87-U87-J87)</f>
        <v/>
      </c>
      <c r="Y87" s="13">
        <f>IF(ROWS($Y$2:$Y87)&lt;=MAX('Per Line'!$AN$2:$AN$1001),MATCH(ROWS($Y$2:$Y87),'Per Line'!$AN$2:$AN$1001,0),"")</f>
        <v/>
      </c>
      <c r="Z87" s="14">
        <f>IF($Y87="","",J87-I87*W87/100)</f>
        <v/>
      </c>
    </row>
    <row r="88">
      <c r="A88" s="12" t="n"/>
      <c r="B88">
        <f>IF($Y88="","",INDEX('Per Line'!$D$2:$D$1001,$Y88)&amp;"")</f>
        <v/>
      </c>
      <c r="C88">
        <f>IF($Y88="","",INDEX('Per Line'!$C$2:$C$1001,$Y88)&amp;"")</f>
        <v/>
      </c>
      <c r="D88" s="11">
        <f>IF($Y88="","",INDEX('Per Line'!$F$2:$F$1001,$Y88))</f>
        <v/>
      </c>
      <c r="E88">
        <f>IF($Y88="","",INDEX('Per Line'!$G$2:$G$1001,$Y88)&amp;"")</f>
        <v/>
      </c>
      <c r="F88">
        <f>IF($Y88="","",INDEX('Per Line'!$I$2:$I$1001,$Y88)&amp;"")</f>
        <v/>
      </c>
      <c r="G88">
        <f>IF($Y88="","",INDEX('Per Line'!$J$2:$J$1001,$Y88)&amp;"")</f>
        <v/>
      </c>
      <c r="H88">
        <f>IF($Y88="","",INDEX('Per Line'!$K$2:$K$1001,$Y88)&amp;"")</f>
        <v/>
      </c>
      <c r="I88">
        <f>IF($Y88="","",INDEX('Per Line'!$O$2:$O$1001,$Y88))</f>
        <v/>
      </c>
      <c r="J88" s="7">
        <f>IF($Y88="","",IF(AND(ISNUMBER(L88),L88&gt;0,W88&gt;L88),I88*L88/100+(W88-L88),I88*W88/100))</f>
        <v/>
      </c>
      <c r="K88">
        <f>IF($Y88="","",INDEX('Per Line'!$Y$2:$Y$1001,$Y88)&amp;"")</f>
        <v/>
      </c>
      <c r="L88">
        <f>IF($Y88="","",INDEX('Per Line'!$AF$2:$AF$1001,$Y88))</f>
        <v/>
      </c>
      <c r="M88">
        <f>IF($Y88="","",IF(AND(ISNUMBER(L88),L88&gt;0),W88&gt;L88,FALSE))</f>
        <v/>
      </c>
      <c r="N88" s="7">
        <f>IF($Y88="","",SUMIFS('Per Line'!$X$2:$X$1001,'Per Line'!$D$2:$D$1001,$B88,'Per Line'!$AP$2:$AP$1001,1))</f>
        <v/>
      </c>
      <c r="O88">
        <f>IF($Y88="","",Settings!$C$7)</f>
        <v/>
      </c>
      <c r="P88" s="7">
        <f>IF($Y88="","",SUMIFS('Per Line'!$X$2:$X$1001,'Per Line'!$D$2:$D$1001,$B88,'Per Line'!$AO$2:$AO$1001,0,'Per Line'!$AP$2:$AP$1001,0))</f>
        <v/>
      </c>
      <c r="Q88" s="7">
        <f>IF($Y88="","",P88*O88)</f>
        <v/>
      </c>
      <c r="R88">
        <f>IF($Y88="","",Settings!$C$6)</f>
        <v/>
      </c>
      <c r="S88" s="7">
        <f>IF($Y88="","",SUMIFS('Per Line'!$X$2:$X$1001,'Per Line'!$D$2:$D$1001,$B88,'Per Line'!$AO$2:$AO$1001,1,'Per Line'!$AP$2:$AP$1001,0))</f>
        <v/>
      </c>
      <c r="T88" s="7">
        <f>IF($Y88="","",S88*R88)</f>
        <v/>
      </c>
      <c r="U88" s="7">
        <f>IF($Y88="","",T88+Q88)</f>
        <v/>
      </c>
      <c r="V88" s="7">
        <f>IF($Y88="","",W88-U88)</f>
        <v/>
      </c>
      <c r="W88" s="7">
        <f>IF($Y88="","",P88+S88+N88)</f>
        <v/>
      </c>
      <c r="X88" s="7">
        <f>IF($Y88="","",W88-U88-J88)</f>
        <v/>
      </c>
      <c r="Y88" s="13">
        <f>IF(ROWS($Y$2:$Y88)&lt;=MAX('Per Line'!$AN$2:$AN$1001),MATCH(ROWS($Y$2:$Y88),'Per Line'!$AN$2:$AN$1001,0),"")</f>
        <v/>
      </c>
      <c r="Z88" s="14">
        <f>IF($Y88="","",J88-I88*W88/100)</f>
        <v/>
      </c>
    </row>
    <row r="89">
      <c r="A89" s="12" t="n"/>
      <c r="B89">
        <f>IF($Y89="","",INDEX('Per Line'!$D$2:$D$1001,$Y89)&amp;"")</f>
        <v/>
      </c>
      <c r="C89">
        <f>IF($Y89="","",INDEX('Per Line'!$C$2:$C$1001,$Y89)&amp;"")</f>
        <v/>
      </c>
      <c r="D89" s="11">
        <f>IF($Y89="","",INDEX('Per Line'!$F$2:$F$1001,$Y89))</f>
        <v/>
      </c>
      <c r="E89">
        <f>IF($Y89="","",INDEX('Per Line'!$G$2:$G$1001,$Y89)&amp;"")</f>
        <v/>
      </c>
      <c r="F89">
        <f>IF($Y89="","",INDEX('Per Line'!$I$2:$I$1001,$Y89)&amp;"")</f>
        <v/>
      </c>
      <c r="G89">
        <f>IF($Y89="","",INDEX('Per Line'!$J$2:$J$1001,$Y89)&amp;"")</f>
        <v/>
      </c>
      <c r="H89">
        <f>IF($Y89="","",INDEX('Per Line'!$K$2:$K$1001,$Y89)&amp;"")</f>
        <v/>
      </c>
      <c r="I89">
        <f>IF($Y89="","",INDEX('Per Line'!$O$2:$O$1001,$Y89))</f>
        <v/>
      </c>
      <c r="J89" s="7">
        <f>IF($Y89="","",IF(AND(ISNUMBER(L89),L89&gt;0,W89&gt;L89),I89*L89/100+(W89-L89),I89*W89/100))</f>
        <v/>
      </c>
      <c r="K89">
        <f>IF($Y89="","",INDEX('Per Line'!$Y$2:$Y$1001,$Y89)&amp;"")</f>
        <v/>
      </c>
      <c r="L89">
        <f>IF($Y89="","",INDEX('Per Line'!$AF$2:$AF$1001,$Y89))</f>
        <v/>
      </c>
      <c r="M89">
        <f>IF($Y89="","",IF(AND(ISNUMBER(L89),L89&gt;0),W89&gt;L89,FALSE))</f>
        <v/>
      </c>
      <c r="N89" s="7">
        <f>IF($Y89="","",SUMIFS('Per Line'!$X$2:$X$1001,'Per Line'!$D$2:$D$1001,$B89,'Per Line'!$AP$2:$AP$1001,1))</f>
        <v/>
      </c>
      <c r="O89">
        <f>IF($Y89="","",Settings!$C$7)</f>
        <v/>
      </c>
      <c r="P89" s="7">
        <f>IF($Y89="","",SUMIFS('Per Line'!$X$2:$X$1001,'Per Line'!$D$2:$D$1001,$B89,'Per Line'!$AO$2:$AO$1001,0,'Per Line'!$AP$2:$AP$1001,0))</f>
        <v/>
      </c>
      <c r="Q89" s="7">
        <f>IF($Y89="","",P89*O89)</f>
        <v/>
      </c>
      <c r="R89">
        <f>IF($Y89="","",Settings!$C$6)</f>
        <v/>
      </c>
      <c r="S89" s="7">
        <f>IF($Y89="","",SUMIFS('Per Line'!$X$2:$X$1001,'Per Line'!$D$2:$D$1001,$B89,'Per Line'!$AO$2:$AO$1001,1,'Per Line'!$AP$2:$AP$1001,0))</f>
        <v/>
      </c>
      <c r="T89" s="7">
        <f>IF($Y89="","",S89*R89)</f>
        <v/>
      </c>
      <c r="U89" s="7">
        <f>IF($Y89="","",T89+Q89)</f>
        <v/>
      </c>
      <c r="V89" s="7">
        <f>IF($Y89="","",W89-U89)</f>
        <v/>
      </c>
      <c r="W89" s="7">
        <f>IF($Y89="","",P89+S89+N89)</f>
        <v/>
      </c>
      <c r="X89" s="7">
        <f>IF($Y89="","",W89-U89-J89)</f>
        <v/>
      </c>
      <c r="Y89" s="13">
        <f>IF(ROWS($Y$2:$Y89)&lt;=MAX('Per Line'!$AN$2:$AN$1001),MATCH(ROWS($Y$2:$Y89),'Per Line'!$AN$2:$AN$1001,0),"")</f>
        <v/>
      </c>
      <c r="Z89" s="14">
        <f>IF($Y89="","",J89-I89*W89/100)</f>
        <v/>
      </c>
    </row>
    <row r="90">
      <c r="A90" s="12" t="n"/>
      <c r="B90">
        <f>IF($Y90="","",INDEX('Per Line'!$D$2:$D$1001,$Y90)&amp;"")</f>
        <v/>
      </c>
      <c r="C90">
        <f>IF($Y90="","",INDEX('Per Line'!$C$2:$C$1001,$Y90)&amp;"")</f>
        <v/>
      </c>
      <c r="D90" s="11">
        <f>IF($Y90="","",INDEX('Per Line'!$F$2:$F$1001,$Y90))</f>
        <v/>
      </c>
      <c r="E90">
        <f>IF($Y90="","",INDEX('Per Line'!$G$2:$G$1001,$Y90)&amp;"")</f>
        <v/>
      </c>
      <c r="F90">
        <f>IF($Y90="","",INDEX('Per Line'!$I$2:$I$1001,$Y90)&amp;"")</f>
        <v/>
      </c>
      <c r="G90">
        <f>IF($Y90="","",INDEX('Per Line'!$J$2:$J$1001,$Y90)&amp;"")</f>
        <v/>
      </c>
      <c r="H90">
        <f>IF($Y90="","",INDEX('Per Line'!$K$2:$K$1001,$Y90)&amp;"")</f>
        <v/>
      </c>
      <c r="I90">
        <f>IF($Y90="","",INDEX('Per Line'!$O$2:$O$1001,$Y90))</f>
        <v/>
      </c>
      <c r="J90" s="7">
        <f>IF($Y90="","",IF(AND(ISNUMBER(L90),L90&gt;0,W90&gt;L90),I90*L90/100+(W90-L90),I90*W90/100))</f>
        <v/>
      </c>
      <c r="K90">
        <f>IF($Y90="","",INDEX('Per Line'!$Y$2:$Y$1001,$Y90)&amp;"")</f>
        <v/>
      </c>
      <c r="L90">
        <f>IF($Y90="","",INDEX('Per Line'!$AF$2:$AF$1001,$Y90))</f>
        <v/>
      </c>
      <c r="M90">
        <f>IF($Y90="","",IF(AND(ISNUMBER(L90),L90&gt;0),W90&gt;L90,FALSE))</f>
        <v/>
      </c>
      <c r="N90" s="7">
        <f>IF($Y90="","",SUMIFS('Per Line'!$X$2:$X$1001,'Per Line'!$D$2:$D$1001,$B90,'Per Line'!$AP$2:$AP$1001,1))</f>
        <v/>
      </c>
      <c r="O90">
        <f>IF($Y90="","",Settings!$C$7)</f>
        <v/>
      </c>
      <c r="P90" s="7">
        <f>IF($Y90="","",SUMIFS('Per Line'!$X$2:$X$1001,'Per Line'!$D$2:$D$1001,$B90,'Per Line'!$AO$2:$AO$1001,0,'Per Line'!$AP$2:$AP$1001,0))</f>
        <v/>
      </c>
      <c r="Q90" s="7">
        <f>IF($Y90="","",P90*O90)</f>
        <v/>
      </c>
      <c r="R90">
        <f>IF($Y90="","",Settings!$C$6)</f>
        <v/>
      </c>
      <c r="S90" s="7">
        <f>IF($Y90="","",SUMIFS('Per Line'!$X$2:$X$1001,'Per Line'!$D$2:$D$1001,$B90,'Per Line'!$AO$2:$AO$1001,1,'Per Line'!$AP$2:$AP$1001,0))</f>
        <v/>
      </c>
      <c r="T90" s="7">
        <f>IF($Y90="","",S90*R90)</f>
        <v/>
      </c>
      <c r="U90" s="7">
        <f>IF($Y90="","",T90+Q90)</f>
        <v/>
      </c>
      <c r="V90" s="7">
        <f>IF($Y90="","",W90-U90)</f>
        <v/>
      </c>
      <c r="W90" s="7">
        <f>IF($Y90="","",P90+S90+N90)</f>
        <v/>
      </c>
      <c r="X90" s="7">
        <f>IF($Y90="","",W90-U90-J90)</f>
        <v/>
      </c>
      <c r="Y90" s="13">
        <f>IF(ROWS($Y$2:$Y90)&lt;=MAX('Per Line'!$AN$2:$AN$1001),MATCH(ROWS($Y$2:$Y90),'Per Line'!$AN$2:$AN$1001,0),"")</f>
        <v/>
      </c>
      <c r="Z90" s="14">
        <f>IF($Y90="","",J90-I90*W90/100)</f>
        <v/>
      </c>
    </row>
    <row r="91">
      <c r="A91" s="12" t="n"/>
      <c r="B91">
        <f>IF($Y91="","",INDEX('Per Line'!$D$2:$D$1001,$Y91)&amp;"")</f>
        <v/>
      </c>
      <c r="C91">
        <f>IF($Y91="","",INDEX('Per Line'!$C$2:$C$1001,$Y91)&amp;"")</f>
        <v/>
      </c>
      <c r="D91" s="11">
        <f>IF($Y91="","",INDEX('Per Line'!$F$2:$F$1001,$Y91))</f>
        <v/>
      </c>
      <c r="E91">
        <f>IF($Y91="","",INDEX('Per Line'!$G$2:$G$1001,$Y91)&amp;"")</f>
        <v/>
      </c>
      <c r="F91">
        <f>IF($Y91="","",INDEX('Per Line'!$I$2:$I$1001,$Y91)&amp;"")</f>
        <v/>
      </c>
      <c r="G91">
        <f>IF($Y91="","",INDEX('Per Line'!$J$2:$J$1001,$Y91)&amp;"")</f>
        <v/>
      </c>
      <c r="H91">
        <f>IF($Y91="","",INDEX('Per Line'!$K$2:$K$1001,$Y91)&amp;"")</f>
        <v/>
      </c>
      <c r="I91">
        <f>IF($Y91="","",INDEX('Per Line'!$O$2:$O$1001,$Y91))</f>
        <v/>
      </c>
      <c r="J91" s="7">
        <f>IF($Y91="","",IF(AND(ISNUMBER(L91),L91&gt;0,W91&gt;L91),I91*L91/100+(W91-L91),I91*W91/100))</f>
        <v/>
      </c>
      <c r="K91">
        <f>IF($Y91="","",INDEX('Per Line'!$Y$2:$Y$1001,$Y91)&amp;"")</f>
        <v/>
      </c>
      <c r="L91">
        <f>IF($Y91="","",INDEX('Per Line'!$AF$2:$AF$1001,$Y91))</f>
        <v/>
      </c>
      <c r="M91">
        <f>IF($Y91="","",IF(AND(ISNUMBER(L91),L91&gt;0),W91&gt;L91,FALSE))</f>
        <v/>
      </c>
      <c r="N91" s="7">
        <f>IF($Y91="","",SUMIFS('Per Line'!$X$2:$X$1001,'Per Line'!$D$2:$D$1001,$B91,'Per Line'!$AP$2:$AP$1001,1))</f>
        <v/>
      </c>
      <c r="O91">
        <f>IF($Y91="","",Settings!$C$7)</f>
        <v/>
      </c>
      <c r="P91" s="7">
        <f>IF($Y91="","",SUMIFS('Per Line'!$X$2:$X$1001,'Per Line'!$D$2:$D$1001,$B91,'Per Line'!$AO$2:$AO$1001,0,'Per Line'!$AP$2:$AP$1001,0))</f>
        <v/>
      </c>
      <c r="Q91" s="7">
        <f>IF($Y91="","",P91*O91)</f>
        <v/>
      </c>
      <c r="R91">
        <f>IF($Y91="","",Settings!$C$6)</f>
        <v/>
      </c>
      <c r="S91" s="7">
        <f>IF($Y91="","",SUMIFS('Per Line'!$X$2:$X$1001,'Per Line'!$D$2:$D$1001,$B91,'Per Line'!$AO$2:$AO$1001,1,'Per Line'!$AP$2:$AP$1001,0))</f>
        <v/>
      </c>
      <c r="T91" s="7">
        <f>IF($Y91="","",S91*R91)</f>
        <v/>
      </c>
      <c r="U91" s="7">
        <f>IF($Y91="","",T91+Q91)</f>
        <v/>
      </c>
      <c r="V91" s="7">
        <f>IF($Y91="","",W91-U91)</f>
        <v/>
      </c>
      <c r="W91" s="7">
        <f>IF($Y91="","",P91+S91+N91)</f>
        <v/>
      </c>
      <c r="X91" s="7">
        <f>IF($Y91="","",W91-U91-J91)</f>
        <v/>
      </c>
      <c r="Y91" s="13">
        <f>IF(ROWS($Y$2:$Y91)&lt;=MAX('Per Line'!$AN$2:$AN$1001),MATCH(ROWS($Y$2:$Y91),'Per Line'!$AN$2:$AN$1001,0),"")</f>
        <v/>
      </c>
      <c r="Z91" s="14">
        <f>IF($Y91="","",J91-I91*W91/100)</f>
        <v/>
      </c>
    </row>
    <row r="92">
      <c r="A92" s="12" t="n"/>
      <c r="B92">
        <f>IF($Y92="","",INDEX('Per Line'!$D$2:$D$1001,$Y92)&amp;"")</f>
        <v/>
      </c>
      <c r="C92">
        <f>IF($Y92="","",INDEX('Per Line'!$C$2:$C$1001,$Y92)&amp;"")</f>
        <v/>
      </c>
      <c r="D92" s="11">
        <f>IF($Y92="","",INDEX('Per Line'!$F$2:$F$1001,$Y92))</f>
        <v/>
      </c>
      <c r="E92">
        <f>IF($Y92="","",INDEX('Per Line'!$G$2:$G$1001,$Y92)&amp;"")</f>
        <v/>
      </c>
      <c r="F92">
        <f>IF($Y92="","",INDEX('Per Line'!$I$2:$I$1001,$Y92)&amp;"")</f>
        <v/>
      </c>
      <c r="G92">
        <f>IF($Y92="","",INDEX('Per Line'!$J$2:$J$1001,$Y92)&amp;"")</f>
        <v/>
      </c>
      <c r="H92">
        <f>IF($Y92="","",INDEX('Per Line'!$K$2:$K$1001,$Y92)&amp;"")</f>
        <v/>
      </c>
      <c r="I92">
        <f>IF($Y92="","",INDEX('Per Line'!$O$2:$O$1001,$Y92))</f>
        <v/>
      </c>
      <c r="J92" s="7">
        <f>IF($Y92="","",IF(AND(ISNUMBER(L92),L92&gt;0,W92&gt;L92),I92*L92/100+(W92-L92),I92*W92/100))</f>
        <v/>
      </c>
      <c r="K92">
        <f>IF($Y92="","",INDEX('Per Line'!$Y$2:$Y$1001,$Y92)&amp;"")</f>
        <v/>
      </c>
      <c r="L92">
        <f>IF($Y92="","",INDEX('Per Line'!$AF$2:$AF$1001,$Y92))</f>
        <v/>
      </c>
      <c r="M92">
        <f>IF($Y92="","",IF(AND(ISNUMBER(L92),L92&gt;0),W92&gt;L92,FALSE))</f>
        <v/>
      </c>
      <c r="N92" s="7">
        <f>IF($Y92="","",SUMIFS('Per Line'!$X$2:$X$1001,'Per Line'!$D$2:$D$1001,$B92,'Per Line'!$AP$2:$AP$1001,1))</f>
        <v/>
      </c>
      <c r="O92">
        <f>IF($Y92="","",Settings!$C$7)</f>
        <v/>
      </c>
      <c r="P92" s="7">
        <f>IF($Y92="","",SUMIFS('Per Line'!$X$2:$X$1001,'Per Line'!$D$2:$D$1001,$B92,'Per Line'!$AO$2:$AO$1001,0,'Per Line'!$AP$2:$AP$1001,0))</f>
        <v/>
      </c>
      <c r="Q92" s="7">
        <f>IF($Y92="","",P92*O92)</f>
        <v/>
      </c>
      <c r="R92">
        <f>IF($Y92="","",Settings!$C$6)</f>
        <v/>
      </c>
      <c r="S92" s="7">
        <f>IF($Y92="","",SUMIFS('Per Line'!$X$2:$X$1001,'Per Line'!$D$2:$D$1001,$B92,'Per Line'!$AO$2:$AO$1001,1,'Per Line'!$AP$2:$AP$1001,0))</f>
        <v/>
      </c>
      <c r="T92" s="7">
        <f>IF($Y92="","",S92*R92)</f>
        <v/>
      </c>
      <c r="U92" s="7">
        <f>IF($Y92="","",T92+Q92)</f>
        <v/>
      </c>
      <c r="V92" s="7">
        <f>IF($Y92="","",W92-U92)</f>
        <v/>
      </c>
      <c r="W92" s="7">
        <f>IF($Y92="","",P92+S92+N92)</f>
        <v/>
      </c>
      <c r="X92" s="7">
        <f>IF($Y92="","",W92-U92-J92)</f>
        <v/>
      </c>
      <c r="Y92" s="13">
        <f>IF(ROWS($Y$2:$Y92)&lt;=MAX('Per Line'!$AN$2:$AN$1001),MATCH(ROWS($Y$2:$Y92),'Per Line'!$AN$2:$AN$1001,0),"")</f>
        <v/>
      </c>
      <c r="Z92" s="14">
        <f>IF($Y92="","",J92-I92*W92/100)</f>
        <v/>
      </c>
    </row>
    <row r="93">
      <c r="A93" s="12" t="n"/>
      <c r="B93">
        <f>IF($Y93="","",INDEX('Per Line'!$D$2:$D$1001,$Y93)&amp;"")</f>
        <v/>
      </c>
      <c r="C93">
        <f>IF($Y93="","",INDEX('Per Line'!$C$2:$C$1001,$Y93)&amp;"")</f>
        <v/>
      </c>
      <c r="D93" s="11">
        <f>IF($Y93="","",INDEX('Per Line'!$F$2:$F$1001,$Y93))</f>
        <v/>
      </c>
      <c r="E93">
        <f>IF($Y93="","",INDEX('Per Line'!$G$2:$G$1001,$Y93)&amp;"")</f>
        <v/>
      </c>
      <c r="F93">
        <f>IF($Y93="","",INDEX('Per Line'!$I$2:$I$1001,$Y93)&amp;"")</f>
        <v/>
      </c>
      <c r="G93">
        <f>IF($Y93="","",INDEX('Per Line'!$J$2:$J$1001,$Y93)&amp;"")</f>
        <v/>
      </c>
      <c r="H93">
        <f>IF($Y93="","",INDEX('Per Line'!$K$2:$K$1001,$Y93)&amp;"")</f>
        <v/>
      </c>
      <c r="I93">
        <f>IF($Y93="","",INDEX('Per Line'!$O$2:$O$1001,$Y93))</f>
        <v/>
      </c>
      <c r="J93" s="7">
        <f>IF($Y93="","",IF(AND(ISNUMBER(L93),L93&gt;0,W93&gt;L93),I93*L93/100+(W93-L93),I93*W93/100))</f>
        <v/>
      </c>
      <c r="K93">
        <f>IF($Y93="","",INDEX('Per Line'!$Y$2:$Y$1001,$Y93)&amp;"")</f>
        <v/>
      </c>
      <c r="L93">
        <f>IF($Y93="","",INDEX('Per Line'!$AF$2:$AF$1001,$Y93))</f>
        <v/>
      </c>
      <c r="M93">
        <f>IF($Y93="","",IF(AND(ISNUMBER(L93),L93&gt;0),W93&gt;L93,FALSE))</f>
        <v/>
      </c>
      <c r="N93" s="7">
        <f>IF($Y93="","",SUMIFS('Per Line'!$X$2:$X$1001,'Per Line'!$D$2:$D$1001,$B93,'Per Line'!$AP$2:$AP$1001,1))</f>
        <v/>
      </c>
      <c r="O93">
        <f>IF($Y93="","",Settings!$C$7)</f>
        <v/>
      </c>
      <c r="P93" s="7">
        <f>IF($Y93="","",SUMIFS('Per Line'!$X$2:$X$1001,'Per Line'!$D$2:$D$1001,$B93,'Per Line'!$AO$2:$AO$1001,0,'Per Line'!$AP$2:$AP$1001,0))</f>
        <v/>
      </c>
      <c r="Q93" s="7">
        <f>IF($Y93="","",P93*O93)</f>
        <v/>
      </c>
      <c r="R93">
        <f>IF($Y93="","",Settings!$C$6)</f>
        <v/>
      </c>
      <c r="S93" s="7">
        <f>IF($Y93="","",SUMIFS('Per Line'!$X$2:$X$1001,'Per Line'!$D$2:$D$1001,$B93,'Per Line'!$AO$2:$AO$1001,1,'Per Line'!$AP$2:$AP$1001,0))</f>
        <v/>
      </c>
      <c r="T93" s="7">
        <f>IF($Y93="","",S93*R93)</f>
        <v/>
      </c>
      <c r="U93" s="7">
        <f>IF($Y93="","",T93+Q93)</f>
        <v/>
      </c>
      <c r="V93" s="7">
        <f>IF($Y93="","",W93-U93)</f>
        <v/>
      </c>
      <c r="W93" s="7">
        <f>IF($Y93="","",P93+S93+N93)</f>
        <v/>
      </c>
      <c r="X93" s="7">
        <f>IF($Y93="","",W93-U93-J93)</f>
        <v/>
      </c>
      <c r="Y93" s="13">
        <f>IF(ROWS($Y$2:$Y93)&lt;=MAX('Per Line'!$AN$2:$AN$1001),MATCH(ROWS($Y$2:$Y93),'Per Line'!$AN$2:$AN$1001,0),"")</f>
        <v/>
      </c>
      <c r="Z93" s="14">
        <f>IF($Y93="","",J93-I93*W93/100)</f>
        <v/>
      </c>
    </row>
    <row r="94">
      <c r="A94" s="12" t="n"/>
      <c r="B94">
        <f>IF($Y94="","",INDEX('Per Line'!$D$2:$D$1001,$Y94)&amp;"")</f>
        <v/>
      </c>
      <c r="C94">
        <f>IF($Y94="","",INDEX('Per Line'!$C$2:$C$1001,$Y94)&amp;"")</f>
        <v/>
      </c>
      <c r="D94" s="11">
        <f>IF($Y94="","",INDEX('Per Line'!$F$2:$F$1001,$Y94))</f>
        <v/>
      </c>
      <c r="E94">
        <f>IF($Y94="","",INDEX('Per Line'!$G$2:$G$1001,$Y94)&amp;"")</f>
        <v/>
      </c>
      <c r="F94">
        <f>IF($Y94="","",INDEX('Per Line'!$I$2:$I$1001,$Y94)&amp;"")</f>
        <v/>
      </c>
      <c r="G94">
        <f>IF($Y94="","",INDEX('Per Line'!$J$2:$J$1001,$Y94)&amp;"")</f>
        <v/>
      </c>
      <c r="H94">
        <f>IF($Y94="","",INDEX('Per Line'!$K$2:$K$1001,$Y94)&amp;"")</f>
        <v/>
      </c>
      <c r="I94">
        <f>IF($Y94="","",INDEX('Per Line'!$O$2:$O$1001,$Y94))</f>
        <v/>
      </c>
      <c r="J94" s="7">
        <f>IF($Y94="","",IF(AND(ISNUMBER(L94),L94&gt;0,W94&gt;L94),I94*L94/100+(W94-L94),I94*W94/100))</f>
        <v/>
      </c>
      <c r="K94">
        <f>IF($Y94="","",INDEX('Per Line'!$Y$2:$Y$1001,$Y94)&amp;"")</f>
        <v/>
      </c>
      <c r="L94">
        <f>IF($Y94="","",INDEX('Per Line'!$AF$2:$AF$1001,$Y94))</f>
        <v/>
      </c>
      <c r="M94">
        <f>IF($Y94="","",IF(AND(ISNUMBER(L94),L94&gt;0),W94&gt;L94,FALSE))</f>
        <v/>
      </c>
      <c r="N94" s="7">
        <f>IF($Y94="","",SUMIFS('Per Line'!$X$2:$X$1001,'Per Line'!$D$2:$D$1001,$B94,'Per Line'!$AP$2:$AP$1001,1))</f>
        <v/>
      </c>
      <c r="O94">
        <f>IF($Y94="","",Settings!$C$7)</f>
        <v/>
      </c>
      <c r="P94" s="7">
        <f>IF($Y94="","",SUMIFS('Per Line'!$X$2:$X$1001,'Per Line'!$D$2:$D$1001,$B94,'Per Line'!$AO$2:$AO$1001,0,'Per Line'!$AP$2:$AP$1001,0))</f>
        <v/>
      </c>
      <c r="Q94" s="7">
        <f>IF($Y94="","",P94*O94)</f>
        <v/>
      </c>
      <c r="R94">
        <f>IF($Y94="","",Settings!$C$6)</f>
        <v/>
      </c>
      <c r="S94" s="7">
        <f>IF($Y94="","",SUMIFS('Per Line'!$X$2:$X$1001,'Per Line'!$D$2:$D$1001,$B94,'Per Line'!$AO$2:$AO$1001,1,'Per Line'!$AP$2:$AP$1001,0))</f>
        <v/>
      </c>
      <c r="T94" s="7">
        <f>IF($Y94="","",S94*R94)</f>
        <v/>
      </c>
      <c r="U94" s="7">
        <f>IF($Y94="","",T94+Q94)</f>
        <v/>
      </c>
      <c r="V94" s="7">
        <f>IF($Y94="","",W94-U94)</f>
        <v/>
      </c>
      <c r="W94" s="7">
        <f>IF($Y94="","",P94+S94+N94)</f>
        <v/>
      </c>
      <c r="X94" s="7">
        <f>IF($Y94="","",W94-U94-J94)</f>
        <v/>
      </c>
      <c r="Y94" s="13">
        <f>IF(ROWS($Y$2:$Y94)&lt;=MAX('Per Line'!$AN$2:$AN$1001),MATCH(ROWS($Y$2:$Y94),'Per Line'!$AN$2:$AN$1001,0),"")</f>
        <v/>
      </c>
      <c r="Z94" s="14">
        <f>IF($Y94="","",J94-I94*W94/100)</f>
        <v/>
      </c>
    </row>
    <row r="95">
      <c r="A95" s="12" t="n"/>
      <c r="B95">
        <f>IF($Y95="","",INDEX('Per Line'!$D$2:$D$1001,$Y95)&amp;"")</f>
        <v/>
      </c>
      <c r="C95">
        <f>IF($Y95="","",INDEX('Per Line'!$C$2:$C$1001,$Y95)&amp;"")</f>
        <v/>
      </c>
      <c r="D95" s="11">
        <f>IF($Y95="","",INDEX('Per Line'!$F$2:$F$1001,$Y95))</f>
        <v/>
      </c>
      <c r="E95">
        <f>IF($Y95="","",INDEX('Per Line'!$G$2:$G$1001,$Y95)&amp;"")</f>
        <v/>
      </c>
      <c r="F95">
        <f>IF($Y95="","",INDEX('Per Line'!$I$2:$I$1001,$Y95)&amp;"")</f>
        <v/>
      </c>
      <c r="G95">
        <f>IF($Y95="","",INDEX('Per Line'!$J$2:$J$1001,$Y95)&amp;"")</f>
        <v/>
      </c>
      <c r="H95">
        <f>IF($Y95="","",INDEX('Per Line'!$K$2:$K$1001,$Y95)&amp;"")</f>
        <v/>
      </c>
      <c r="I95">
        <f>IF($Y95="","",INDEX('Per Line'!$O$2:$O$1001,$Y95))</f>
        <v/>
      </c>
      <c r="J95" s="7">
        <f>IF($Y95="","",IF(AND(ISNUMBER(L95),L95&gt;0,W95&gt;L95),I95*L95/100+(W95-L95),I95*W95/100))</f>
        <v/>
      </c>
      <c r="K95">
        <f>IF($Y95="","",INDEX('Per Line'!$Y$2:$Y$1001,$Y95)&amp;"")</f>
        <v/>
      </c>
      <c r="L95">
        <f>IF($Y95="","",INDEX('Per Line'!$AF$2:$AF$1001,$Y95))</f>
        <v/>
      </c>
      <c r="M95">
        <f>IF($Y95="","",IF(AND(ISNUMBER(L95),L95&gt;0),W95&gt;L95,FALSE))</f>
        <v/>
      </c>
      <c r="N95" s="7">
        <f>IF($Y95="","",SUMIFS('Per Line'!$X$2:$X$1001,'Per Line'!$D$2:$D$1001,$B95,'Per Line'!$AP$2:$AP$1001,1))</f>
        <v/>
      </c>
      <c r="O95">
        <f>IF($Y95="","",Settings!$C$7)</f>
        <v/>
      </c>
      <c r="P95" s="7">
        <f>IF($Y95="","",SUMIFS('Per Line'!$X$2:$X$1001,'Per Line'!$D$2:$D$1001,$B95,'Per Line'!$AO$2:$AO$1001,0,'Per Line'!$AP$2:$AP$1001,0))</f>
        <v/>
      </c>
      <c r="Q95" s="7">
        <f>IF($Y95="","",P95*O95)</f>
        <v/>
      </c>
      <c r="R95">
        <f>IF($Y95="","",Settings!$C$6)</f>
        <v/>
      </c>
      <c r="S95" s="7">
        <f>IF($Y95="","",SUMIFS('Per Line'!$X$2:$X$1001,'Per Line'!$D$2:$D$1001,$B95,'Per Line'!$AO$2:$AO$1001,1,'Per Line'!$AP$2:$AP$1001,0))</f>
        <v/>
      </c>
      <c r="T95" s="7">
        <f>IF($Y95="","",S95*R95)</f>
        <v/>
      </c>
      <c r="U95" s="7">
        <f>IF($Y95="","",T95+Q95)</f>
        <v/>
      </c>
      <c r="V95" s="7">
        <f>IF($Y95="","",W95-U95)</f>
        <v/>
      </c>
      <c r="W95" s="7">
        <f>IF($Y95="","",P95+S95+N95)</f>
        <v/>
      </c>
      <c r="X95" s="7">
        <f>IF($Y95="","",W95-U95-J95)</f>
        <v/>
      </c>
      <c r="Y95" s="13">
        <f>IF(ROWS($Y$2:$Y95)&lt;=MAX('Per Line'!$AN$2:$AN$1001),MATCH(ROWS($Y$2:$Y95),'Per Line'!$AN$2:$AN$1001,0),"")</f>
        <v/>
      </c>
      <c r="Z95" s="14">
        <f>IF($Y95="","",J95-I95*W95/100)</f>
        <v/>
      </c>
    </row>
    <row r="96">
      <c r="A96" s="12" t="n"/>
      <c r="B96">
        <f>IF($Y96="","",INDEX('Per Line'!$D$2:$D$1001,$Y96)&amp;"")</f>
        <v/>
      </c>
      <c r="C96">
        <f>IF($Y96="","",INDEX('Per Line'!$C$2:$C$1001,$Y96)&amp;"")</f>
        <v/>
      </c>
      <c r="D96" s="11">
        <f>IF($Y96="","",INDEX('Per Line'!$F$2:$F$1001,$Y96))</f>
        <v/>
      </c>
      <c r="E96">
        <f>IF($Y96="","",INDEX('Per Line'!$G$2:$G$1001,$Y96)&amp;"")</f>
        <v/>
      </c>
      <c r="F96">
        <f>IF($Y96="","",INDEX('Per Line'!$I$2:$I$1001,$Y96)&amp;"")</f>
        <v/>
      </c>
      <c r="G96">
        <f>IF($Y96="","",INDEX('Per Line'!$J$2:$J$1001,$Y96)&amp;"")</f>
        <v/>
      </c>
      <c r="H96">
        <f>IF($Y96="","",INDEX('Per Line'!$K$2:$K$1001,$Y96)&amp;"")</f>
        <v/>
      </c>
      <c r="I96">
        <f>IF($Y96="","",INDEX('Per Line'!$O$2:$O$1001,$Y96))</f>
        <v/>
      </c>
      <c r="J96" s="7">
        <f>IF($Y96="","",IF(AND(ISNUMBER(L96),L96&gt;0,W96&gt;L96),I96*L96/100+(W96-L96),I96*W96/100))</f>
        <v/>
      </c>
      <c r="K96">
        <f>IF($Y96="","",INDEX('Per Line'!$Y$2:$Y$1001,$Y96)&amp;"")</f>
        <v/>
      </c>
      <c r="L96">
        <f>IF($Y96="","",INDEX('Per Line'!$AF$2:$AF$1001,$Y96))</f>
        <v/>
      </c>
      <c r="M96">
        <f>IF($Y96="","",IF(AND(ISNUMBER(L96),L96&gt;0),W96&gt;L96,FALSE))</f>
        <v/>
      </c>
      <c r="N96" s="7">
        <f>IF($Y96="","",SUMIFS('Per Line'!$X$2:$X$1001,'Per Line'!$D$2:$D$1001,$B96,'Per Line'!$AP$2:$AP$1001,1))</f>
        <v/>
      </c>
      <c r="O96">
        <f>IF($Y96="","",Settings!$C$7)</f>
        <v/>
      </c>
      <c r="P96" s="7">
        <f>IF($Y96="","",SUMIFS('Per Line'!$X$2:$X$1001,'Per Line'!$D$2:$D$1001,$B96,'Per Line'!$AO$2:$AO$1001,0,'Per Line'!$AP$2:$AP$1001,0))</f>
        <v/>
      </c>
      <c r="Q96" s="7">
        <f>IF($Y96="","",P96*O96)</f>
        <v/>
      </c>
      <c r="R96">
        <f>IF($Y96="","",Settings!$C$6)</f>
        <v/>
      </c>
      <c r="S96" s="7">
        <f>IF($Y96="","",SUMIFS('Per Line'!$X$2:$X$1001,'Per Line'!$D$2:$D$1001,$B96,'Per Line'!$AO$2:$AO$1001,1,'Per Line'!$AP$2:$AP$1001,0))</f>
        <v/>
      </c>
      <c r="T96" s="7">
        <f>IF($Y96="","",S96*R96)</f>
        <v/>
      </c>
      <c r="U96" s="7">
        <f>IF($Y96="","",T96+Q96)</f>
        <v/>
      </c>
      <c r="V96" s="7">
        <f>IF($Y96="","",W96-U96)</f>
        <v/>
      </c>
      <c r="W96" s="7">
        <f>IF($Y96="","",P96+S96+N96)</f>
        <v/>
      </c>
      <c r="X96" s="7">
        <f>IF($Y96="","",W96-U96-J96)</f>
        <v/>
      </c>
      <c r="Y96" s="13">
        <f>IF(ROWS($Y$2:$Y96)&lt;=MAX('Per Line'!$AN$2:$AN$1001),MATCH(ROWS($Y$2:$Y96),'Per Line'!$AN$2:$AN$1001,0),"")</f>
        <v/>
      </c>
      <c r="Z96" s="14">
        <f>IF($Y96="","",J96-I96*W96/100)</f>
        <v/>
      </c>
    </row>
    <row r="97">
      <c r="A97" s="12" t="n"/>
      <c r="B97">
        <f>IF($Y97="","",INDEX('Per Line'!$D$2:$D$1001,$Y97)&amp;"")</f>
        <v/>
      </c>
      <c r="C97">
        <f>IF($Y97="","",INDEX('Per Line'!$C$2:$C$1001,$Y97)&amp;"")</f>
        <v/>
      </c>
      <c r="D97" s="11">
        <f>IF($Y97="","",INDEX('Per Line'!$F$2:$F$1001,$Y97))</f>
        <v/>
      </c>
      <c r="E97">
        <f>IF($Y97="","",INDEX('Per Line'!$G$2:$G$1001,$Y97)&amp;"")</f>
        <v/>
      </c>
      <c r="F97">
        <f>IF($Y97="","",INDEX('Per Line'!$I$2:$I$1001,$Y97)&amp;"")</f>
        <v/>
      </c>
      <c r="G97">
        <f>IF($Y97="","",INDEX('Per Line'!$J$2:$J$1001,$Y97)&amp;"")</f>
        <v/>
      </c>
      <c r="H97">
        <f>IF($Y97="","",INDEX('Per Line'!$K$2:$K$1001,$Y97)&amp;"")</f>
        <v/>
      </c>
      <c r="I97">
        <f>IF($Y97="","",INDEX('Per Line'!$O$2:$O$1001,$Y97))</f>
        <v/>
      </c>
      <c r="J97" s="7">
        <f>IF($Y97="","",IF(AND(ISNUMBER(L97),L97&gt;0,W97&gt;L97),I97*L97/100+(W97-L97),I97*W97/100))</f>
        <v/>
      </c>
      <c r="K97">
        <f>IF($Y97="","",INDEX('Per Line'!$Y$2:$Y$1001,$Y97)&amp;"")</f>
        <v/>
      </c>
      <c r="L97">
        <f>IF($Y97="","",INDEX('Per Line'!$AF$2:$AF$1001,$Y97))</f>
        <v/>
      </c>
      <c r="M97">
        <f>IF($Y97="","",IF(AND(ISNUMBER(L97),L97&gt;0),W97&gt;L97,FALSE))</f>
        <v/>
      </c>
      <c r="N97" s="7">
        <f>IF($Y97="","",SUMIFS('Per Line'!$X$2:$X$1001,'Per Line'!$D$2:$D$1001,$B97,'Per Line'!$AP$2:$AP$1001,1))</f>
        <v/>
      </c>
      <c r="O97">
        <f>IF($Y97="","",Settings!$C$7)</f>
        <v/>
      </c>
      <c r="P97" s="7">
        <f>IF($Y97="","",SUMIFS('Per Line'!$X$2:$X$1001,'Per Line'!$D$2:$D$1001,$B97,'Per Line'!$AO$2:$AO$1001,0,'Per Line'!$AP$2:$AP$1001,0))</f>
        <v/>
      </c>
      <c r="Q97" s="7">
        <f>IF($Y97="","",P97*O97)</f>
        <v/>
      </c>
      <c r="R97">
        <f>IF($Y97="","",Settings!$C$6)</f>
        <v/>
      </c>
      <c r="S97" s="7">
        <f>IF($Y97="","",SUMIFS('Per Line'!$X$2:$X$1001,'Per Line'!$D$2:$D$1001,$B97,'Per Line'!$AO$2:$AO$1001,1,'Per Line'!$AP$2:$AP$1001,0))</f>
        <v/>
      </c>
      <c r="T97" s="7">
        <f>IF($Y97="","",S97*R97)</f>
        <v/>
      </c>
      <c r="U97" s="7">
        <f>IF($Y97="","",T97+Q97)</f>
        <v/>
      </c>
      <c r="V97" s="7">
        <f>IF($Y97="","",W97-U97)</f>
        <v/>
      </c>
      <c r="W97" s="7">
        <f>IF($Y97="","",P97+S97+N97)</f>
        <v/>
      </c>
      <c r="X97" s="7">
        <f>IF($Y97="","",W97-U97-J97)</f>
        <v/>
      </c>
      <c r="Y97" s="13">
        <f>IF(ROWS($Y$2:$Y97)&lt;=MAX('Per Line'!$AN$2:$AN$1001),MATCH(ROWS($Y$2:$Y97),'Per Line'!$AN$2:$AN$1001,0),"")</f>
        <v/>
      </c>
      <c r="Z97" s="14">
        <f>IF($Y97="","",J97-I97*W97/100)</f>
        <v/>
      </c>
    </row>
    <row r="98">
      <c r="A98" s="12" t="n"/>
      <c r="B98">
        <f>IF($Y98="","",INDEX('Per Line'!$D$2:$D$1001,$Y98)&amp;"")</f>
        <v/>
      </c>
      <c r="C98">
        <f>IF($Y98="","",INDEX('Per Line'!$C$2:$C$1001,$Y98)&amp;"")</f>
        <v/>
      </c>
      <c r="D98" s="11">
        <f>IF($Y98="","",INDEX('Per Line'!$F$2:$F$1001,$Y98))</f>
        <v/>
      </c>
      <c r="E98">
        <f>IF($Y98="","",INDEX('Per Line'!$G$2:$G$1001,$Y98)&amp;"")</f>
        <v/>
      </c>
      <c r="F98">
        <f>IF($Y98="","",INDEX('Per Line'!$I$2:$I$1001,$Y98)&amp;"")</f>
        <v/>
      </c>
      <c r="G98">
        <f>IF($Y98="","",INDEX('Per Line'!$J$2:$J$1001,$Y98)&amp;"")</f>
        <v/>
      </c>
      <c r="H98">
        <f>IF($Y98="","",INDEX('Per Line'!$K$2:$K$1001,$Y98)&amp;"")</f>
        <v/>
      </c>
      <c r="I98">
        <f>IF($Y98="","",INDEX('Per Line'!$O$2:$O$1001,$Y98))</f>
        <v/>
      </c>
      <c r="J98" s="7">
        <f>IF($Y98="","",IF(AND(ISNUMBER(L98),L98&gt;0,W98&gt;L98),I98*L98/100+(W98-L98),I98*W98/100))</f>
        <v/>
      </c>
      <c r="K98">
        <f>IF($Y98="","",INDEX('Per Line'!$Y$2:$Y$1001,$Y98)&amp;"")</f>
        <v/>
      </c>
      <c r="L98">
        <f>IF($Y98="","",INDEX('Per Line'!$AF$2:$AF$1001,$Y98))</f>
        <v/>
      </c>
      <c r="M98">
        <f>IF($Y98="","",IF(AND(ISNUMBER(L98),L98&gt;0),W98&gt;L98,FALSE))</f>
        <v/>
      </c>
      <c r="N98" s="7">
        <f>IF($Y98="","",SUMIFS('Per Line'!$X$2:$X$1001,'Per Line'!$D$2:$D$1001,$B98,'Per Line'!$AP$2:$AP$1001,1))</f>
        <v/>
      </c>
      <c r="O98">
        <f>IF($Y98="","",Settings!$C$7)</f>
        <v/>
      </c>
      <c r="P98" s="7">
        <f>IF($Y98="","",SUMIFS('Per Line'!$X$2:$X$1001,'Per Line'!$D$2:$D$1001,$B98,'Per Line'!$AO$2:$AO$1001,0,'Per Line'!$AP$2:$AP$1001,0))</f>
        <v/>
      </c>
      <c r="Q98" s="7">
        <f>IF($Y98="","",P98*O98)</f>
        <v/>
      </c>
      <c r="R98">
        <f>IF($Y98="","",Settings!$C$6)</f>
        <v/>
      </c>
      <c r="S98" s="7">
        <f>IF($Y98="","",SUMIFS('Per Line'!$X$2:$X$1001,'Per Line'!$D$2:$D$1001,$B98,'Per Line'!$AO$2:$AO$1001,1,'Per Line'!$AP$2:$AP$1001,0))</f>
        <v/>
      </c>
      <c r="T98" s="7">
        <f>IF($Y98="","",S98*R98)</f>
        <v/>
      </c>
      <c r="U98" s="7">
        <f>IF($Y98="","",T98+Q98)</f>
        <v/>
      </c>
      <c r="V98" s="7">
        <f>IF($Y98="","",W98-U98)</f>
        <v/>
      </c>
      <c r="W98" s="7">
        <f>IF($Y98="","",P98+S98+N98)</f>
        <v/>
      </c>
      <c r="X98" s="7">
        <f>IF($Y98="","",W98-U98-J98)</f>
        <v/>
      </c>
      <c r="Y98" s="13">
        <f>IF(ROWS($Y$2:$Y98)&lt;=MAX('Per Line'!$AN$2:$AN$1001),MATCH(ROWS($Y$2:$Y98),'Per Line'!$AN$2:$AN$1001,0),"")</f>
        <v/>
      </c>
      <c r="Z98" s="14">
        <f>IF($Y98="","",J98-I98*W98/100)</f>
        <v/>
      </c>
    </row>
    <row r="99">
      <c r="A99" s="12" t="n"/>
      <c r="B99">
        <f>IF($Y99="","",INDEX('Per Line'!$D$2:$D$1001,$Y99)&amp;"")</f>
        <v/>
      </c>
      <c r="C99">
        <f>IF($Y99="","",INDEX('Per Line'!$C$2:$C$1001,$Y99)&amp;"")</f>
        <v/>
      </c>
      <c r="D99" s="11">
        <f>IF($Y99="","",INDEX('Per Line'!$F$2:$F$1001,$Y99))</f>
        <v/>
      </c>
      <c r="E99">
        <f>IF($Y99="","",INDEX('Per Line'!$G$2:$G$1001,$Y99)&amp;"")</f>
        <v/>
      </c>
      <c r="F99">
        <f>IF($Y99="","",INDEX('Per Line'!$I$2:$I$1001,$Y99)&amp;"")</f>
        <v/>
      </c>
      <c r="G99">
        <f>IF($Y99="","",INDEX('Per Line'!$J$2:$J$1001,$Y99)&amp;"")</f>
        <v/>
      </c>
      <c r="H99">
        <f>IF($Y99="","",INDEX('Per Line'!$K$2:$K$1001,$Y99)&amp;"")</f>
        <v/>
      </c>
      <c r="I99">
        <f>IF($Y99="","",INDEX('Per Line'!$O$2:$O$1001,$Y99))</f>
        <v/>
      </c>
      <c r="J99" s="7">
        <f>IF($Y99="","",IF(AND(ISNUMBER(L99),L99&gt;0,W99&gt;L99),I99*L99/100+(W99-L99),I99*W99/100))</f>
        <v/>
      </c>
      <c r="K99">
        <f>IF($Y99="","",INDEX('Per Line'!$Y$2:$Y$1001,$Y99)&amp;"")</f>
        <v/>
      </c>
      <c r="L99">
        <f>IF($Y99="","",INDEX('Per Line'!$AF$2:$AF$1001,$Y99))</f>
        <v/>
      </c>
      <c r="M99">
        <f>IF($Y99="","",IF(AND(ISNUMBER(L99),L99&gt;0),W99&gt;L99,FALSE))</f>
        <v/>
      </c>
      <c r="N99" s="7">
        <f>IF($Y99="","",SUMIFS('Per Line'!$X$2:$X$1001,'Per Line'!$D$2:$D$1001,$B99,'Per Line'!$AP$2:$AP$1001,1))</f>
        <v/>
      </c>
      <c r="O99">
        <f>IF($Y99="","",Settings!$C$7)</f>
        <v/>
      </c>
      <c r="P99" s="7">
        <f>IF($Y99="","",SUMIFS('Per Line'!$X$2:$X$1001,'Per Line'!$D$2:$D$1001,$B99,'Per Line'!$AO$2:$AO$1001,0,'Per Line'!$AP$2:$AP$1001,0))</f>
        <v/>
      </c>
      <c r="Q99" s="7">
        <f>IF($Y99="","",P99*O99)</f>
        <v/>
      </c>
      <c r="R99">
        <f>IF($Y99="","",Settings!$C$6)</f>
        <v/>
      </c>
      <c r="S99" s="7">
        <f>IF($Y99="","",SUMIFS('Per Line'!$X$2:$X$1001,'Per Line'!$D$2:$D$1001,$B99,'Per Line'!$AO$2:$AO$1001,1,'Per Line'!$AP$2:$AP$1001,0))</f>
        <v/>
      </c>
      <c r="T99" s="7">
        <f>IF($Y99="","",S99*R99)</f>
        <v/>
      </c>
      <c r="U99" s="7">
        <f>IF($Y99="","",T99+Q99)</f>
        <v/>
      </c>
      <c r="V99" s="7">
        <f>IF($Y99="","",W99-U99)</f>
        <v/>
      </c>
      <c r="W99" s="7">
        <f>IF($Y99="","",P99+S99+N99)</f>
        <v/>
      </c>
      <c r="X99" s="7">
        <f>IF($Y99="","",W99-U99-J99)</f>
        <v/>
      </c>
      <c r="Y99" s="13">
        <f>IF(ROWS($Y$2:$Y99)&lt;=MAX('Per Line'!$AN$2:$AN$1001),MATCH(ROWS($Y$2:$Y99),'Per Line'!$AN$2:$AN$1001,0),"")</f>
        <v/>
      </c>
      <c r="Z99" s="14">
        <f>IF($Y99="","",J99-I99*W99/100)</f>
        <v/>
      </c>
    </row>
    <row r="100">
      <c r="A100" s="12" t="n"/>
      <c r="B100">
        <f>IF($Y100="","",INDEX('Per Line'!$D$2:$D$1001,$Y100)&amp;"")</f>
        <v/>
      </c>
      <c r="C100">
        <f>IF($Y100="","",INDEX('Per Line'!$C$2:$C$1001,$Y100)&amp;"")</f>
        <v/>
      </c>
      <c r="D100" s="11">
        <f>IF($Y100="","",INDEX('Per Line'!$F$2:$F$1001,$Y100))</f>
        <v/>
      </c>
      <c r="E100">
        <f>IF($Y100="","",INDEX('Per Line'!$G$2:$G$1001,$Y100)&amp;"")</f>
        <v/>
      </c>
      <c r="F100">
        <f>IF($Y100="","",INDEX('Per Line'!$I$2:$I$1001,$Y100)&amp;"")</f>
        <v/>
      </c>
      <c r="G100">
        <f>IF($Y100="","",INDEX('Per Line'!$J$2:$J$1001,$Y100)&amp;"")</f>
        <v/>
      </c>
      <c r="H100">
        <f>IF($Y100="","",INDEX('Per Line'!$K$2:$K$1001,$Y100)&amp;"")</f>
        <v/>
      </c>
      <c r="I100">
        <f>IF($Y100="","",INDEX('Per Line'!$O$2:$O$1001,$Y100))</f>
        <v/>
      </c>
      <c r="J100" s="7">
        <f>IF($Y100="","",IF(AND(ISNUMBER(L100),L100&gt;0,W100&gt;L100),I100*L100/100+(W100-L100),I100*W100/100))</f>
        <v/>
      </c>
      <c r="K100">
        <f>IF($Y100="","",INDEX('Per Line'!$Y$2:$Y$1001,$Y100)&amp;"")</f>
        <v/>
      </c>
      <c r="L100">
        <f>IF($Y100="","",INDEX('Per Line'!$AF$2:$AF$1001,$Y100))</f>
        <v/>
      </c>
      <c r="M100">
        <f>IF($Y100="","",IF(AND(ISNUMBER(L100),L100&gt;0),W100&gt;L100,FALSE))</f>
        <v/>
      </c>
      <c r="N100" s="7">
        <f>IF($Y100="","",SUMIFS('Per Line'!$X$2:$X$1001,'Per Line'!$D$2:$D$1001,$B100,'Per Line'!$AP$2:$AP$1001,1))</f>
        <v/>
      </c>
      <c r="O100">
        <f>IF($Y100="","",Settings!$C$7)</f>
        <v/>
      </c>
      <c r="P100" s="7">
        <f>IF($Y100="","",SUMIFS('Per Line'!$X$2:$X$1001,'Per Line'!$D$2:$D$1001,$B100,'Per Line'!$AO$2:$AO$1001,0,'Per Line'!$AP$2:$AP$1001,0))</f>
        <v/>
      </c>
      <c r="Q100" s="7">
        <f>IF($Y100="","",P100*O100)</f>
        <v/>
      </c>
      <c r="R100">
        <f>IF($Y100="","",Settings!$C$6)</f>
        <v/>
      </c>
      <c r="S100" s="7">
        <f>IF($Y100="","",SUMIFS('Per Line'!$X$2:$X$1001,'Per Line'!$D$2:$D$1001,$B100,'Per Line'!$AO$2:$AO$1001,1,'Per Line'!$AP$2:$AP$1001,0))</f>
        <v/>
      </c>
      <c r="T100" s="7">
        <f>IF($Y100="","",S100*R100)</f>
        <v/>
      </c>
      <c r="U100" s="7">
        <f>IF($Y100="","",T100+Q100)</f>
        <v/>
      </c>
      <c r="V100" s="7">
        <f>IF($Y100="","",W100-U100)</f>
        <v/>
      </c>
      <c r="W100" s="7">
        <f>IF($Y100="","",P100+S100+N100)</f>
        <v/>
      </c>
      <c r="X100" s="7">
        <f>IF($Y100="","",W100-U100-J100)</f>
        <v/>
      </c>
      <c r="Y100" s="13">
        <f>IF(ROWS($Y$2:$Y100)&lt;=MAX('Per Line'!$AN$2:$AN$1001),MATCH(ROWS($Y$2:$Y100),'Per Line'!$AN$2:$AN$1001,0),"")</f>
        <v/>
      </c>
      <c r="Z100" s="14">
        <f>IF($Y100="","",J100-I100*W100/100)</f>
        <v/>
      </c>
    </row>
    <row r="101">
      <c r="A101" s="12" t="n"/>
      <c r="B101">
        <f>IF($Y101="","",INDEX('Per Line'!$D$2:$D$1001,$Y101)&amp;"")</f>
        <v/>
      </c>
      <c r="C101">
        <f>IF($Y101="","",INDEX('Per Line'!$C$2:$C$1001,$Y101)&amp;"")</f>
        <v/>
      </c>
      <c r="D101" s="11">
        <f>IF($Y101="","",INDEX('Per Line'!$F$2:$F$1001,$Y101))</f>
        <v/>
      </c>
      <c r="E101">
        <f>IF($Y101="","",INDEX('Per Line'!$G$2:$G$1001,$Y101)&amp;"")</f>
        <v/>
      </c>
      <c r="F101">
        <f>IF($Y101="","",INDEX('Per Line'!$I$2:$I$1001,$Y101)&amp;"")</f>
        <v/>
      </c>
      <c r="G101">
        <f>IF($Y101="","",INDEX('Per Line'!$J$2:$J$1001,$Y101)&amp;"")</f>
        <v/>
      </c>
      <c r="H101">
        <f>IF($Y101="","",INDEX('Per Line'!$K$2:$K$1001,$Y101)&amp;"")</f>
        <v/>
      </c>
      <c r="I101">
        <f>IF($Y101="","",INDEX('Per Line'!$O$2:$O$1001,$Y101))</f>
        <v/>
      </c>
      <c r="J101" s="7">
        <f>IF($Y101="","",IF(AND(ISNUMBER(L101),L101&gt;0,W101&gt;L101),I101*L101/100+(W101-L101),I101*W101/100))</f>
        <v/>
      </c>
      <c r="K101">
        <f>IF($Y101="","",INDEX('Per Line'!$Y$2:$Y$1001,$Y101)&amp;"")</f>
        <v/>
      </c>
      <c r="L101">
        <f>IF($Y101="","",INDEX('Per Line'!$AF$2:$AF$1001,$Y101))</f>
        <v/>
      </c>
      <c r="M101">
        <f>IF($Y101="","",IF(AND(ISNUMBER(L101),L101&gt;0),W101&gt;L101,FALSE))</f>
        <v/>
      </c>
      <c r="N101" s="7">
        <f>IF($Y101="","",SUMIFS('Per Line'!$X$2:$X$1001,'Per Line'!$D$2:$D$1001,$B101,'Per Line'!$AP$2:$AP$1001,1))</f>
        <v/>
      </c>
      <c r="O101">
        <f>IF($Y101="","",Settings!$C$7)</f>
        <v/>
      </c>
      <c r="P101" s="7">
        <f>IF($Y101="","",SUMIFS('Per Line'!$X$2:$X$1001,'Per Line'!$D$2:$D$1001,$B101,'Per Line'!$AO$2:$AO$1001,0,'Per Line'!$AP$2:$AP$1001,0))</f>
        <v/>
      </c>
      <c r="Q101" s="7">
        <f>IF($Y101="","",P101*O101)</f>
        <v/>
      </c>
      <c r="R101">
        <f>IF($Y101="","",Settings!$C$6)</f>
        <v/>
      </c>
      <c r="S101" s="7">
        <f>IF($Y101="","",SUMIFS('Per Line'!$X$2:$X$1001,'Per Line'!$D$2:$D$1001,$B101,'Per Line'!$AO$2:$AO$1001,1,'Per Line'!$AP$2:$AP$1001,0))</f>
        <v/>
      </c>
      <c r="T101" s="7">
        <f>IF($Y101="","",S101*R101)</f>
        <v/>
      </c>
      <c r="U101" s="7">
        <f>IF($Y101="","",T101+Q101)</f>
        <v/>
      </c>
      <c r="V101" s="7">
        <f>IF($Y101="","",W101-U101)</f>
        <v/>
      </c>
      <c r="W101" s="7">
        <f>IF($Y101="","",P101+S101+N101)</f>
        <v/>
      </c>
      <c r="X101" s="7">
        <f>IF($Y101="","",W101-U101-J101)</f>
        <v/>
      </c>
      <c r="Y101" s="13">
        <f>IF(ROWS($Y$2:$Y101)&lt;=MAX('Per Line'!$AN$2:$AN$1001),MATCH(ROWS($Y$2:$Y101),'Per Line'!$AN$2:$AN$1001,0),"")</f>
        <v/>
      </c>
      <c r="Z101" s="14">
        <f>IF($Y101="","",J101-I101*W101/100)</f>
        <v/>
      </c>
    </row>
    <row r="102">
      <c r="A102" s="12" t="n"/>
      <c r="B102">
        <f>IF($Y102="","",INDEX('Per Line'!$D$2:$D$1001,$Y102)&amp;"")</f>
        <v/>
      </c>
      <c r="C102">
        <f>IF($Y102="","",INDEX('Per Line'!$C$2:$C$1001,$Y102)&amp;"")</f>
        <v/>
      </c>
      <c r="D102" s="11">
        <f>IF($Y102="","",INDEX('Per Line'!$F$2:$F$1001,$Y102))</f>
        <v/>
      </c>
      <c r="E102">
        <f>IF($Y102="","",INDEX('Per Line'!$G$2:$G$1001,$Y102)&amp;"")</f>
        <v/>
      </c>
      <c r="F102">
        <f>IF($Y102="","",INDEX('Per Line'!$I$2:$I$1001,$Y102)&amp;"")</f>
        <v/>
      </c>
      <c r="G102">
        <f>IF($Y102="","",INDEX('Per Line'!$J$2:$J$1001,$Y102)&amp;"")</f>
        <v/>
      </c>
      <c r="H102">
        <f>IF($Y102="","",INDEX('Per Line'!$K$2:$K$1001,$Y102)&amp;"")</f>
        <v/>
      </c>
      <c r="I102">
        <f>IF($Y102="","",INDEX('Per Line'!$O$2:$O$1001,$Y102))</f>
        <v/>
      </c>
      <c r="J102" s="7">
        <f>IF($Y102="","",IF(AND(ISNUMBER(L102),L102&gt;0,W102&gt;L102),I102*L102/100+(W102-L102),I102*W102/100))</f>
        <v/>
      </c>
      <c r="K102">
        <f>IF($Y102="","",INDEX('Per Line'!$Y$2:$Y$1001,$Y102)&amp;"")</f>
        <v/>
      </c>
      <c r="L102">
        <f>IF($Y102="","",INDEX('Per Line'!$AF$2:$AF$1001,$Y102))</f>
        <v/>
      </c>
      <c r="M102">
        <f>IF($Y102="","",IF(AND(ISNUMBER(L102),L102&gt;0),W102&gt;L102,FALSE))</f>
        <v/>
      </c>
      <c r="N102" s="7">
        <f>IF($Y102="","",SUMIFS('Per Line'!$X$2:$X$1001,'Per Line'!$D$2:$D$1001,$B102,'Per Line'!$AP$2:$AP$1001,1))</f>
        <v/>
      </c>
      <c r="O102">
        <f>IF($Y102="","",Settings!$C$7)</f>
        <v/>
      </c>
      <c r="P102" s="7">
        <f>IF($Y102="","",SUMIFS('Per Line'!$X$2:$X$1001,'Per Line'!$D$2:$D$1001,$B102,'Per Line'!$AO$2:$AO$1001,0,'Per Line'!$AP$2:$AP$1001,0))</f>
        <v/>
      </c>
      <c r="Q102" s="7">
        <f>IF($Y102="","",P102*O102)</f>
        <v/>
      </c>
      <c r="R102">
        <f>IF($Y102="","",Settings!$C$6)</f>
        <v/>
      </c>
      <c r="S102" s="7">
        <f>IF($Y102="","",SUMIFS('Per Line'!$X$2:$X$1001,'Per Line'!$D$2:$D$1001,$B102,'Per Line'!$AO$2:$AO$1001,1,'Per Line'!$AP$2:$AP$1001,0))</f>
        <v/>
      </c>
      <c r="T102" s="7">
        <f>IF($Y102="","",S102*R102)</f>
        <v/>
      </c>
      <c r="U102" s="7">
        <f>IF($Y102="","",T102+Q102)</f>
        <v/>
      </c>
      <c r="V102" s="7">
        <f>IF($Y102="","",W102-U102)</f>
        <v/>
      </c>
      <c r="W102" s="7">
        <f>IF($Y102="","",P102+S102+N102)</f>
        <v/>
      </c>
      <c r="X102" s="7">
        <f>IF($Y102="","",W102-U102-J102)</f>
        <v/>
      </c>
      <c r="Y102" s="13">
        <f>IF(ROWS($Y$2:$Y102)&lt;=MAX('Per Line'!$AN$2:$AN$1001),MATCH(ROWS($Y$2:$Y102),'Per Line'!$AN$2:$AN$1001,0),"")</f>
        <v/>
      </c>
      <c r="Z102" s="14">
        <f>IF($Y102="","",J102-I102*W102/100)</f>
        <v/>
      </c>
    </row>
    <row r="103">
      <c r="A103" s="12" t="n"/>
      <c r="B103">
        <f>IF($Y103="","",INDEX('Per Line'!$D$2:$D$1001,$Y103)&amp;"")</f>
        <v/>
      </c>
      <c r="C103">
        <f>IF($Y103="","",INDEX('Per Line'!$C$2:$C$1001,$Y103)&amp;"")</f>
        <v/>
      </c>
      <c r="D103" s="11">
        <f>IF($Y103="","",INDEX('Per Line'!$F$2:$F$1001,$Y103))</f>
        <v/>
      </c>
      <c r="E103">
        <f>IF($Y103="","",INDEX('Per Line'!$G$2:$G$1001,$Y103)&amp;"")</f>
        <v/>
      </c>
      <c r="F103">
        <f>IF($Y103="","",INDEX('Per Line'!$I$2:$I$1001,$Y103)&amp;"")</f>
        <v/>
      </c>
      <c r="G103">
        <f>IF($Y103="","",INDEX('Per Line'!$J$2:$J$1001,$Y103)&amp;"")</f>
        <v/>
      </c>
      <c r="H103">
        <f>IF($Y103="","",INDEX('Per Line'!$K$2:$K$1001,$Y103)&amp;"")</f>
        <v/>
      </c>
      <c r="I103">
        <f>IF($Y103="","",INDEX('Per Line'!$O$2:$O$1001,$Y103))</f>
        <v/>
      </c>
      <c r="J103" s="7">
        <f>IF($Y103="","",IF(AND(ISNUMBER(L103),L103&gt;0,W103&gt;L103),I103*L103/100+(W103-L103),I103*W103/100))</f>
        <v/>
      </c>
      <c r="K103">
        <f>IF($Y103="","",INDEX('Per Line'!$Y$2:$Y$1001,$Y103)&amp;"")</f>
        <v/>
      </c>
      <c r="L103">
        <f>IF($Y103="","",INDEX('Per Line'!$AF$2:$AF$1001,$Y103))</f>
        <v/>
      </c>
      <c r="M103">
        <f>IF($Y103="","",IF(AND(ISNUMBER(L103),L103&gt;0),W103&gt;L103,FALSE))</f>
        <v/>
      </c>
      <c r="N103" s="7">
        <f>IF($Y103="","",SUMIFS('Per Line'!$X$2:$X$1001,'Per Line'!$D$2:$D$1001,$B103,'Per Line'!$AP$2:$AP$1001,1))</f>
        <v/>
      </c>
      <c r="O103">
        <f>IF($Y103="","",Settings!$C$7)</f>
        <v/>
      </c>
      <c r="P103" s="7">
        <f>IF($Y103="","",SUMIFS('Per Line'!$X$2:$X$1001,'Per Line'!$D$2:$D$1001,$B103,'Per Line'!$AO$2:$AO$1001,0,'Per Line'!$AP$2:$AP$1001,0))</f>
        <v/>
      </c>
      <c r="Q103" s="7">
        <f>IF($Y103="","",P103*O103)</f>
        <v/>
      </c>
      <c r="R103">
        <f>IF($Y103="","",Settings!$C$6)</f>
        <v/>
      </c>
      <c r="S103" s="7">
        <f>IF($Y103="","",SUMIFS('Per Line'!$X$2:$X$1001,'Per Line'!$D$2:$D$1001,$B103,'Per Line'!$AO$2:$AO$1001,1,'Per Line'!$AP$2:$AP$1001,0))</f>
        <v/>
      </c>
      <c r="T103" s="7">
        <f>IF($Y103="","",S103*R103)</f>
        <v/>
      </c>
      <c r="U103" s="7">
        <f>IF($Y103="","",T103+Q103)</f>
        <v/>
      </c>
      <c r="V103" s="7">
        <f>IF($Y103="","",W103-U103)</f>
        <v/>
      </c>
      <c r="W103" s="7">
        <f>IF($Y103="","",P103+S103+N103)</f>
        <v/>
      </c>
      <c r="X103" s="7">
        <f>IF($Y103="","",W103-U103-J103)</f>
        <v/>
      </c>
      <c r="Y103" s="13">
        <f>IF(ROWS($Y$2:$Y103)&lt;=MAX('Per Line'!$AN$2:$AN$1001),MATCH(ROWS($Y$2:$Y103),'Per Line'!$AN$2:$AN$1001,0),"")</f>
        <v/>
      </c>
      <c r="Z103" s="14">
        <f>IF($Y103="","",J103-I103*W103/100)</f>
        <v/>
      </c>
    </row>
    <row r="104">
      <c r="A104" s="12" t="n"/>
      <c r="B104">
        <f>IF($Y104="","",INDEX('Per Line'!$D$2:$D$1001,$Y104)&amp;"")</f>
        <v/>
      </c>
      <c r="C104">
        <f>IF($Y104="","",INDEX('Per Line'!$C$2:$C$1001,$Y104)&amp;"")</f>
        <v/>
      </c>
      <c r="D104" s="11">
        <f>IF($Y104="","",INDEX('Per Line'!$F$2:$F$1001,$Y104))</f>
        <v/>
      </c>
      <c r="E104">
        <f>IF($Y104="","",INDEX('Per Line'!$G$2:$G$1001,$Y104)&amp;"")</f>
        <v/>
      </c>
      <c r="F104">
        <f>IF($Y104="","",INDEX('Per Line'!$I$2:$I$1001,$Y104)&amp;"")</f>
        <v/>
      </c>
      <c r="G104">
        <f>IF($Y104="","",INDEX('Per Line'!$J$2:$J$1001,$Y104)&amp;"")</f>
        <v/>
      </c>
      <c r="H104">
        <f>IF($Y104="","",INDEX('Per Line'!$K$2:$K$1001,$Y104)&amp;"")</f>
        <v/>
      </c>
      <c r="I104">
        <f>IF($Y104="","",INDEX('Per Line'!$O$2:$O$1001,$Y104))</f>
        <v/>
      </c>
      <c r="J104" s="7">
        <f>IF($Y104="","",IF(AND(ISNUMBER(L104),L104&gt;0,W104&gt;L104),I104*L104/100+(W104-L104),I104*W104/100))</f>
        <v/>
      </c>
      <c r="K104">
        <f>IF($Y104="","",INDEX('Per Line'!$Y$2:$Y$1001,$Y104)&amp;"")</f>
        <v/>
      </c>
      <c r="L104">
        <f>IF($Y104="","",INDEX('Per Line'!$AF$2:$AF$1001,$Y104))</f>
        <v/>
      </c>
      <c r="M104">
        <f>IF($Y104="","",IF(AND(ISNUMBER(L104),L104&gt;0),W104&gt;L104,FALSE))</f>
        <v/>
      </c>
      <c r="N104" s="7">
        <f>IF($Y104="","",SUMIFS('Per Line'!$X$2:$X$1001,'Per Line'!$D$2:$D$1001,$B104,'Per Line'!$AP$2:$AP$1001,1))</f>
        <v/>
      </c>
      <c r="O104">
        <f>IF($Y104="","",Settings!$C$7)</f>
        <v/>
      </c>
      <c r="P104" s="7">
        <f>IF($Y104="","",SUMIFS('Per Line'!$X$2:$X$1001,'Per Line'!$D$2:$D$1001,$B104,'Per Line'!$AO$2:$AO$1001,0,'Per Line'!$AP$2:$AP$1001,0))</f>
        <v/>
      </c>
      <c r="Q104" s="7">
        <f>IF($Y104="","",P104*O104)</f>
        <v/>
      </c>
      <c r="R104">
        <f>IF($Y104="","",Settings!$C$6)</f>
        <v/>
      </c>
      <c r="S104" s="7">
        <f>IF($Y104="","",SUMIFS('Per Line'!$X$2:$X$1001,'Per Line'!$D$2:$D$1001,$B104,'Per Line'!$AO$2:$AO$1001,1,'Per Line'!$AP$2:$AP$1001,0))</f>
        <v/>
      </c>
      <c r="T104" s="7">
        <f>IF($Y104="","",S104*R104)</f>
        <v/>
      </c>
      <c r="U104" s="7">
        <f>IF($Y104="","",T104+Q104)</f>
        <v/>
      </c>
      <c r="V104" s="7">
        <f>IF($Y104="","",W104-U104)</f>
        <v/>
      </c>
      <c r="W104" s="7">
        <f>IF($Y104="","",P104+S104+N104)</f>
        <v/>
      </c>
      <c r="X104" s="7">
        <f>IF($Y104="","",W104-U104-J104)</f>
        <v/>
      </c>
      <c r="Y104" s="13">
        <f>IF(ROWS($Y$2:$Y104)&lt;=MAX('Per Line'!$AN$2:$AN$1001),MATCH(ROWS($Y$2:$Y104),'Per Line'!$AN$2:$AN$1001,0),"")</f>
        <v/>
      </c>
      <c r="Z104" s="14">
        <f>IF($Y104="","",J104-I104*W104/100)</f>
        <v/>
      </c>
    </row>
    <row r="105">
      <c r="A105" s="12" t="n"/>
      <c r="B105">
        <f>IF($Y105="","",INDEX('Per Line'!$D$2:$D$1001,$Y105)&amp;"")</f>
        <v/>
      </c>
      <c r="C105">
        <f>IF($Y105="","",INDEX('Per Line'!$C$2:$C$1001,$Y105)&amp;"")</f>
        <v/>
      </c>
      <c r="D105" s="11">
        <f>IF($Y105="","",INDEX('Per Line'!$F$2:$F$1001,$Y105))</f>
        <v/>
      </c>
      <c r="E105">
        <f>IF($Y105="","",INDEX('Per Line'!$G$2:$G$1001,$Y105)&amp;"")</f>
        <v/>
      </c>
      <c r="F105">
        <f>IF($Y105="","",INDEX('Per Line'!$I$2:$I$1001,$Y105)&amp;"")</f>
        <v/>
      </c>
      <c r="G105">
        <f>IF($Y105="","",INDEX('Per Line'!$J$2:$J$1001,$Y105)&amp;"")</f>
        <v/>
      </c>
      <c r="H105">
        <f>IF($Y105="","",INDEX('Per Line'!$K$2:$K$1001,$Y105)&amp;"")</f>
        <v/>
      </c>
      <c r="I105">
        <f>IF($Y105="","",INDEX('Per Line'!$O$2:$O$1001,$Y105))</f>
        <v/>
      </c>
      <c r="J105" s="7">
        <f>IF($Y105="","",IF(AND(ISNUMBER(L105),L105&gt;0,W105&gt;L105),I105*L105/100+(W105-L105),I105*W105/100))</f>
        <v/>
      </c>
      <c r="K105">
        <f>IF($Y105="","",INDEX('Per Line'!$Y$2:$Y$1001,$Y105)&amp;"")</f>
        <v/>
      </c>
      <c r="L105">
        <f>IF($Y105="","",INDEX('Per Line'!$AF$2:$AF$1001,$Y105))</f>
        <v/>
      </c>
      <c r="M105">
        <f>IF($Y105="","",IF(AND(ISNUMBER(L105),L105&gt;0),W105&gt;L105,FALSE))</f>
        <v/>
      </c>
      <c r="N105" s="7">
        <f>IF($Y105="","",SUMIFS('Per Line'!$X$2:$X$1001,'Per Line'!$D$2:$D$1001,$B105,'Per Line'!$AP$2:$AP$1001,1))</f>
        <v/>
      </c>
      <c r="O105">
        <f>IF($Y105="","",Settings!$C$7)</f>
        <v/>
      </c>
      <c r="P105" s="7">
        <f>IF($Y105="","",SUMIFS('Per Line'!$X$2:$X$1001,'Per Line'!$D$2:$D$1001,$B105,'Per Line'!$AO$2:$AO$1001,0,'Per Line'!$AP$2:$AP$1001,0))</f>
        <v/>
      </c>
      <c r="Q105" s="7">
        <f>IF($Y105="","",P105*O105)</f>
        <v/>
      </c>
      <c r="R105">
        <f>IF($Y105="","",Settings!$C$6)</f>
        <v/>
      </c>
      <c r="S105" s="7">
        <f>IF($Y105="","",SUMIFS('Per Line'!$X$2:$X$1001,'Per Line'!$D$2:$D$1001,$B105,'Per Line'!$AO$2:$AO$1001,1,'Per Line'!$AP$2:$AP$1001,0))</f>
        <v/>
      </c>
      <c r="T105" s="7">
        <f>IF($Y105="","",S105*R105)</f>
        <v/>
      </c>
      <c r="U105" s="7">
        <f>IF($Y105="","",T105+Q105)</f>
        <v/>
      </c>
      <c r="V105" s="7">
        <f>IF($Y105="","",W105-U105)</f>
        <v/>
      </c>
      <c r="W105" s="7">
        <f>IF($Y105="","",P105+S105+N105)</f>
        <v/>
      </c>
      <c r="X105" s="7">
        <f>IF($Y105="","",W105-U105-J105)</f>
        <v/>
      </c>
      <c r="Y105" s="13">
        <f>IF(ROWS($Y$2:$Y105)&lt;=MAX('Per Line'!$AN$2:$AN$1001),MATCH(ROWS($Y$2:$Y105),'Per Line'!$AN$2:$AN$1001,0),"")</f>
        <v/>
      </c>
      <c r="Z105" s="14">
        <f>IF($Y105="","",J105-I105*W105/100)</f>
        <v/>
      </c>
    </row>
    <row r="106">
      <c r="A106" s="12" t="n"/>
      <c r="B106">
        <f>IF($Y106="","",INDEX('Per Line'!$D$2:$D$1001,$Y106)&amp;"")</f>
        <v/>
      </c>
      <c r="C106">
        <f>IF($Y106="","",INDEX('Per Line'!$C$2:$C$1001,$Y106)&amp;"")</f>
        <v/>
      </c>
      <c r="D106" s="11">
        <f>IF($Y106="","",INDEX('Per Line'!$F$2:$F$1001,$Y106))</f>
        <v/>
      </c>
      <c r="E106">
        <f>IF($Y106="","",INDEX('Per Line'!$G$2:$G$1001,$Y106)&amp;"")</f>
        <v/>
      </c>
      <c r="F106">
        <f>IF($Y106="","",INDEX('Per Line'!$I$2:$I$1001,$Y106)&amp;"")</f>
        <v/>
      </c>
      <c r="G106">
        <f>IF($Y106="","",INDEX('Per Line'!$J$2:$J$1001,$Y106)&amp;"")</f>
        <v/>
      </c>
      <c r="H106">
        <f>IF($Y106="","",INDEX('Per Line'!$K$2:$K$1001,$Y106)&amp;"")</f>
        <v/>
      </c>
      <c r="I106">
        <f>IF($Y106="","",INDEX('Per Line'!$O$2:$O$1001,$Y106))</f>
        <v/>
      </c>
      <c r="J106" s="7">
        <f>IF($Y106="","",IF(AND(ISNUMBER(L106),L106&gt;0,W106&gt;L106),I106*L106/100+(W106-L106),I106*W106/100))</f>
        <v/>
      </c>
      <c r="K106">
        <f>IF($Y106="","",INDEX('Per Line'!$Y$2:$Y$1001,$Y106)&amp;"")</f>
        <v/>
      </c>
      <c r="L106">
        <f>IF($Y106="","",INDEX('Per Line'!$AF$2:$AF$1001,$Y106))</f>
        <v/>
      </c>
      <c r="M106">
        <f>IF($Y106="","",IF(AND(ISNUMBER(L106),L106&gt;0),W106&gt;L106,FALSE))</f>
        <v/>
      </c>
      <c r="N106" s="7">
        <f>IF($Y106="","",SUMIFS('Per Line'!$X$2:$X$1001,'Per Line'!$D$2:$D$1001,$B106,'Per Line'!$AP$2:$AP$1001,1))</f>
        <v/>
      </c>
      <c r="O106">
        <f>IF($Y106="","",Settings!$C$7)</f>
        <v/>
      </c>
      <c r="P106" s="7">
        <f>IF($Y106="","",SUMIFS('Per Line'!$X$2:$X$1001,'Per Line'!$D$2:$D$1001,$B106,'Per Line'!$AO$2:$AO$1001,0,'Per Line'!$AP$2:$AP$1001,0))</f>
        <v/>
      </c>
      <c r="Q106" s="7">
        <f>IF($Y106="","",P106*O106)</f>
        <v/>
      </c>
      <c r="R106">
        <f>IF($Y106="","",Settings!$C$6)</f>
        <v/>
      </c>
      <c r="S106" s="7">
        <f>IF($Y106="","",SUMIFS('Per Line'!$X$2:$X$1001,'Per Line'!$D$2:$D$1001,$B106,'Per Line'!$AO$2:$AO$1001,1,'Per Line'!$AP$2:$AP$1001,0))</f>
        <v/>
      </c>
      <c r="T106" s="7">
        <f>IF($Y106="","",S106*R106)</f>
        <v/>
      </c>
      <c r="U106" s="7">
        <f>IF($Y106="","",T106+Q106)</f>
        <v/>
      </c>
      <c r="V106" s="7">
        <f>IF($Y106="","",W106-U106)</f>
        <v/>
      </c>
      <c r="W106" s="7">
        <f>IF($Y106="","",P106+S106+N106)</f>
        <v/>
      </c>
      <c r="X106" s="7">
        <f>IF($Y106="","",W106-U106-J106)</f>
        <v/>
      </c>
      <c r="Y106" s="13">
        <f>IF(ROWS($Y$2:$Y106)&lt;=MAX('Per Line'!$AN$2:$AN$1001),MATCH(ROWS($Y$2:$Y106),'Per Line'!$AN$2:$AN$1001,0),"")</f>
        <v/>
      </c>
      <c r="Z106" s="14">
        <f>IF($Y106="","",J106-I106*W106/100)</f>
        <v/>
      </c>
    </row>
    <row r="107">
      <c r="A107" s="12" t="n"/>
      <c r="B107">
        <f>IF($Y107="","",INDEX('Per Line'!$D$2:$D$1001,$Y107)&amp;"")</f>
        <v/>
      </c>
      <c r="C107">
        <f>IF($Y107="","",INDEX('Per Line'!$C$2:$C$1001,$Y107)&amp;"")</f>
        <v/>
      </c>
      <c r="D107" s="11">
        <f>IF($Y107="","",INDEX('Per Line'!$F$2:$F$1001,$Y107))</f>
        <v/>
      </c>
      <c r="E107">
        <f>IF($Y107="","",INDEX('Per Line'!$G$2:$G$1001,$Y107)&amp;"")</f>
        <v/>
      </c>
      <c r="F107">
        <f>IF($Y107="","",INDEX('Per Line'!$I$2:$I$1001,$Y107)&amp;"")</f>
        <v/>
      </c>
      <c r="G107">
        <f>IF($Y107="","",INDEX('Per Line'!$J$2:$J$1001,$Y107)&amp;"")</f>
        <v/>
      </c>
      <c r="H107">
        <f>IF($Y107="","",INDEX('Per Line'!$K$2:$K$1001,$Y107)&amp;"")</f>
        <v/>
      </c>
      <c r="I107">
        <f>IF($Y107="","",INDEX('Per Line'!$O$2:$O$1001,$Y107))</f>
        <v/>
      </c>
      <c r="J107" s="7">
        <f>IF($Y107="","",IF(AND(ISNUMBER(L107),L107&gt;0,W107&gt;L107),I107*L107/100+(W107-L107),I107*W107/100))</f>
        <v/>
      </c>
      <c r="K107">
        <f>IF($Y107="","",INDEX('Per Line'!$Y$2:$Y$1001,$Y107)&amp;"")</f>
        <v/>
      </c>
      <c r="L107">
        <f>IF($Y107="","",INDEX('Per Line'!$AF$2:$AF$1001,$Y107))</f>
        <v/>
      </c>
      <c r="M107">
        <f>IF($Y107="","",IF(AND(ISNUMBER(L107),L107&gt;0),W107&gt;L107,FALSE))</f>
        <v/>
      </c>
      <c r="N107" s="7">
        <f>IF($Y107="","",SUMIFS('Per Line'!$X$2:$X$1001,'Per Line'!$D$2:$D$1001,$B107,'Per Line'!$AP$2:$AP$1001,1))</f>
        <v/>
      </c>
      <c r="O107">
        <f>IF($Y107="","",Settings!$C$7)</f>
        <v/>
      </c>
      <c r="P107" s="7">
        <f>IF($Y107="","",SUMIFS('Per Line'!$X$2:$X$1001,'Per Line'!$D$2:$D$1001,$B107,'Per Line'!$AO$2:$AO$1001,0,'Per Line'!$AP$2:$AP$1001,0))</f>
        <v/>
      </c>
      <c r="Q107" s="7">
        <f>IF($Y107="","",P107*O107)</f>
        <v/>
      </c>
      <c r="R107">
        <f>IF($Y107="","",Settings!$C$6)</f>
        <v/>
      </c>
      <c r="S107" s="7">
        <f>IF($Y107="","",SUMIFS('Per Line'!$X$2:$X$1001,'Per Line'!$D$2:$D$1001,$B107,'Per Line'!$AO$2:$AO$1001,1,'Per Line'!$AP$2:$AP$1001,0))</f>
        <v/>
      </c>
      <c r="T107" s="7">
        <f>IF($Y107="","",S107*R107)</f>
        <v/>
      </c>
      <c r="U107" s="7">
        <f>IF($Y107="","",T107+Q107)</f>
        <v/>
      </c>
      <c r="V107" s="7">
        <f>IF($Y107="","",W107-U107)</f>
        <v/>
      </c>
      <c r="W107" s="7">
        <f>IF($Y107="","",P107+S107+N107)</f>
        <v/>
      </c>
      <c r="X107" s="7">
        <f>IF($Y107="","",W107-U107-J107)</f>
        <v/>
      </c>
      <c r="Y107" s="13">
        <f>IF(ROWS($Y$2:$Y107)&lt;=MAX('Per Line'!$AN$2:$AN$1001),MATCH(ROWS($Y$2:$Y107),'Per Line'!$AN$2:$AN$1001,0),"")</f>
        <v/>
      </c>
      <c r="Z107" s="14">
        <f>IF($Y107="","",J107-I107*W107/100)</f>
        <v/>
      </c>
    </row>
    <row r="108">
      <c r="A108" s="12" t="n"/>
      <c r="B108">
        <f>IF($Y108="","",INDEX('Per Line'!$D$2:$D$1001,$Y108)&amp;"")</f>
        <v/>
      </c>
      <c r="C108">
        <f>IF($Y108="","",INDEX('Per Line'!$C$2:$C$1001,$Y108)&amp;"")</f>
        <v/>
      </c>
      <c r="D108" s="11">
        <f>IF($Y108="","",INDEX('Per Line'!$F$2:$F$1001,$Y108))</f>
        <v/>
      </c>
      <c r="E108">
        <f>IF($Y108="","",INDEX('Per Line'!$G$2:$G$1001,$Y108)&amp;"")</f>
        <v/>
      </c>
      <c r="F108">
        <f>IF($Y108="","",INDEX('Per Line'!$I$2:$I$1001,$Y108)&amp;"")</f>
        <v/>
      </c>
      <c r="G108">
        <f>IF($Y108="","",INDEX('Per Line'!$J$2:$J$1001,$Y108)&amp;"")</f>
        <v/>
      </c>
      <c r="H108">
        <f>IF($Y108="","",INDEX('Per Line'!$K$2:$K$1001,$Y108)&amp;"")</f>
        <v/>
      </c>
      <c r="I108">
        <f>IF($Y108="","",INDEX('Per Line'!$O$2:$O$1001,$Y108))</f>
        <v/>
      </c>
      <c r="J108" s="7">
        <f>IF($Y108="","",IF(AND(ISNUMBER(L108),L108&gt;0,W108&gt;L108),I108*L108/100+(W108-L108),I108*W108/100))</f>
        <v/>
      </c>
      <c r="K108">
        <f>IF($Y108="","",INDEX('Per Line'!$Y$2:$Y$1001,$Y108)&amp;"")</f>
        <v/>
      </c>
      <c r="L108">
        <f>IF($Y108="","",INDEX('Per Line'!$AF$2:$AF$1001,$Y108))</f>
        <v/>
      </c>
      <c r="M108">
        <f>IF($Y108="","",IF(AND(ISNUMBER(L108),L108&gt;0),W108&gt;L108,FALSE))</f>
        <v/>
      </c>
      <c r="N108" s="7">
        <f>IF($Y108="","",SUMIFS('Per Line'!$X$2:$X$1001,'Per Line'!$D$2:$D$1001,$B108,'Per Line'!$AP$2:$AP$1001,1))</f>
        <v/>
      </c>
      <c r="O108">
        <f>IF($Y108="","",Settings!$C$7)</f>
        <v/>
      </c>
      <c r="P108" s="7">
        <f>IF($Y108="","",SUMIFS('Per Line'!$X$2:$X$1001,'Per Line'!$D$2:$D$1001,$B108,'Per Line'!$AO$2:$AO$1001,0,'Per Line'!$AP$2:$AP$1001,0))</f>
        <v/>
      </c>
      <c r="Q108" s="7">
        <f>IF($Y108="","",P108*O108)</f>
        <v/>
      </c>
      <c r="R108">
        <f>IF($Y108="","",Settings!$C$6)</f>
        <v/>
      </c>
      <c r="S108" s="7">
        <f>IF($Y108="","",SUMIFS('Per Line'!$X$2:$X$1001,'Per Line'!$D$2:$D$1001,$B108,'Per Line'!$AO$2:$AO$1001,1,'Per Line'!$AP$2:$AP$1001,0))</f>
        <v/>
      </c>
      <c r="T108" s="7">
        <f>IF($Y108="","",S108*R108)</f>
        <v/>
      </c>
      <c r="U108" s="7">
        <f>IF($Y108="","",T108+Q108)</f>
        <v/>
      </c>
      <c r="V108" s="7">
        <f>IF($Y108="","",W108-U108)</f>
        <v/>
      </c>
      <c r="W108" s="7">
        <f>IF($Y108="","",P108+S108+N108)</f>
        <v/>
      </c>
      <c r="X108" s="7">
        <f>IF($Y108="","",W108-U108-J108)</f>
        <v/>
      </c>
      <c r="Y108" s="13">
        <f>IF(ROWS($Y$2:$Y108)&lt;=MAX('Per Line'!$AN$2:$AN$1001),MATCH(ROWS($Y$2:$Y108),'Per Line'!$AN$2:$AN$1001,0),"")</f>
        <v/>
      </c>
      <c r="Z108" s="14">
        <f>IF($Y108="","",J108-I108*W108/100)</f>
        <v/>
      </c>
    </row>
    <row r="109">
      <c r="A109" s="12" t="n"/>
      <c r="B109">
        <f>IF($Y109="","",INDEX('Per Line'!$D$2:$D$1001,$Y109)&amp;"")</f>
        <v/>
      </c>
      <c r="C109">
        <f>IF($Y109="","",INDEX('Per Line'!$C$2:$C$1001,$Y109)&amp;"")</f>
        <v/>
      </c>
      <c r="D109" s="11">
        <f>IF($Y109="","",INDEX('Per Line'!$F$2:$F$1001,$Y109))</f>
        <v/>
      </c>
      <c r="E109">
        <f>IF($Y109="","",INDEX('Per Line'!$G$2:$G$1001,$Y109)&amp;"")</f>
        <v/>
      </c>
      <c r="F109">
        <f>IF($Y109="","",INDEX('Per Line'!$I$2:$I$1001,$Y109)&amp;"")</f>
        <v/>
      </c>
      <c r="G109">
        <f>IF($Y109="","",INDEX('Per Line'!$J$2:$J$1001,$Y109)&amp;"")</f>
        <v/>
      </c>
      <c r="H109">
        <f>IF($Y109="","",INDEX('Per Line'!$K$2:$K$1001,$Y109)&amp;"")</f>
        <v/>
      </c>
      <c r="I109">
        <f>IF($Y109="","",INDEX('Per Line'!$O$2:$O$1001,$Y109))</f>
        <v/>
      </c>
      <c r="J109" s="7">
        <f>IF($Y109="","",IF(AND(ISNUMBER(L109),L109&gt;0,W109&gt;L109),I109*L109/100+(W109-L109),I109*W109/100))</f>
        <v/>
      </c>
      <c r="K109">
        <f>IF($Y109="","",INDEX('Per Line'!$Y$2:$Y$1001,$Y109)&amp;"")</f>
        <v/>
      </c>
      <c r="L109">
        <f>IF($Y109="","",INDEX('Per Line'!$AF$2:$AF$1001,$Y109))</f>
        <v/>
      </c>
      <c r="M109">
        <f>IF($Y109="","",IF(AND(ISNUMBER(L109),L109&gt;0),W109&gt;L109,FALSE))</f>
        <v/>
      </c>
      <c r="N109" s="7">
        <f>IF($Y109="","",SUMIFS('Per Line'!$X$2:$X$1001,'Per Line'!$D$2:$D$1001,$B109,'Per Line'!$AP$2:$AP$1001,1))</f>
        <v/>
      </c>
      <c r="O109">
        <f>IF($Y109="","",Settings!$C$7)</f>
        <v/>
      </c>
      <c r="P109" s="7">
        <f>IF($Y109="","",SUMIFS('Per Line'!$X$2:$X$1001,'Per Line'!$D$2:$D$1001,$B109,'Per Line'!$AO$2:$AO$1001,0,'Per Line'!$AP$2:$AP$1001,0))</f>
        <v/>
      </c>
      <c r="Q109" s="7">
        <f>IF($Y109="","",P109*O109)</f>
        <v/>
      </c>
      <c r="R109">
        <f>IF($Y109="","",Settings!$C$6)</f>
        <v/>
      </c>
      <c r="S109" s="7">
        <f>IF($Y109="","",SUMIFS('Per Line'!$X$2:$X$1001,'Per Line'!$D$2:$D$1001,$B109,'Per Line'!$AO$2:$AO$1001,1,'Per Line'!$AP$2:$AP$1001,0))</f>
        <v/>
      </c>
      <c r="T109" s="7">
        <f>IF($Y109="","",S109*R109)</f>
        <v/>
      </c>
      <c r="U109" s="7">
        <f>IF($Y109="","",T109+Q109)</f>
        <v/>
      </c>
      <c r="V109" s="7">
        <f>IF($Y109="","",W109-U109)</f>
        <v/>
      </c>
      <c r="W109" s="7">
        <f>IF($Y109="","",P109+S109+N109)</f>
        <v/>
      </c>
      <c r="X109" s="7">
        <f>IF($Y109="","",W109-U109-J109)</f>
        <v/>
      </c>
      <c r="Y109" s="13">
        <f>IF(ROWS($Y$2:$Y109)&lt;=MAX('Per Line'!$AN$2:$AN$1001),MATCH(ROWS($Y$2:$Y109),'Per Line'!$AN$2:$AN$1001,0),"")</f>
        <v/>
      </c>
      <c r="Z109" s="14">
        <f>IF($Y109="","",J109-I109*W109/100)</f>
        <v/>
      </c>
    </row>
    <row r="110">
      <c r="A110" s="12" t="n"/>
      <c r="B110">
        <f>IF($Y110="","",INDEX('Per Line'!$D$2:$D$1001,$Y110)&amp;"")</f>
        <v/>
      </c>
      <c r="C110">
        <f>IF($Y110="","",INDEX('Per Line'!$C$2:$C$1001,$Y110)&amp;"")</f>
        <v/>
      </c>
      <c r="D110" s="11">
        <f>IF($Y110="","",INDEX('Per Line'!$F$2:$F$1001,$Y110))</f>
        <v/>
      </c>
      <c r="E110">
        <f>IF($Y110="","",INDEX('Per Line'!$G$2:$G$1001,$Y110)&amp;"")</f>
        <v/>
      </c>
      <c r="F110">
        <f>IF($Y110="","",INDEX('Per Line'!$I$2:$I$1001,$Y110)&amp;"")</f>
        <v/>
      </c>
      <c r="G110">
        <f>IF($Y110="","",INDEX('Per Line'!$J$2:$J$1001,$Y110)&amp;"")</f>
        <v/>
      </c>
      <c r="H110">
        <f>IF($Y110="","",INDEX('Per Line'!$K$2:$K$1001,$Y110)&amp;"")</f>
        <v/>
      </c>
      <c r="I110">
        <f>IF($Y110="","",INDEX('Per Line'!$O$2:$O$1001,$Y110))</f>
        <v/>
      </c>
      <c r="J110" s="7">
        <f>IF($Y110="","",IF(AND(ISNUMBER(L110),L110&gt;0,W110&gt;L110),I110*L110/100+(W110-L110),I110*W110/100))</f>
        <v/>
      </c>
      <c r="K110">
        <f>IF($Y110="","",INDEX('Per Line'!$Y$2:$Y$1001,$Y110)&amp;"")</f>
        <v/>
      </c>
      <c r="L110">
        <f>IF($Y110="","",INDEX('Per Line'!$AF$2:$AF$1001,$Y110))</f>
        <v/>
      </c>
      <c r="M110">
        <f>IF($Y110="","",IF(AND(ISNUMBER(L110),L110&gt;0),W110&gt;L110,FALSE))</f>
        <v/>
      </c>
      <c r="N110" s="7">
        <f>IF($Y110="","",SUMIFS('Per Line'!$X$2:$X$1001,'Per Line'!$D$2:$D$1001,$B110,'Per Line'!$AP$2:$AP$1001,1))</f>
        <v/>
      </c>
      <c r="O110">
        <f>IF($Y110="","",Settings!$C$7)</f>
        <v/>
      </c>
      <c r="P110" s="7">
        <f>IF($Y110="","",SUMIFS('Per Line'!$X$2:$X$1001,'Per Line'!$D$2:$D$1001,$B110,'Per Line'!$AO$2:$AO$1001,0,'Per Line'!$AP$2:$AP$1001,0))</f>
        <v/>
      </c>
      <c r="Q110" s="7">
        <f>IF($Y110="","",P110*O110)</f>
        <v/>
      </c>
      <c r="R110">
        <f>IF($Y110="","",Settings!$C$6)</f>
        <v/>
      </c>
      <c r="S110" s="7">
        <f>IF($Y110="","",SUMIFS('Per Line'!$X$2:$X$1001,'Per Line'!$D$2:$D$1001,$B110,'Per Line'!$AO$2:$AO$1001,1,'Per Line'!$AP$2:$AP$1001,0))</f>
        <v/>
      </c>
      <c r="T110" s="7">
        <f>IF($Y110="","",S110*R110)</f>
        <v/>
      </c>
      <c r="U110" s="7">
        <f>IF($Y110="","",T110+Q110)</f>
        <v/>
      </c>
      <c r="V110" s="7">
        <f>IF($Y110="","",W110-U110)</f>
        <v/>
      </c>
      <c r="W110" s="7">
        <f>IF($Y110="","",P110+S110+N110)</f>
        <v/>
      </c>
      <c r="X110" s="7">
        <f>IF($Y110="","",W110-U110-J110)</f>
        <v/>
      </c>
      <c r="Y110" s="13">
        <f>IF(ROWS($Y$2:$Y110)&lt;=MAX('Per Line'!$AN$2:$AN$1001),MATCH(ROWS($Y$2:$Y110),'Per Line'!$AN$2:$AN$1001,0),"")</f>
        <v/>
      </c>
      <c r="Z110" s="14">
        <f>IF($Y110="","",J110-I110*W110/100)</f>
        <v/>
      </c>
    </row>
    <row r="111">
      <c r="A111" s="12" t="n"/>
      <c r="B111">
        <f>IF($Y111="","",INDEX('Per Line'!$D$2:$D$1001,$Y111)&amp;"")</f>
        <v/>
      </c>
      <c r="C111">
        <f>IF($Y111="","",INDEX('Per Line'!$C$2:$C$1001,$Y111)&amp;"")</f>
        <v/>
      </c>
      <c r="D111" s="11">
        <f>IF($Y111="","",INDEX('Per Line'!$F$2:$F$1001,$Y111))</f>
        <v/>
      </c>
      <c r="E111">
        <f>IF($Y111="","",INDEX('Per Line'!$G$2:$G$1001,$Y111)&amp;"")</f>
        <v/>
      </c>
      <c r="F111">
        <f>IF($Y111="","",INDEX('Per Line'!$I$2:$I$1001,$Y111)&amp;"")</f>
        <v/>
      </c>
      <c r="G111">
        <f>IF($Y111="","",INDEX('Per Line'!$J$2:$J$1001,$Y111)&amp;"")</f>
        <v/>
      </c>
      <c r="H111">
        <f>IF($Y111="","",INDEX('Per Line'!$K$2:$K$1001,$Y111)&amp;"")</f>
        <v/>
      </c>
      <c r="I111">
        <f>IF($Y111="","",INDEX('Per Line'!$O$2:$O$1001,$Y111))</f>
        <v/>
      </c>
      <c r="J111" s="7">
        <f>IF($Y111="","",IF(AND(ISNUMBER(L111),L111&gt;0,W111&gt;L111),I111*L111/100+(W111-L111),I111*W111/100))</f>
        <v/>
      </c>
      <c r="K111">
        <f>IF($Y111="","",INDEX('Per Line'!$Y$2:$Y$1001,$Y111)&amp;"")</f>
        <v/>
      </c>
      <c r="L111">
        <f>IF($Y111="","",INDEX('Per Line'!$AF$2:$AF$1001,$Y111))</f>
        <v/>
      </c>
      <c r="M111">
        <f>IF($Y111="","",IF(AND(ISNUMBER(L111),L111&gt;0),W111&gt;L111,FALSE))</f>
        <v/>
      </c>
      <c r="N111" s="7">
        <f>IF($Y111="","",SUMIFS('Per Line'!$X$2:$X$1001,'Per Line'!$D$2:$D$1001,$B111,'Per Line'!$AP$2:$AP$1001,1))</f>
        <v/>
      </c>
      <c r="O111">
        <f>IF($Y111="","",Settings!$C$7)</f>
        <v/>
      </c>
      <c r="P111" s="7">
        <f>IF($Y111="","",SUMIFS('Per Line'!$X$2:$X$1001,'Per Line'!$D$2:$D$1001,$B111,'Per Line'!$AO$2:$AO$1001,0,'Per Line'!$AP$2:$AP$1001,0))</f>
        <v/>
      </c>
      <c r="Q111" s="7">
        <f>IF($Y111="","",P111*O111)</f>
        <v/>
      </c>
      <c r="R111">
        <f>IF($Y111="","",Settings!$C$6)</f>
        <v/>
      </c>
      <c r="S111" s="7">
        <f>IF($Y111="","",SUMIFS('Per Line'!$X$2:$X$1001,'Per Line'!$D$2:$D$1001,$B111,'Per Line'!$AO$2:$AO$1001,1,'Per Line'!$AP$2:$AP$1001,0))</f>
        <v/>
      </c>
      <c r="T111" s="7">
        <f>IF($Y111="","",S111*R111)</f>
        <v/>
      </c>
      <c r="U111" s="7">
        <f>IF($Y111="","",T111+Q111)</f>
        <v/>
      </c>
      <c r="V111" s="7">
        <f>IF($Y111="","",W111-U111)</f>
        <v/>
      </c>
      <c r="W111" s="7">
        <f>IF($Y111="","",P111+S111+N111)</f>
        <v/>
      </c>
      <c r="X111" s="7">
        <f>IF($Y111="","",W111-U111-J111)</f>
        <v/>
      </c>
      <c r="Y111" s="13">
        <f>IF(ROWS($Y$2:$Y111)&lt;=MAX('Per Line'!$AN$2:$AN$1001),MATCH(ROWS($Y$2:$Y111),'Per Line'!$AN$2:$AN$1001,0),"")</f>
        <v/>
      </c>
      <c r="Z111" s="14">
        <f>IF($Y111="","",J111-I111*W111/100)</f>
        <v/>
      </c>
    </row>
    <row r="112">
      <c r="A112" s="12" t="n"/>
      <c r="B112">
        <f>IF($Y112="","",INDEX('Per Line'!$D$2:$D$1001,$Y112)&amp;"")</f>
        <v/>
      </c>
      <c r="C112">
        <f>IF($Y112="","",INDEX('Per Line'!$C$2:$C$1001,$Y112)&amp;"")</f>
        <v/>
      </c>
      <c r="D112" s="11">
        <f>IF($Y112="","",INDEX('Per Line'!$F$2:$F$1001,$Y112))</f>
        <v/>
      </c>
      <c r="E112">
        <f>IF($Y112="","",INDEX('Per Line'!$G$2:$G$1001,$Y112)&amp;"")</f>
        <v/>
      </c>
      <c r="F112">
        <f>IF($Y112="","",INDEX('Per Line'!$I$2:$I$1001,$Y112)&amp;"")</f>
        <v/>
      </c>
      <c r="G112">
        <f>IF($Y112="","",INDEX('Per Line'!$J$2:$J$1001,$Y112)&amp;"")</f>
        <v/>
      </c>
      <c r="H112">
        <f>IF($Y112="","",INDEX('Per Line'!$K$2:$K$1001,$Y112)&amp;"")</f>
        <v/>
      </c>
      <c r="I112">
        <f>IF($Y112="","",INDEX('Per Line'!$O$2:$O$1001,$Y112))</f>
        <v/>
      </c>
      <c r="J112" s="7">
        <f>IF($Y112="","",IF(AND(ISNUMBER(L112),L112&gt;0,W112&gt;L112),I112*L112/100+(W112-L112),I112*W112/100))</f>
        <v/>
      </c>
      <c r="K112">
        <f>IF($Y112="","",INDEX('Per Line'!$Y$2:$Y$1001,$Y112)&amp;"")</f>
        <v/>
      </c>
      <c r="L112">
        <f>IF($Y112="","",INDEX('Per Line'!$AF$2:$AF$1001,$Y112))</f>
        <v/>
      </c>
      <c r="M112">
        <f>IF($Y112="","",IF(AND(ISNUMBER(L112),L112&gt;0),W112&gt;L112,FALSE))</f>
        <v/>
      </c>
      <c r="N112" s="7">
        <f>IF($Y112="","",SUMIFS('Per Line'!$X$2:$X$1001,'Per Line'!$D$2:$D$1001,$B112,'Per Line'!$AP$2:$AP$1001,1))</f>
        <v/>
      </c>
      <c r="O112">
        <f>IF($Y112="","",Settings!$C$7)</f>
        <v/>
      </c>
      <c r="P112" s="7">
        <f>IF($Y112="","",SUMIFS('Per Line'!$X$2:$X$1001,'Per Line'!$D$2:$D$1001,$B112,'Per Line'!$AO$2:$AO$1001,0,'Per Line'!$AP$2:$AP$1001,0))</f>
        <v/>
      </c>
      <c r="Q112" s="7">
        <f>IF($Y112="","",P112*O112)</f>
        <v/>
      </c>
      <c r="R112">
        <f>IF($Y112="","",Settings!$C$6)</f>
        <v/>
      </c>
      <c r="S112" s="7">
        <f>IF($Y112="","",SUMIFS('Per Line'!$X$2:$X$1001,'Per Line'!$D$2:$D$1001,$B112,'Per Line'!$AO$2:$AO$1001,1,'Per Line'!$AP$2:$AP$1001,0))</f>
        <v/>
      </c>
      <c r="T112" s="7">
        <f>IF($Y112="","",S112*R112)</f>
        <v/>
      </c>
      <c r="U112" s="7">
        <f>IF($Y112="","",T112+Q112)</f>
        <v/>
      </c>
      <c r="V112" s="7">
        <f>IF($Y112="","",W112-U112)</f>
        <v/>
      </c>
      <c r="W112" s="7">
        <f>IF($Y112="","",P112+S112+N112)</f>
        <v/>
      </c>
      <c r="X112" s="7">
        <f>IF($Y112="","",W112-U112-J112)</f>
        <v/>
      </c>
      <c r="Y112" s="13">
        <f>IF(ROWS($Y$2:$Y112)&lt;=MAX('Per Line'!$AN$2:$AN$1001),MATCH(ROWS($Y$2:$Y112),'Per Line'!$AN$2:$AN$1001,0),"")</f>
        <v/>
      </c>
      <c r="Z112" s="14">
        <f>IF($Y112="","",J112-I112*W112/100)</f>
        <v/>
      </c>
    </row>
    <row r="113">
      <c r="A113" s="12" t="n"/>
      <c r="B113">
        <f>IF($Y113="","",INDEX('Per Line'!$D$2:$D$1001,$Y113)&amp;"")</f>
        <v/>
      </c>
      <c r="C113">
        <f>IF($Y113="","",INDEX('Per Line'!$C$2:$C$1001,$Y113)&amp;"")</f>
        <v/>
      </c>
      <c r="D113" s="11">
        <f>IF($Y113="","",INDEX('Per Line'!$F$2:$F$1001,$Y113))</f>
        <v/>
      </c>
      <c r="E113">
        <f>IF($Y113="","",INDEX('Per Line'!$G$2:$G$1001,$Y113)&amp;"")</f>
        <v/>
      </c>
      <c r="F113">
        <f>IF($Y113="","",INDEX('Per Line'!$I$2:$I$1001,$Y113)&amp;"")</f>
        <v/>
      </c>
      <c r="G113">
        <f>IF($Y113="","",INDEX('Per Line'!$J$2:$J$1001,$Y113)&amp;"")</f>
        <v/>
      </c>
      <c r="H113">
        <f>IF($Y113="","",INDEX('Per Line'!$K$2:$K$1001,$Y113)&amp;"")</f>
        <v/>
      </c>
      <c r="I113">
        <f>IF($Y113="","",INDEX('Per Line'!$O$2:$O$1001,$Y113))</f>
        <v/>
      </c>
      <c r="J113" s="7">
        <f>IF($Y113="","",IF(AND(ISNUMBER(L113),L113&gt;0,W113&gt;L113),I113*L113/100+(W113-L113),I113*W113/100))</f>
        <v/>
      </c>
      <c r="K113">
        <f>IF($Y113="","",INDEX('Per Line'!$Y$2:$Y$1001,$Y113)&amp;"")</f>
        <v/>
      </c>
      <c r="L113">
        <f>IF($Y113="","",INDEX('Per Line'!$AF$2:$AF$1001,$Y113))</f>
        <v/>
      </c>
      <c r="M113">
        <f>IF($Y113="","",IF(AND(ISNUMBER(L113),L113&gt;0),W113&gt;L113,FALSE))</f>
        <v/>
      </c>
      <c r="N113" s="7">
        <f>IF($Y113="","",SUMIFS('Per Line'!$X$2:$X$1001,'Per Line'!$D$2:$D$1001,$B113,'Per Line'!$AP$2:$AP$1001,1))</f>
        <v/>
      </c>
      <c r="O113">
        <f>IF($Y113="","",Settings!$C$7)</f>
        <v/>
      </c>
      <c r="P113" s="7">
        <f>IF($Y113="","",SUMIFS('Per Line'!$X$2:$X$1001,'Per Line'!$D$2:$D$1001,$B113,'Per Line'!$AO$2:$AO$1001,0,'Per Line'!$AP$2:$AP$1001,0))</f>
        <v/>
      </c>
      <c r="Q113" s="7">
        <f>IF($Y113="","",P113*O113)</f>
        <v/>
      </c>
      <c r="R113">
        <f>IF($Y113="","",Settings!$C$6)</f>
        <v/>
      </c>
      <c r="S113" s="7">
        <f>IF($Y113="","",SUMIFS('Per Line'!$X$2:$X$1001,'Per Line'!$D$2:$D$1001,$B113,'Per Line'!$AO$2:$AO$1001,1,'Per Line'!$AP$2:$AP$1001,0))</f>
        <v/>
      </c>
      <c r="T113" s="7">
        <f>IF($Y113="","",S113*R113)</f>
        <v/>
      </c>
      <c r="U113" s="7">
        <f>IF($Y113="","",T113+Q113)</f>
        <v/>
      </c>
      <c r="V113" s="7">
        <f>IF($Y113="","",W113-U113)</f>
        <v/>
      </c>
      <c r="W113" s="7">
        <f>IF($Y113="","",P113+S113+N113)</f>
        <v/>
      </c>
      <c r="X113" s="7">
        <f>IF($Y113="","",W113-U113-J113)</f>
        <v/>
      </c>
      <c r="Y113" s="13">
        <f>IF(ROWS($Y$2:$Y113)&lt;=MAX('Per Line'!$AN$2:$AN$1001),MATCH(ROWS($Y$2:$Y113),'Per Line'!$AN$2:$AN$1001,0),"")</f>
        <v/>
      </c>
      <c r="Z113" s="14">
        <f>IF($Y113="","",J113-I113*W113/100)</f>
        <v/>
      </c>
    </row>
    <row r="114">
      <c r="A114" s="12" t="n"/>
      <c r="B114">
        <f>IF($Y114="","",INDEX('Per Line'!$D$2:$D$1001,$Y114)&amp;"")</f>
        <v/>
      </c>
      <c r="C114">
        <f>IF($Y114="","",INDEX('Per Line'!$C$2:$C$1001,$Y114)&amp;"")</f>
        <v/>
      </c>
      <c r="D114" s="11">
        <f>IF($Y114="","",INDEX('Per Line'!$F$2:$F$1001,$Y114))</f>
        <v/>
      </c>
      <c r="E114">
        <f>IF($Y114="","",INDEX('Per Line'!$G$2:$G$1001,$Y114)&amp;"")</f>
        <v/>
      </c>
      <c r="F114">
        <f>IF($Y114="","",INDEX('Per Line'!$I$2:$I$1001,$Y114)&amp;"")</f>
        <v/>
      </c>
      <c r="G114">
        <f>IF($Y114="","",INDEX('Per Line'!$J$2:$J$1001,$Y114)&amp;"")</f>
        <v/>
      </c>
      <c r="H114">
        <f>IF($Y114="","",INDEX('Per Line'!$K$2:$K$1001,$Y114)&amp;"")</f>
        <v/>
      </c>
      <c r="I114">
        <f>IF($Y114="","",INDEX('Per Line'!$O$2:$O$1001,$Y114))</f>
        <v/>
      </c>
      <c r="J114" s="7">
        <f>IF($Y114="","",IF(AND(ISNUMBER(L114),L114&gt;0,W114&gt;L114),I114*L114/100+(W114-L114),I114*W114/100))</f>
        <v/>
      </c>
      <c r="K114">
        <f>IF($Y114="","",INDEX('Per Line'!$Y$2:$Y$1001,$Y114)&amp;"")</f>
        <v/>
      </c>
      <c r="L114">
        <f>IF($Y114="","",INDEX('Per Line'!$AF$2:$AF$1001,$Y114))</f>
        <v/>
      </c>
      <c r="M114">
        <f>IF($Y114="","",IF(AND(ISNUMBER(L114),L114&gt;0),W114&gt;L114,FALSE))</f>
        <v/>
      </c>
      <c r="N114" s="7">
        <f>IF($Y114="","",SUMIFS('Per Line'!$X$2:$X$1001,'Per Line'!$D$2:$D$1001,$B114,'Per Line'!$AP$2:$AP$1001,1))</f>
        <v/>
      </c>
      <c r="O114">
        <f>IF($Y114="","",Settings!$C$7)</f>
        <v/>
      </c>
      <c r="P114" s="7">
        <f>IF($Y114="","",SUMIFS('Per Line'!$X$2:$X$1001,'Per Line'!$D$2:$D$1001,$B114,'Per Line'!$AO$2:$AO$1001,0,'Per Line'!$AP$2:$AP$1001,0))</f>
        <v/>
      </c>
      <c r="Q114" s="7">
        <f>IF($Y114="","",P114*O114)</f>
        <v/>
      </c>
      <c r="R114">
        <f>IF($Y114="","",Settings!$C$6)</f>
        <v/>
      </c>
      <c r="S114" s="7">
        <f>IF($Y114="","",SUMIFS('Per Line'!$X$2:$X$1001,'Per Line'!$D$2:$D$1001,$B114,'Per Line'!$AO$2:$AO$1001,1,'Per Line'!$AP$2:$AP$1001,0))</f>
        <v/>
      </c>
      <c r="T114" s="7">
        <f>IF($Y114="","",S114*R114)</f>
        <v/>
      </c>
      <c r="U114" s="7">
        <f>IF($Y114="","",T114+Q114)</f>
        <v/>
      </c>
      <c r="V114" s="7">
        <f>IF($Y114="","",W114-U114)</f>
        <v/>
      </c>
      <c r="W114" s="7">
        <f>IF($Y114="","",P114+S114+N114)</f>
        <v/>
      </c>
      <c r="X114" s="7">
        <f>IF($Y114="","",W114-U114-J114)</f>
        <v/>
      </c>
      <c r="Y114" s="13">
        <f>IF(ROWS($Y$2:$Y114)&lt;=MAX('Per Line'!$AN$2:$AN$1001),MATCH(ROWS($Y$2:$Y114),'Per Line'!$AN$2:$AN$1001,0),"")</f>
        <v/>
      </c>
      <c r="Z114" s="14">
        <f>IF($Y114="","",J114-I114*W114/100)</f>
        <v/>
      </c>
    </row>
    <row r="115">
      <c r="A115" s="12" t="n"/>
      <c r="B115">
        <f>IF($Y115="","",INDEX('Per Line'!$D$2:$D$1001,$Y115)&amp;"")</f>
        <v/>
      </c>
      <c r="C115">
        <f>IF($Y115="","",INDEX('Per Line'!$C$2:$C$1001,$Y115)&amp;"")</f>
        <v/>
      </c>
      <c r="D115" s="11">
        <f>IF($Y115="","",INDEX('Per Line'!$F$2:$F$1001,$Y115))</f>
        <v/>
      </c>
      <c r="E115">
        <f>IF($Y115="","",INDEX('Per Line'!$G$2:$G$1001,$Y115)&amp;"")</f>
        <v/>
      </c>
      <c r="F115">
        <f>IF($Y115="","",INDEX('Per Line'!$I$2:$I$1001,$Y115)&amp;"")</f>
        <v/>
      </c>
      <c r="G115">
        <f>IF($Y115="","",INDEX('Per Line'!$J$2:$J$1001,$Y115)&amp;"")</f>
        <v/>
      </c>
      <c r="H115">
        <f>IF($Y115="","",INDEX('Per Line'!$K$2:$K$1001,$Y115)&amp;"")</f>
        <v/>
      </c>
      <c r="I115">
        <f>IF($Y115="","",INDEX('Per Line'!$O$2:$O$1001,$Y115))</f>
        <v/>
      </c>
      <c r="J115" s="7">
        <f>IF($Y115="","",IF(AND(ISNUMBER(L115),L115&gt;0,W115&gt;L115),I115*L115/100+(W115-L115),I115*W115/100))</f>
        <v/>
      </c>
      <c r="K115">
        <f>IF($Y115="","",INDEX('Per Line'!$Y$2:$Y$1001,$Y115)&amp;"")</f>
        <v/>
      </c>
      <c r="L115">
        <f>IF($Y115="","",INDEX('Per Line'!$AF$2:$AF$1001,$Y115))</f>
        <v/>
      </c>
      <c r="M115">
        <f>IF($Y115="","",IF(AND(ISNUMBER(L115),L115&gt;0),W115&gt;L115,FALSE))</f>
        <v/>
      </c>
      <c r="N115" s="7">
        <f>IF($Y115="","",SUMIFS('Per Line'!$X$2:$X$1001,'Per Line'!$D$2:$D$1001,$B115,'Per Line'!$AP$2:$AP$1001,1))</f>
        <v/>
      </c>
      <c r="O115">
        <f>IF($Y115="","",Settings!$C$7)</f>
        <v/>
      </c>
      <c r="P115" s="7">
        <f>IF($Y115="","",SUMIFS('Per Line'!$X$2:$X$1001,'Per Line'!$D$2:$D$1001,$B115,'Per Line'!$AO$2:$AO$1001,0,'Per Line'!$AP$2:$AP$1001,0))</f>
        <v/>
      </c>
      <c r="Q115" s="7">
        <f>IF($Y115="","",P115*O115)</f>
        <v/>
      </c>
      <c r="R115">
        <f>IF($Y115="","",Settings!$C$6)</f>
        <v/>
      </c>
      <c r="S115" s="7">
        <f>IF($Y115="","",SUMIFS('Per Line'!$X$2:$X$1001,'Per Line'!$D$2:$D$1001,$B115,'Per Line'!$AO$2:$AO$1001,1,'Per Line'!$AP$2:$AP$1001,0))</f>
        <v/>
      </c>
      <c r="T115" s="7">
        <f>IF($Y115="","",S115*R115)</f>
        <v/>
      </c>
      <c r="U115" s="7">
        <f>IF($Y115="","",T115+Q115)</f>
        <v/>
      </c>
      <c r="V115" s="7">
        <f>IF($Y115="","",W115-U115)</f>
        <v/>
      </c>
      <c r="W115" s="7">
        <f>IF($Y115="","",P115+S115+N115)</f>
        <v/>
      </c>
      <c r="X115" s="7">
        <f>IF($Y115="","",W115-U115-J115)</f>
        <v/>
      </c>
      <c r="Y115" s="13">
        <f>IF(ROWS($Y$2:$Y115)&lt;=MAX('Per Line'!$AN$2:$AN$1001),MATCH(ROWS($Y$2:$Y115),'Per Line'!$AN$2:$AN$1001,0),"")</f>
        <v/>
      </c>
      <c r="Z115" s="14">
        <f>IF($Y115="","",J115-I115*W115/100)</f>
        <v/>
      </c>
    </row>
    <row r="116">
      <c r="A116" s="12" t="n"/>
      <c r="B116">
        <f>IF($Y116="","",INDEX('Per Line'!$D$2:$D$1001,$Y116)&amp;"")</f>
        <v/>
      </c>
      <c r="C116">
        <f>IF($Y116="","",INDEX('Per Line'!$C$2:$C$1001,$Y116)&amp;"")</f>
        <v/>
      </c>
      <c r="D116" s="11">
        <f>IF($Y116="","",INDEX('Per Line'!$F$2:$F$1001,$Y116))</f>
        <v/>
      </c>
      <c r="E116">
        <f>IF($Y116="","",INDEX('Per Line'!$G$2:$G$1001,$Y116)&amp;"")</f>
        <v/>
      </c>
      <c r="F116">
        <f>IF($Y116="","",INDEX('Per Line'!$I$2:$I$1001,$Y116)&amp;"")</f>
        <v/>
      </c>
      <c r="G116">
        <f>IF($Y116="","",INDEX('Per Line'!$J$2:$J$1001,$Y116)&amp;"")</f>
        <v/>
      </c>
      <c r="H116">
        <f>IF($Y116="","",INDEX('Per Line'!$K$2:$K$1001,$Y116)&amp;"")</f>
        <v/>
      </c>
      <c r="I116">
        <f>IF($Y116="","",INDEX('Per Line'!$O$2:$O$1001,$Y116))</f>
        <v/>
      </c>
      <c r="J116" s="7">
        <f>IF($Y116="","",IF(AND(ISNUMBER(L116),L116&gt;0,W116&gt;L116),I116*L116/100+(W116-L116),I116*W116/100))</f>
        <v/>
      </c>
      <c r="K116">
        <f>IF($Y116="","",INDEX('Per Line'!$Y$2:$Y$1001,$Y116)&amp;"")</f>
        <v/>
      </c>
      <c r="L116">
        <f>IF($Y116="","",INDEX('Per Line'!$AF$2:$AF$1001,$Y116))</f>
        <v/>
      </c>
      <c r="M116">
        <f>IF($Y116="","",IF(AND(ISNUMBER(L116),L116&gt;0),W116&gt;L116,FALSE))</f>
        <v/>
      </c>
      <c r="N116" s="7">
        <f>IF($Y116="","",SUMIFS('Per Line'!$X$2:$X$1001,'Per Line'!$D$2:$D$1001,$B116,'Per Line'!$AP$2:$AP$1001,1))</f>
        <v/>
      </c>
      <c r="O116">
        <f>IF($Y116="","",Settings!$C$7)</f>
        <v/>
      </c>
      <c r="P116" s="7">
        <f>IF($Y116="","",SUMIFS('Per Line'!$X$2:$X$1001,'Per Line'!$D$2:$D$1001,$B116,'Per Line'!$AO$2:$AO$1001,0,'Per Line'!$AP$2:$AP$1001,0))</f>
        <v/>
      </c>
      <c r="Q116" s="7">
        <f>IF($Y116="","",P116*O116)</f>
        <v/>
      </c>
      <c r="R116">
        <f>IF($Y116="","",Settings!$C$6)</f>
        <v/>
      </c>
      <c r="S116" s="7">
        <f>IF($Y116="","",SUMIFS('Per Line'!$X$2:$X$1001,'Per Line'!$D$2:$D$1001,$B116,'Per Line'!$AO$2:$AO$1001,1,'Per Line'!$AP$2:$AP$1001,0))</f>
        <v/>
      </c>
      <c r="T116" s="7">
        <f>IF($Y116="","",S116*R116)</f>
        <v/>
      </c>
      <c r="U116" s="7">
        <f>IF($Y116="","",T116+Q116)</f>
        <v/>
      </c>
      <c r="V116" s="7">
        <f>IF($Y116="","",W116-U116)</f>
        <v/>
      </c>
      <c r="W116" s="7">
        <f>IF($Y116="","",P116+S116+N116)</f>
        <v/>
      </c>
      <c r="X116" s="7">
        <f>IF($Y116="","",W116-U116-J116)</f>
        <v/>
      </c>
      <c r="Y116" s="13">
        <f>IF(ROWS($Y$2:$Y116)&lt;=MAX('Per Line'!$AN$2:$AN$1001),MATCH(ROWS($Y$2:$Y116),'Per Line'!$AN$2:$AN$1001,0),"")</f>
        <v/>
      </c>
      <c r="Z116" s="14">
        <f>IF($Y116="","",J116-I116*W116/100)</f>
        <v/>
      </c>
    </row>
    <row r="117">
      <c r="A117" s="12" t="n"/>
      <c r="B117">
        <f>IF($Y117="","",INDEX('Per Line'!$D$2:$D$1001,$Y117)&amp;"")</f>
        <v/>
      </c>
      <c r="C117">
        <f>IF($Y117="","",INDEX('Per Line'!$C$2:$C$1001,$Y117)&amp;"")</f>
        <v/>
      </c>
      <c r="D117" s="11">
        <f>IF($Y117="","",INDEX('Per Line'!$F$2:$F$1001,$Y117))</f>
        <v/>
      </c>
      <c r="E117">
        <f>IF($Y117="","",INDEX('Per Line'!$G$2:$G$1001,$Y117)&amp;"")</f>
        <v/>
      </c>
      <c r="F117">
        <f>IF($Y117="","",INDEX('Per Line'!$I$2:$I$1001,$Y117)&amp;"")</f>
        <v/>
      </c>
      <c r="G117">
        <f>IF($Y117="","",INDEX('Per Line'!$J$2:$J$1001,$Y117)&amp;"")</f>
        <v/>
      </c>
      <c r="H117">
        <f>IF($Y117="","",INDEX('Per Line'!$K$2:$K$1001,$Y117)&amp;"")</f>
        <v/>
      </c>
      <c r="I117">
        <f>IF($Y117="","",INDEX('Per Line'!$O$2:$O$1001,$Y117))</f>
        <v/>
      </c>
      <c r="J117" s="7">
        <f>IF($Y117="","",IF(AND(ISNUMBER(L117),L117&gt;0,W117&gt;L117),I117*L117/100+(W117-L117),I117*W117/100))</f>
        <v/>
      </c>
      <c r="K117">
        <f>IF($Y117="","",INDEX('Per Line'!$Y$2:$Y$1001,$Y117)&amp;"")</f>
        <v/>
      </c>
      <c r="L117">
        <f>IF($Y117="","",INDEX('Per Line'!$AF$2:$AF$1001,$Y117))</f>
        <v/>
      </c>
      <c r="M117">
        <f>IF($Y117="","",IF(AND(ISNUMBER(L117),L117&gt;0),W117&gt;L117,FALSE))</f>
        <v/>
      </c>
      <c r="N117" s="7">
        <f>IF($Y117="","",SUMIFS('Per Line'!$X$2:$X$1001,'Per Line'!$D$2:$D$1001,$B117,'Per Line'!$AP$2:$AP$1001,1))</f>
        <v/>
      </c>
      <c r="O117">
        <f>IF($Y117="","",Settings!$C$7)</f>
        <v/>
      </c>
      <c r="P117" s="7">
        <f>IF($Y117="","",SUMIFS('Per Line'!$X$2:$X$1001,'Per Line'!$D$2:$D$1001,$B117,'Per Line'!$AO$2:$AO$1001,0,'Per Line'!$AP$2:$AP$1001,0))</f>
        <v/>
      </c>
      <c r="Q117" s="7">
        <f>IF($Y117="","",P117*O117)</f>
        <v/>
      </c>
      <c r="R117">
        <f>IF($Y117="","",Settings!$C$6)</f>
        <v/>
      </c>
      <c r="S117" s="7">
        <f>IF($Y117="","",SUMIFS('Per Line'!$X$2:$X$1001,'Per Line'!$D$2:$D$1001,$B117,'Per Line'!$AO$2:$AO$1001,1,'Per Line'!$AP$2:$AP$1001,0))</f>
        <v/>
      </c>
      <c r="T117" s="7">
        <f>IF($Y117="","",S117*R117)</f>
        <v/>
      </c>
      <c r="U117" s="7">
        <f>IF($Y117="","",T117+Q117)</f>
        <v/>
      </c>
      <c r="V117" s="7">
        <f>IF($Y117="","",W117-U117)</f>
        <v/>
      </c>
      <c r="W117" s="7">
        <f>IF($Y117="","",P117+S117+N117)</f>
        <v/>
      </c>
      <c r="X117" s="7">
        <f>IF($Y117="","",W117-U117-J117)</f>
        <v/>
      </c>
      <c r="Y117" s="13">
        <f>IF(ROWS($Y$2:$Y117)&lt;=MAX('Per Line'!$AN$2:$AN$1001),MATCH(ROWS($Y$2:$Y117),'Per Line'!$AN$2:$AN$1001,0),"")</f>
        <v/>
      </c>
      <c r="Z117" s="14">
        <f>IF($Y117="","",J117-I117*W117/100)</f>
        <v/>
      </c>
    </row>
    <row r="118">
      <c r="A118" s="12" t="n"/>
      <c r="B118">
        <f>IF($Y118="","",INDEX('Per Line'!$D$2:$D$1001,$Y118)&amp;"")</f>
        <v/>
      </c>
      <c r="C118">
        <f>IF($Y118="","",INDEX('Per Line'!$C$2:$C$1001,$Y118)&amp;"")</f>
        <v/>
      </c>
      <c r="D118" s="11">
        <f>IF($Y118="","",INDEX('Per Line'!$F$2:$F$1001,$Y118))</f>
        <v/>
      </c>
      <c r="E118">
        <f>IF($Y118="","",INDEX('Per Line'!$G$2:$G$1001,$Y118)&amp;"")</f>
        <v/>
      </c>
      <c r="F118">
        <f>IF($Y118="","",INDEX('Per Line'!$I$2:$I$1001,$Y118)&amp;"")</f>
        <v/>
      </c>
      <c r="G118">
        <f>IF($Y118="","",INDEX('Per Line'!$J$2:$J$1001,$Y118)&amp;"")</f>
        <v/>
      </c>
      <c r="H118">
        <f>IF($Y118="","",INDEX('Per Line'!$K$2:$K$1001,$Y118)&amp;"")</f>
        <v/>
      </c>
      <c r="I118">
        <f>IF($Y118="","",INDEX('Per Line'!$O$2:$O$1001,$Y118))</f>
        <v/>
      </c>
      <c r="J118" s="7">
        <f>IF($Y118="","",IF(AND(ISNUMBER(L118),L118&gt;0,W118&gt;L118),I118*L118/100+(W118-L118),I118*W118/100))</f>
        <v/>
      </c>
      <c r="K118">
        <f>IF($Y118="","",INDEX('Per Line'!$Y$2:$Y$1001,$Y118)&amp;"")</f>
        <v/>
      </c>
      <c r="L118">
        <f>IF($Y118="","",INDEX('Per Line'!$AF$2:$AF$1001,$Y118))</f>
        <v/>
      </c>
      <c r="M118">
        <f>IF($Y118="","",IF(AND(ISNUMBER(L118),L118&gt;0),W118&gt;L118,FALSE))</f>
        <v/>
      </c>
      <c r="N118" s="7">
        <f>IF($Y118="","",SUMIFS('Per Line'!$X$2:$X$1001,'Per Line'!$D$2:$D$1001,$B118,'Per Line'!$AP$2:$AP$1001,1))</f>
        <v/>
      </c>
      <c r="O118">
        <f>IF($Y118="","",Settings!$C$7)</f>
        <v/>
      </c>
      <c r="P118" s="7">
        <f>IF($Y118="","",SUMIFS('Per Line'!$X$2:$X$1001,'Per Line'!$D$2:$D$1001,$B118,'Per Line'!$AO$2:$AO$1001,0,'Per Line'!$AP$2:$AP$1001,0))</f>
        <v/>
      </c>
      <c r="Q118" s="7">
        <f>IF($Y118="","",P118*O118)</f>
        <v/>
      </c>
      <c r="R118">
        <f>IF($Y118="","",Settings!$C$6)</f>
        <v/>
      </c>
      <c r="S118" s="7">
        <f>IF($Y118="","",SUMIFS('Per Line'!$X$2:$X$1001,'Per Line'!$D$2:$D$1001,$B118,'Per Line'!$AO$2:$AO$1001,1,'Per Line'!$AP$2:$AP$1001,0))</f>
        <v/>
      </c>
      <c r="T118" s="7">
        <f>IF($Y118="","",S118*R118)</f>
        <v/>
      </c>
      <c r="U118" s="7">
        <f>IF($Y118="","",T118+Q118)</f>
        <v/>
      </c>
      <c r="V118" s="7">
        <f>IF($Y118="","",W118-U118)</f>
        <v/>
      </c>
      <c r="W118" s="7">
        <f>IF($Y118="","",P118+S118+N118)</f>
        <v/>
      </c>
      <c r="X118" s="7">
        <f>IF($Y118="","",W118-U118-J118)</f>
        <v/>
      </c>
      <c r="Y118" s="13">
        <f>IF(ROWS($Y$2:$Y118)&lt;=MAX('Per Line'!$AN$2:$AN$1001),MATCH(ROWS($Y$2:$Y118),'Per Line'!$AN$2:$AN$1001,0),"")</f>
        <v/>
      </c>
      <c r="Z118" s="14">
        <f>IF($Y118="","",J118-I118*W118/100)</f>
        <v/>
      </c>
    </row>
    <row r="119">
      <c r="A119" s="12" t="n"/>
      <c r="B119">
        <f>IF($Y119="","",INDEX('Per Line'!$D$2:$D$1001,$Y119)&amp;"")</f>
        <v/>
      </c>
      <c r="C119">
        <f>IF($Y119="","",INDEX('Per Line'!$C$2:$C$1001,$Y119)&amp;"")</f>
        <v/>
      </c>
      <c r="D119" s="11">
        <f>IF($Y119="","",INDEX('Per Line'!$F$2:$F$1001,$Y119))</f>
        <v/>
      </c>
      <c r="E119">
        <f>IF($Y119="","",INDEX('Per Line'!$G$2:$G$1001,$Y119)&amp;"")</f>
        <v/>
      </c>
      <c r="F119">
        <f>IF($Y119="","",INDEX('Per Line'!$I$2:$I$1001,$Y119)&amp;"")</f>
        <v/>
      </c>
      <c r="G119">
        <f>IF($Y119="","",INDEX('Per Line'!$J$2:$J$1001,$Y119)&amp;"")</f>
        <v/>
      </c>
      <c r="H119">
        <f>IF($Y119="","",INDEX('Per Line'!$K$2:$K$1001,$Y119)&amp;"")</f>
        <v/>
      </c>
      <c r="I119">
        <f>IF($Y119="","",INDEX('Per Line'!$O$2:$O$1001,$Y119))</f>
        <v/>
      </c>
      <c r="J119" s="7">
        <f>IF($Y119="","",IF(AND(ISNUMBER(L119),L119&gt;0,W119&gt;L119),I119*L119/100+(W119-L119),I119*W119/100))</f>
        <v/>
      </c>
      <c r="K119">
        <f>IF($Y119="","",INDEX('Per Line'!$Y$2:$Y$1001,$Y119)&amp;"")</f>
        <v/>
      </c>
      <c r="L119">
        <f>IF($Y119="","",INDEX('Per Line'!$AF$2:$AF$1001,$Y119))</f>
        <v/>
      </c>
      <c r="M119">
        <f>IF($Y119="","",IF(AND(ISNUMBER(L119),L119&gt;0),W119&gt;L119,FALSE))</f>
        <v/>
      </c>
      <c r="N119" s="7">
        <f>IF($Y119="","",SUMIFS('Per Line'!$X$2:$X$1001,'Per Line'!$D$2:$D$1001,$B119,'Per Line'!$AP$2:$AP$1001,1))</f>
        <v/>
      </c>
      <c r="O119">
        <f>IF($Y119="","",Settings!$C$7)</f>
        <v/>
      </c>
      <c r="P119" s="7">
        <f>IF($Y119="","",SUMIFS('Per Line'!$X$2:$X$1001,'Per Line'!$D$2:$D$1001,$B119,'Per Line'!$AO$2:$AO$1001,0,'Per Line'!$AP$2:$AP$1001,0))</f>
        <v/>
      </c>
      <c r="Q119" s="7">
        <f>IF($Y119="","",P119*O119)</f>
        <v/>
      </c>
      <c r="R119">
        <f>IF($Y119="","",Settings!$C$6)</f>
        <v/>
      </c>
      <c r="S119" s="7">
        <f>IF($Y119="","",SUMIFS('Per Line'!$X$2:$X$1001,'Per Line'!$D$2:$D$1001,$B119,'Per Line'!$AO$2:$AO$1001,1,'Per Line'!$AP$2:$AP$1001,0))</f>
        <v/>
      </c>
      <c r="T119" s="7">
        <f>IF($Y119="","",S119*R119)</f>
        <v/>
      </c>
      <c r="U119" s="7">
        <f>IF($Y119="","",T119+Q119)</f>
        <v/>
      </c>
      <c r="V119" s="7">
        <f>IF($Y119="","",W119-U119)</f>
        <v/>
      </c>
      <c r="W119" s="7">
        <f>IF($Y119="","",P119+S119+N119)</f>
        <v/>
      </c>
      <c r="X119" s="7">
        <f>IF($Y119="","",W119-U119-J119)</f>
        <v/>
      </c>
      <c r="Y119" s="13">
        <f>IF(ROWS($Y$2:$Y119)&lt;=MAX('Per Line'!$AN$2:$AN$1001),MATCH(ROWS($Y$2:$Y119),'Per Line'!$AN$2:$AN$1001,0),"")</f>
        <v/>
      </c>
      <c r="Z119" s="14">
        <f>IF($Y119="","",J119-I119*W119/100)</f>
        <v/>
      </c>
    </row>
    <row r="120">
      <c r="A120" s="12" t="n"/>
      <c r="B120">
        <f>IF($Y120="","",INDEX('Per Line'!$D$2:$D$1001,$Y120)&amp;"")</f>
        <v/>
      </c>
      <c r="C120">
        <f>IF($Y120="","",INDEX('Per Line'!$C$2:$C$1001,$Y120)&amp;"")</f>
        <v/>
      </c>
      <c r="D120" s="11">
        <f>IF($Y120="","",INDEX('Per Line'!$F$2:$F$1001,$Y120))</f>
        <v/>
      </c>
      <c r="E120">
        <f>IF($Y120="","",INDEX('Per Line'!$G$2:$G$1001,$Y120)&amp;"")</f>
        <v/>
      </c>
      <c r="F120">
        <f>IF($Y120="","",INDEX('Per Line'!$I$2:$I$1001,$Y120)&amp;"")</f>
        <v/>
      </c>
      <c r="G120">
        <f>IF($Y120="","",INDEX('Per Line'!$J$2:$J$1001,$Y120)&amp;"")</f>
        <v/>
      </c>
      <c r="H120">
        <f>IF($Y120="","",INDEX('Per Line'!$K$2:$K$1001,$Y120)&amp;"")</f>
        <v/>
      </c>
      <c r="I120">
        <f>IF($Y120="","",INDEX('Per Line'!$O$2:$O$1001,$Y120))</f>
        <v/>
      </c>
      <c r="J120" s="7">
        <f>IF($Y120="","",IF(AND(ISNUMBER(L120),L120&gt;0,W120&gt;L120),I120*L120/100+(W120-L120),I120*W120/100))</f>
        <v/>
      </c>
      <c r="K120">
        <f>IF($Y120="","",INDEX('Per Line'!$Y$2:$Y$1001,$Y120)&amp;"")</f>
        <v/>
      </c>
      <c r="L120">
        <f>IF($Y120="","",INDEX('Per Line'!$AF$2:$AF$1001,$Y120))</f>
        <v/>
      </c>
      <c r="M120">
        <f>IF($Y120="","",IF(AND(ISNUMBER(L120),L120&gt;0),W120&gt;L120,FALSE))</f>
        <v/>
      </c>
      <c r="N120" s="7">
        <f>IF($Y120="","",SUMIFS('Per Line'!$X$2:$X$1001,'Per Line'!$D$2:$D$1001,$B120,'Per Line'!$AP$2:$AP$1001,1))</f>
        <v/>
      </c>
      <c r="O120">
        <f>IF($Y120="","",Settings!$C$7)</f>
        <v/>
      </c>
      <c r="P120" s="7">
        <f>IF($Y120="","",SUMIFS('Per Line'!$X$2:$X$1001,'Per Line'!$D$2:$D$1001,$B120,'Per Line'!$AO$2:$AO$1001,0,'Per Line'!$AP$2:$AP$1001,0))</f>
        <v/>
      </c>
      <c r="Q120" s="7">
        <f>IF($Y120="","",P120*O120)</f>
        <v/>
      </c>
      <c r="R120">
        <f>IF($Y120="","",Settings!$C$6)</f>
        <v/>
      </c>
      <c r="S120" s="7">
        <f>IF($Y120="","",SUMIFS('Per Line'!$X$2:$X$1001,'Per Line'!$D$2:$D$1001,$B120,'Per Line'!$AO$2:$AO$1001,1,'Per Line'!$AP$2:$AP$1001,0))</f>
        <v/>
      </c>
      <c r="T120" s="7">
        <f>IF($Y120="","",S120*R120)</f>
        <v/>
      </c>
      <c r="U120" s="7">
        <f>IF($Y120="","",T120+Q120)</f>
        <v/>
      </c>
      <c r="V120" s="7">
        <f>IF($Y120="","",W120-U120)</f>
        <v/>
      </c>
      <c r="W120" s="7">
        <f>IF($Y120="","",P120+S120+N120)</f>
        <v/>
      </c>
      <c r="X120" s="7">
        <f>IF($Y120="","",W120-U120-J120)</f>
        <v/>
      </c>
      <c r="Y120" s="13">
        <f>IF(ROWS($Y$2:$Y120)&lt;=MAX('Per Line'!$AN$2:$AN$1001),MATCH(ROWS($Y$2:$Y120),'Per Line'!$AN$2:$AN$1001,0),"")</f>
        <v/>
      </c>
      <c r="Z120" s="14">
        <f>IF($Y120="","",J120-I120*W120/100)</f>
        <v/>
      </c>
    </row>
    <row r="121">
      <c r="A121" s="12" t="n"/>
      <c r="B121">
        <f>IF($Y121="","",INDEX('Per Line'!$D$2:$D$1001,$Y121)&amp;"")</f>
        <v/>
      </c>
      <c r="C121">
        <f>IF($Y121="","",INDEX('Per Line'!$C$2:$C$1001,$Y121)&amp;"")</f>
        <v/>
      </c>
      <c r="D121" s="11">
        <f>IF($Y121="","",INDEX('Per Line'!$F$2:$F$1001,$Y121))</f>
        <v/>
      </c>
      <c r="E121">
        <f>IF($Y121="","",INDEX('Per Line'!$G$2:$G$1001,$Y121)&amp;"")</f>
        <v/>
      </c>
      <c r="F121">
        <f>IF($Y121="","",INDEX('Per Line'!$I$2:$I$1001,$Y121)&amp;"")</f>
        <v/>
      </c>
      <c r="G121">
        <f>IF($Y121="","",INDEX('Per Line'!$J$2:$J$1001,$Y121)&amp;"")</f>
        <v/>
      </c>
      <c r="H121">
        <f>IF($Y121="","",INDEX('Per Line'!$K$2:$K$1001,$Y121)&amp;"")</f>
        <v/>
      </c>
      <c r="I121">
        <f>IF($Y121="","",INDEX('Per Line'!$O$2:$O$1001,$Y121))</f>
        <v/>
      </c>
      <c r="J121" s="7">
        <f>IF($Y121="","",IF(AND(ISNUMBER(L121),L121&gt;0,W121&gt;L121),I121*L121/100+(W121-L121),I121*W121/100))</f>
        <v/>
      </c>
      <c r="K121">
        <f>IF($Y121="","",INDEX('Per Line'!$Y$2:$Y$1001,$Y121)&amp;"")</f>
        <v/>
      </c>
      <c r="L121">
        <f>IF($Y121="","",INDEX('Per Line'!$AF$2:$AF$1001,$Y121))</f>
        <v/>
      </c>
      <c r="M121">
        <f>IF($Y121="","",IF(AND(ISNUMBER(L121),L121&gt;0),W121&gt;L121,FALSE))</f>
        <v/>
      </c>
      <c r="N121" s="7">
        <f>IF($Y121="","",SUMIFS('Per Line'!$X$2:$X$1001,'Per Line'!$D$2:$D$1001,$B121,'Per Line'!$AP$2:$AP$1001,1))</f>
        <v/>
      </c>
      <c r="O121">
        <f>IF($Y121="","",Settings!$C$7)</f>
        <v/>
      </c>
      <c r="P121" s="7">
        <f>IF($Y121="","",SUMIFS('Per Line'!$X$2:$X$1001,'Per Line'!$D$2:$D$1001,$B121,'Per Line'!$AO$2:$AO$1001,0,'Per Line'!$AP$2:$AP$1001,0))</f>
        <v/>
      </c>
      <c r="Q121" s="7">
        <f>IF($Y121="","",P121*O121)</f>
        <v/>
      </c>
      <c r="R121">
        <f>IF($Y121="","",Settings!$C$6)</f>
        <v/>
      </c>
      <c r="S121" s="7">
        <f>IF($Y121="","",SUMIFS('Per Line'!$X$2:$X$1001,'Per Line'!$D$2:$D$1001,$B121,'Per Line'!$AO$2:$AO$1001,1,'Per Line'!$AP$2:$AP$1001,0))</f>
        <v/>
      </c>
      <c r="T121" s="7">
        <f>IF($Y121="","",S121*R121)</f>
        <v/>
      </c>
      <c r="U121" s="7">
        <f>IF($Y121="","",T121+Q121)</f>
        <v/>
      </c>
      <c r="V121" s="7">
        <f>IF($Y121="","",W121-U121)</f>
        <v/>
      </c>
      <c r="W121" s="7">
        <f>IF($Y121="","",P121+S121+N121)</f>
        <v/>
      </c>
      <c r="X121" s="7">
        <f>IF($Y121="","",W121-U121-J121)</f>
        <v/>
      </c>
      <c r="Y121" s="13">
        <f>IF(ROWS($Y$2:$Y121)&lt;=MAX('Per Line'!$AN$2:$AN$1001),MATCH(ROWS($Y$2:$Y121),'Per Line'!$AN$2:$AN$1001,0),"")</f>
        <v/>
      </c>
      <c r="Z121" s="14">
        <f>IF($Y121="","",J121-I121*W121/100)</f>
        <v/>
      </c>
    </row>
    <row r="122">
      <c r="A122" s="12" t="n"/>
      <c r="B122">
        <f>IF($Y122="","",INDEX('Per Line'!$D$2:$D$1001,$Y122)&amp;"")</f>
        <v/>
      </c>
      <c r="C122">
        <f>IF($Y122="","",INDEX('Per Line'!$C$2:$C$1001,$Y122)&amp;"")</f>
        <v/>
      </c>
      <c r="D122" s="11">
        <f>IF($Y122="","",INDEX('Per Line'!$F$2:$F$1001,$Y122))</f>
        <v/>
      </c>
      <c r="E122">
        <f>IF($Y122="","",INDEX('Per Line'!$G$2:$G$1001,$Y122)&amp;"")</f>
        <v/>
      </c>
      <c r="F122">
        <f>IF($Y122="","",INDEX('Per Line'!$I$2:$I$1001,$Y122)&amp;"")</f>
        <v/>
      </c>
      <c r="G122">
        <f>IF($Y122="","",INDEX('Per Line'!$J$2:$J$1001,$Y122)&amp;"")</f>
        <v/>
      </c>
      <c r="H122">
        <f>IF($Y122="","",INDEX('Per Line'!$K$2:$K$1001,$Y122)&amp;"")</f>
        <v/>
      </c>
      <c r="I122">
        <f>IF($Y122="","",INDEX('Per Line'!$O$2:$O$1001,$Y122))</f>
        <v/>
      </c>
      <c r="J122" s="7">
        <f>IF($Y122="","",IF(AND(ISNUMBER(L122),L122&gt;0,W122&gt;L122),I122*L122/100+(W122-L122),I122*W122/100))</f>
        <v/>
      </c>
      <c r="K122">
        <f>IF($Y122="","",INDEX('Per Line'!$Y$2:$Y$1001,$Y122)&amp;"")</f>
        <v/>
      </c>
      <c r="L122">
        <f>IF($Y122="","",INDEX('Per Line'!$AF$2:$AF$1001,$Y122))</f>
        <v/>
      </c>
      <c r="M122">
        <f>IF($Y122="","",IF(AND(ISNUMBER(L122),L122&gt;0),W122&gt;L122,FALSE))</f>
        <v/>
      </c>
      <c r="N122" s="7">
        <f>IF($Y122="","",SUMIFS('Per Line'!$X$2:$X$1001,'Per Line'!$D$2:$D$1001,$B122,'Per Line'!$AP$2:$AP$1001,1))</f>
        <v/>
      </c>
      <c r="O122">
        <f>IF($Y122="","",Settings!$C$7)</f>
        <v/>
      </c>
      <c r="P122" s="7">
        <f>IF($Y122="","",SUMIFS('Per Line'!$X$2:$X$1001,'Per Line'!$D$2:$D$1001,$B122,'Per Line'!$AO$2:$AO$1001,0,'Per Line'!$AP$2:$AP$1001,0))</f>
        <v/>
      </c>
      <c r="Q122" s="7">
        <f>IF($Y122="","",P122*O122)</f>
        <v/>
      </c>
      <c r="R122">
        <f>IF($Y122="","",Settings!$C$6)</f>
        <v/>
      </c>
      <c r="S122" s="7">
        <f>IF($Y122="","",SUMIFS('Per Line'!$X$2:$X$1001,'Per Line'!$D$2:$D$1001,$B122,'Per Line'!$AO$2:$AO$1001,1,'Per Line'!$AP$2:$AP$1001,0))</f>
        <v/>
      </c>
      <c r="T122" s="7">
        <f>IF($Y122="","",S122*R122)</f>
        <v/>
      </c>
      <c r="U122" s="7">
        <f>IF($Y122="","",T122+Q122)</f>
        <v/>
      </c>
      <c r="V122" s="7">
        <f>IF($Y122="","",W122-U122)</f>
        <v/>
      </c>
      <c r="W122" s="7">
        <f>IF($Y122="","",P122+S122+N122)</f>
        <v/>
      </c>
      <c r="X122" s="7">
        <f>IF($Y122="","",W122-U122-J122)</f>
        <v/>
      </c>
      <c r="Y122" s="13">
        <f>IF(ROWS($Y$2:$Y122)&lt;=MAX('Per Line'!$AN$2:$AN$1001),MATCH(ROWS($Y$2:$Y122),'Per Line'!$AN$2:$AN$1001,0),"")</f>
        <v/>
      </c>
      <c r="Z122" s="14">
        <f>IF($Y122="","",J122-I122*W122/100)</f>
        <v/>
      </c>
    </row>
    <row r="123">
      <c r="A123" s="12" t="n"/>
      <c r="B123">
        <f>IF($Y123="","",INDEX('Per Line'!$D$2:$D$1001,$Y123)&amp;"")</f>
        <v/>
      </c>
      <c r="C123">
        <f>IF($Y123="","",INDEX('Per Line'!$C$2:$C$1001,$Y123)&amp;"")</f>
        <v/>
      </c>
      <c r="D123" s="11">
        <f>IF($Y123="","",INDEX('Per Line'!$F$2:$F$1001,$Y123))</f>
        <v/>
      </c>
      <c r="E123">
        <f>IF($Y123="","",INDEX('Per Line'!$G$2:$G$1001,$Y123)&amp;"")</f>
        <v/>
      </c>
      <c r="F123">
        <f>IF($Y123="","",INDEX('Per Line'!$I$2:$I$1001,$Y123)&amp;"")</f>
        <v/>
      </c>
      <c r="G123">
        <f>IF($Y123="","",INDEX('Per Line'!$J$2:$J$1001,$Y123)&amp;"")</f>
        <v/>
      </c>
      <c r="H123">
        <f>IF($Y123="","",INDEX('Per Line'!$K$2:$K$1001,$Y123)&amp;"")</f>
        <v/>
      </c>
      <c r="I123">
        <f>IF($Y123="","",INDEX('Per Line'!$O$2:$O$1001,$Y123))</f>
        <v/>
      </c>
      <c r="J123" s="7">
        <f>IF($Y123="","",IF(AND(ISNUMBER(L123),L123&gt;0,W123&gt;L123),I123*L123/100+(W123-L123),I123*W123/100))</f>
        <v/>
      </c>
      <c r="K123">
        <f>IF($Y123="","",INDEX('Per Line'!$Y$2:$Y$1001,$Y123)&amp;"")</f>
        <v/>
      </c>
      <c r="L123">
        <f>IF($Y123="","",INDEX('Per Line'!$AF$2:$AF$1001,$Y123))</f>
        <v/>
      </c>
      <c r="M123">
        <f>IF($Y123="","",IF(AND(ISNUMBER(L123),L123&gt;0),W123&gt;L123,FALSE))</f>
        <v/>
      </c>
      <c r="N123" s="7">
        <f>IF($Y123="","",SUMIFS('Per Line'!$X$2:$X$1001,'Per Line'!$D$2:$D$1001,$B123,'Per Line'!$AP$2:$AP$1001,1))</f>
        <v/>
      </c>
      <c r="O123">
        <f>IF($Y123="","",Settings!$C$7)</f>
        <v/>
      </c>
      <c r="P123" s="7">
        <f>IF($Y123="","",SUMIFS('Per Line'!$X$2:$X$1001,'Per Line'!$D$2:$D$1001,$B123,'Per Line'!$AO$2:$AO$1001,0,'Per Line'!$AP$2:$AP$1001,0))</f>
        <v/>
      </c>
      <c r="Q123" s="7">
        <f>IF($Y123="","",P123*O123)</f>
        <v/>
      </c>
      <c r="R123">
        <f>IF($Y123="","",Settings!$C$6)</f>
        <v/>
      </c>
      <c r="S123" s="7">
        <f>IF($Y123="","",SUMIFS('Per Line'!$X$2:$X$1001,'Per Line'!$D$2:$D$1001,$B123,'Per Line'!$AO$2:$AO$1001,1,'Per Line'!$AP$2:$AP$1001,0))</f>
        <v/>
      </c>
      <c r="T123" s="7">
        <f>IF($Y123="","",S123*R123)</f>
        <v/>
      </c>
      <c r="U123" s="7">
        <f>IF($Y123="","",T123+Q123)</f>
        <v/>
      </c>
      <c r="V123" s="7">
        <f>IF($Y123="","",W123-U123)</f>
        <v/>
      </c>
      <c r="W123" s="7">
        <f>IF($Y123="","",P123+S123+N123)</f>
        <v/>
      </c>
      <c r="X123" s="7">
        <f>IF($Y123="","",W123-U123-J123)</f>
        <v/>
      </c>
      <c r="Y123" s="13">
        <f>IF(ROWS($Y$2:$Y123)&lt;=MAX('Per Line'!$AN$2:$AN$1001),MATCH(ROWS($Y$2:$Y123),'Per Line'!$AN$2:$AN$1001,0),"")</f>
        <v/>
      </c>
      <c r="Z123" s="14">
        <f>IF($Y123="","",J123-I123*W123/100)</f>
        <v/>
      </c>
    </row>
    <row r="124">
      <c r="A124" s="12" t="n"/>
      <c r="B124">
        <f>IF($Y124="","",INDEX('Per Line'!$D$2:$D$1001,$Y124)&amp;"")</f>
        <v/>
      </c>
      <c r="C124">
        <f>IF($Y124="","",INDEX('Per Line'!$C$2:$C$1001,$Y124)&amp;"")</f>
        <v/>
      </c>
      <c r="D124" s="11">
        <f>IF($Y124="","",INDEX('Per Line'!$F$2:$F$1001,$Y124))</f>
        <v/>
      </c>
      <c r="E124">
        <f>IF($Y124="","",INDEX('Per Line'!$G$2:$G$1001,$Y124)&amp;"")</f>
        <v/>
      </c>
      <c r="F124">
        <f>IF($Y124="","",INDEX('Per Line'!$I$2:$I$1001,$Y124)&amp;"")</f>
        <v/>
      </c>
      <c r="G124">
        <f>IF($Y124="","",INDEX('Per Line'!$J$2:$J$1001,$Y124)&amp;"")</f>
        <v/>
      </c>
      <c r="H124">
        <f>IF($Y124="","",INDEX('Per Line'!$K$2:$K$1001,$Y124)&amp;"")</f>
        <v/>
      </c>
      <c r="I124">
        <f>IF($Y124="","",INDEX('Per Line'!$O$2:$O$1001,$Y124))</f>
        <v/>
      </c>
      <c r="J124" s="7">
        <f>IF($Y124="","",IF(AND(ISNUMBER(L124),L124&gt;0,W124&gt;L124),I124*L124/100+(W124-L124),I124*W124/100))</f>
        <v/>
      </c>
      <c r="K124">
        <f>IF($Y124="","",INDEX('Per Line'!$Y$2:$Y$1001,$Y124)&amp;"")</f>
        <v/>
      </c>
      <c r="L124">
        <f>IF($Y124="","",INDEX('Per Line'!$AF$2:$AF$1001,$Y124))</f>
        <v/>
      </c>
      <c r="M124">
        <f>IF($Y124="","",IF(AND(ISNUMBER(L124),L124&gt;0),W124&gt;L124,FALSE))</f>
        <v/>
      </c>
      <c r="N124" s="7">
        <f>IF($Y124="","",SUMIFS('Per Line'!$X$2:$X$1001,'Per Line'!$D$2:$D$1001,$B124,'Per Line'!$AP$2:$AP$1001,1))</f>
        <v/>
      </c>
      <c r="O124">
        <f>IF($Y124="","",Settings!$C$7)</f>
        <v/>
      </c>
      <c r="P124" s="7">
        <f>IF($Y124="","",SUMIFS('Per Line'!$X$2:$X$1001,'Per Line'!$D$2:$D$1001,$B124,'Per Line'!$AO$2:$AO$1001,0,'Per Line'!$AP$2:$AP$1001,0))</f>
        <v/>
      </c>
      <c r="Q124" s="7">
        <f>IF($Y124="","",P124*O124)</f>
        <v/>
      </c>
      <c r="R124">
        <f>IF($Y124="","",Settings!$C$6)</f>
        <v/>
      </c>
      <c r="S124" s="7">
        <f>IF($Y124="","",SUMIFS('Per Line'!$X$2:$X$1001,'Per Line'!$D$2:$D$1001,$B124,'Per Line'!$AO$2:$AO$1001,1,'Per Line'!$AP$2:$AP$1001,0))</f>
        <v/>
      </c>
      <c r="T124" s="7">
        <f>IF($Y124="","",S124*R124)</f>
        <v/>
      </c>
      <c r="U124" s="7">
        <f>IF($Y124="","",T124+Q124)</f>
        <v/>
      </c>
      <c r="V124" s="7">
        <f>IF($Y124="","",W124-U124)</f>
        <v/>
      </c>
      <c r="W124" s="7">
        <f>IF($Y124="","",P124+S124+N124)</f>
        <v/>
      </c>
      <c r="X124" s="7">
        <f>IF($Y124="","",W124-U124-J124)</f>
        <v/>
      </c>
      <c r="Y124" s="13">
        <f>IF(ROWS($Y$2:$Y124)&lt;=MAX('Per Line'!$AN$2:$AN$1001),MATCH(ROWS($Y$2:$Y124),'Per Line'!$AN$2:$AN$1001,0),"")</f>
        <v/>
      </c>
      <c r="Z124" s="14">
        <f>IF($Y124="","",J124-I124*W124/100)</f>
        <v/>
      </c>
    </row>
    <row r="125">
      <c r="A125" s="12" t="n"/>
      <c r="B125">
        <f>IF($Y125="","",INDEX('Per Line'!$D$2:$D$1001,$Y125)&amp;"")</f>
        <v/>
      </c>
      <c r="C125">
        <f>IF($Y125="","",INDEX('Per Line'!$C$2:$C$1001,$Y125)&amp;"")</f>
        <v/>
      </c>
      <c r="D125" s="11">
        <f>IF($Y125="","",INDEX('Per Line'!$F$2:$F$1001,$Y125))</f>
        <v/>
      </c>
      <c r="E125">
        <f>IF($Y125="","",INDEX('Per Line'!$G$2:$G$1001,$Y125)&amp;"")</f>
        <v/>
      </c>
      <c r="F125">
        <f>IF($Y125="","",INDEX('Per Line'!$I$2:$I$1001,$Y125)&amp;"")</f>
        <v/>
      </c>
      <c r="G125">
        <f>IF($Y125="","",INDEX('Per Line'!$J$2:$J$1001,$Y125)&amp;"")</f>
        <v/>
      </c>
      <c r="H125">
        <f>IF($Y125="","",INDEX('Per Line'!$K$2:$K$1001,$Y125)&amp;"")</f>
        <v/>
      </c>
      <c r="I125">
        <f>IF($Y125="","",INDEX('Per Line'!$O$2:$O$1001,$Y125))</f>
        <v/>
      </c>
      <c r="J125" s="7">
        <f>IF($Y125="","",IF(AND(ISNUMBER(L125),L125&gt;0,W125&gt;L125),I125*L125/100+(W125-L125),I125*W125/100))</f>
        <v/>
      </c>
      <c r="K125">
        <f>IF($Y125="","",INDEX('Per Line'!$Y$2:$Y$1001,$Y125)&amp;"")</f>
        <v/>
      </c>
      <c r="L125">
        <f>IF($Y125="","",INDEX('Per Line'!$AF$2:$AF$1001,$Y125))</f>
        <v/>
      </c>
      <c r="M125">
        <f>IF($Y125="","",IF(AND(ISNUMBER(L125),L125&gt;0),W125&gt;L125,FALSE))</f>
        <v/>
      </c>
      <c r="N125" s="7">
        <f>IF($Y125="","",SUMIFS('Per Line'!$X$2:$X$1001,'Per Line'!$D$2:$D$1001,$B125,'Per Line'!$AP$2:$AP$1001,1))</f>
        <v/>
      </c>
      <c r="O125">
        <f>IF($Y125="","",Settings!$C$7)</f>
        <v/>
      </c>
      <c r="P125" s="7">
        <f>IF($Y125="","",SUMIFS('Per Line'!$X$2:$X$1001,'Per Line'!$D$2:$D$1001,$B125,'Per Line'!$AO$2:$AO$1001,0,'Per Line'!$AP$2:$AP$1001,0))</f>
        <v/>
      </c>
      <c r="Q125" s="7">
        <f>IF($Y125="","",P125*O125)</f>
        <v/>
      </c>
      <c r="R125">
        <f>IF($Y125="","",Settings!$C$6)</f>
        <v/>
      </c>
      <c r="S125" s="7">
        <f>IF($Y125="","",SUMIFS('Per Line'!$X$2:$X$1001,'Per Line'!$D$2:$D$1001,$B125,'Per Line'!$AO$2:$AO$1001,1,'Per Line'!$AP$2:$AP$1001,0))</f>
        <v/>
      </c>
      <c r="T125" s="7">
        <f>IF($Y125="","",S125*R125)</f>
        <v/>
      </c>
      <c r="U125" s="7">
        <f>IF($Y125="","",T125+Q125)</f>
        <v/>
      </c>
      <c r="V125" s="7">
        <f>IF($Y125="","",W125-U125)</f>
        <v/>
      </c>
      <c r="W125" s="7">
        <f>IF($Y125="","",P125+S125+N125)</f>
        <v/>
      </c>
      <c r="X125" s="7">
        <f>IF($Y125="","",W125-U125-J125)</f>
        <v/>
      </c>
      <c r="Y125" s="13">
        <f>IF(ROWS($Y$2:$Y125)&lt;=MAX('Per Line'!$AN$2:$AN$1001),MATCH(ROWS($Y$2:$Y125),'Per Line'!$AN$2:$AN$1001,0),"")</f>
        <v/>
      </c>
      <c r="Z125" s="14">
        <f>IF($Y125="","",J125-I125*W125/100)</f>
        <v/>
      </c>
    </row>
    <row r="126">
      <c r="A126" s="12" t="n"/>
      <c r="B126">
        <f>IF($Y126="","",INDEX('Per Line'!$D$2:$D$1001,$Y126)&amp;"")</f>
        <v/>
      </c>
      <c r="C126">
        <f>IF($Y126="","",INDEX('Per Line'!$C$2:$C$1001,$Y126)&amp;"")</f>
        <v/>
      </c>
      <c r="D126" s="11">
        <f>IF($Y126="","",INDEX('Per Line'!$F$2:$F$1001,$Y126))</f>
        <v/>
      </c>
      <c r="E126">
        <f>IF($Y126="","",INDEX('Per Line'!$G$2:$G$1001,$Y126)&amp;"")</f>
        <v/>
      </c>
      <c r="F126">
        <f>IF($Y126="","",INDEX('Per Line'!$I$2:$I$1001,$Y126)&amp;"")</f>
        <v/>
      </c>
      <c r="G126">
        <f>IF($Y126="","",INDEX('Per Line'!$J$2:$J$1001,$Y126)&amp;"")</f>
        <v/>
      </c>
      <c r="H126">
        <f>IF($Y126="","",INDEX('Per Line'!$K$2:$K$1001,$Y126)&amp;"")</f>
        <v/>
      </c>
      <c r="I126">
        <f>IF($Y126="","",INDEX('Per Line'!$O$2:$O$1001,$Y126))</f>
        <v/>
      </c>
      <c r="J126" s="7">
        <f>IF($Y126="","",IF(AND(ISNUMBER(L126),L126&gt;0,W126&gt;L126),I126*L126/100+(W126-L126),I126*W126/100))</f>
        <v/>
      </c>
      <c r="K126">
        <f>IF($Y126="","",INDEX('Per Line'!$Y$2:$Y$1001,$Y126)&amp;"")</f>
        <v/>
      </c>
      <c r="L126">
        <f>IF($Y126="","",INDEX('Per Line'!$AF$2:$AF$1001,$Y126))</f>
        <v/>
      </c>
      <c r="M126">
        <f>IF($Y126="","",IF(AND(ISNUMBER(L126),L126&gt;0),W126&gt;L126,FALSE))</f>
        <v/>
      </c>
      <c r="N126" s="7">
        <f>IF($Y126="","",SUMIFS('Per Line'!$X$2:$X$1001,'Per Line'!$D$2:$D$1001,$B126,'Per Line'!$AP$2:$AP$1001,1))</f>
        <v/>
      </c>
      <c r="O126">
        <f>IF($Y126="","",Settings!$C$7)</f>
        <v/>
      </c>
      <c r="P126" s="7">
        <f>IF($Y126="","",SUMIFS('Per Line'!$X$2:$X$1001,'Per Line'!$D$2:$D$1001,$B126,'Per Line'!$AO$2:$AO$1001,0,'Per Line'!$AP$2:$AP$1001,0))</f>
        <v/>
      </c>
      <c r="Q126" s="7">
        <f>IF($Y126="","",P126*O126)</f>
        <v/>
      </c>
      <c r="R126">
        <f>IF($Y126="","",Settings!$C$6)</f>
        <v/>
      </c>
      <c r="S126" s="7">
        <f>IF($Y126="","",SUMIFS('Per Line'!$X$2:$X$1001,'Per Line'!$D$2:$D$1001,$B126,'Per Line'!$AO$2:$AO$1001,1,'Per Line'!$AP$2:$AP$1001,0))</f>
        <v/>
      </c>
      <c r="T126" s="7">
        <f>IF($Y126="","",S126*R126)</f>
        <v/>
      </c>
      <c r="U126" s="7">
        <f>IF($Y126="","",T126+Q126)</f>
        <v/>
      </c>
      <c r="V126" s="7">
        <f>IF($Y126="","",W126-U126)</f>
        <v/>
      </c>
      <c r="W126" s="7">
        <f>IF($Y126="","",P126+S126+N126)</f>
        <v/>
      </c>
      <c r="X126" s="7">
        <f>IF($Y126="","",W126-U126-J126)</f>
        <v/>
      </c>
      <c r="Y126" s="13">
        <f>IF(ROWS($Y$2:$Y126)&lt;=MAX('Per Line'!$AN$2:$AN$1001),MATCH(ROWS($Y$2:$Y126),'Per Line'!$AN$2:$AN$1001,0),"")</f>
        <v/>
      </c>
      <c r="Z126" s="14">
        <f>IF($Y126="","",J126-I126*W126/100)</f>
        <v/>
      </c>
    </row>
    <row r="127">
      <c r="A127" s="12" t="n"/>
      <c r="B127">
        <f>IF($Y127="","",INDEX('Per Line'!$D$2:$D$1001,$Y127)&amp;"")</f>
        <v/>
      </c>
      <c r="C127">
        <f>IF($Y127="","",INDEX('Per Line'!$C$2:$C$1001,$Y127)&amp;"")</f>
        <v/>
      </c>
      <c r="D127" s="11">
        <f>IF($Y127="","",INDEX('Per Line'!$F$2:$F$1001,$Y127))</f>
        <v/>
      </c>
      <c r="E127">
        <f>IF($Y127="","",INDEX('Per Line'!$G$2:$G$1001,$Y127)&amp;"")</f>
        <v/>
      </c>
      <c r="F127">
        <f>IF($Y127="","",INDEX('Per Line'!$I$2:$I$1001,$Y127)&amp;"")</f>
        <v/>
      </c>
      <c r="G127">
        <f>IF($Y127="","",INDEX('Per Line'!$J$2:$J$1001,$Y127)&amp;"")</f>
        <v/>
      </c>
      <c r="H127">
        <f>IF($Y127="","",INDEX('Per Line'!$K$2:$K$1001,$Y127)&amp;"")</f>
        <v/>
      </c>
      <c r="I127">
        <f>IF($Y127="","",INDEX('Per Line'!$O$2:$O$1001,$Y127))</f>
        <v/>
      </c>
      <c r="J127" s="7">
        <f>IF($Y127="","",IF(AND(ISNUMBER(L127),L127&gt;0,W127&gt;L127),I127*L127/100+(W127-L127),I127*W127/100))</f>
        <v/>
      </c>
      <c r="K127">
        <f>IF($Y127="","",INDEX('Per Line'!$Y$2:$Y$1001,$Y127)&amp;"")</f>
        <v/>
      </c>
      <c r="L127">
        <f>IF($Y127="","",INDEX('Per Line'!$AF$2:$AF$1001,$Y127))</f>
        <v/>
      </c>
      <c r="M127">
        <f>IF($Y127="","",IF(AND(ISNUMBER(L127),L127&gt;0),W127&gt;L127,FALSE))</f>
        <v/>
      </c>
      <c r="N127" s="7">
        <f>IF($Y127="","",SUMIFS('Per Line'!$X$2:$X$1001,'Per Line'!$D$2:$D$1001,$B127,'Per Line'!$AP$2:$AP$1001,1))</f>
        <v/>
      </c>
      <c r="O127">
        <f>IF($Y127="","",Settings!$C$7)</f>
        <v/>
      </c>
      <c r="P127" s="7">
        <f>IF($Y127="","",SUMIFS('Per Line'!$X$2:$X$1001,'Per Line'!$D$2:$D$1001,$B127,'Per Line'!$AO$2:$AO$1001,0,'Per Line'!$AP$2:$AP$1001,0))</f>
        <v/>
      </c>
      <c r="Q127" s="7">
        <f>IF($Y127="","",P127*O127)</f>
        <v/>
      </c>
      <c r="R127">
        <f>IF($Y127="","",Settings!$C$6)</f>
        <v/>
      </c>
      <c r="S127" s="7">
        <f>IF($Y127="","",SUMIFS('Per Line'!$X$2:$X$1001,'Per Line'!$D$2:$D$1001,$B127,'Per Line'!$AO$2:$AO$1001,1,'Per Line'!$AP$2:$AP$1001,0))</f>
        <v/>
      </c>
      <c r="T127" s="7">
        <f>IF($Y127="","",S127*R127)</f>
        <v/>
      </c>
      <c r="U127" s="7">
        <f>IF($Y127="","",T127+Q127)</f>
        <v/>
      </c>
      <c r="V127" s="7">
        <f>IF($Y127="","",W127-U127)</f>
        <v/>
      </c>
      <c r="W127" s="7">
        <f>IF($Y127="","",P127+S127+N127)</f>
        <v/>
      </c>
      <c r="X127" s="7">
        <f>IF($Y127="","",W127-U127-J127)</f>
        <v/>
      </c>
      <c r="Y127" s="13">
        <f>IF(ROWS($Y$2:$Y127)&lt;=MAX('Per Line'!$AN$2:$AN$1001),MATCH(ROWS($Y$2:$Y127),'Per Line'!$AN$2:$AN$1001,0),"")</f>
        <v/>
      </c>
      <c r="Z127" s="14">
        <f>IF($Y127="","",J127-I127*W127/100)</f>
        <v/>
      </c>
    </row>
    <row r="128">
      <c r="A128" s="12" t="n"/>
      <c r="B128">
        <f>IF($Y128="","",INDEX('Per Line'!$D$2:$D$1001,$Y128)&amp;"")</f>
        <v/>
      </c>
      <c r="C128">
        <f>IF($Y128="","",INDEX('Per Line'!$C$2:$C$1001,$Y128)&amp;"")</f>
        <v/>
      </c>
      <c r="D128" s="11">
        <f>IF($Y128="","",INDEX('Per Line'!$F$2:$F$1001,$Y128))</f>
        <v/>
      </c>
      <c r="E128">
        <f>IF($Y128="","",INDEX('Per Line'!$G$2:$G$1001,$Y128)&amp;"")</f>
        <v/>
      </c>
      <c r="F128">
        <f>IF($Y128="","",INDEX('Per Line'!$I$2:$I$1001,$Y128)&amp;"")</f>
        <v/>
      </c>
      <c r="G128">
        <f>IF($Y128="","",INDEX('Per Line'!$J$2:$J$1001,$Y128)&amp;"")</f>
        <v/>
      </c>
      <c r="H128">
        <f>IF($Y128="","",INDEX('Per Line'!$K$2:$K$1001,$Y128)&amp;"")</f>
        <v/>
      </c>
      <c r="I128">
        <f>IF($Y128="","",INDEX('Per Line'!$O$2:$O$1001,$Y128))</f>
        <v/>
      </c>
      <c r="J128" s="7">
        <f>IF($Y128="","",IF(AND(ISNUMBER(L128),L128&gt;0,W128&gt;L128),I128*L128/100+(W128-L128),I128*W128/100))</f>
        <v/>
      </c>
      <c r="K128">
        <f>IF($Y128="","",INDEX('Per Line'!$Y$2:$Y$1001,$Y128)&amp;"")</f>
        <v/>
      </c>
      <c r="L128">
        <f>IF($Y128="","",INDEX('Per Line'!$AF$2:$AF$1001,$Y128))</f>
        <v/>
      </c>
      <c r="M128">
        <f>IF($Y128="","",IF(AND(ISNUMBER(L128),L128&gt;0),W128&gt;L128,FALSE))</f>
        <v/>
      </c>
      <c r="N128" s="7">
        <f>IF($Y128="","",SUMIFS('Per Line'!$X$2:$X$1001,'Per Line'!$D$2:$D$1001,$B128,'Per Line'!$AP$2:$AP$1001,1))</f>
        <v/>
      </c>
      <c r="O128">
        <f>IF($Y128="","",Settings!$C$7)</f>
        <v/>
      </c>
      <c r="P128" s="7">
        <f>IF($Y128="","",SUMIFS('Per Line'!$X$2:$X$1001,'Per Line'!$D$2:$D$1001,$B128,'Per Line'!$AO$2:$AO$1001,0,'Per Line'!$AP$2:$AP$1001,0))</f>
        <v/>
      </c>
      <c r="Q128" s="7">
        <f>IF($Y128="","",P128*O128)</f>
        <v/>
      </c>
      <c r="R128">
        <f>IF($Y128="","",Settings!$C$6)</f>
        <v/>
      </c>
      <c r="S128" s="7">
        <f>IF($Y128="","",SUMIFS('Per Line'!$X$2:$X$1001,'Per Line'!$D$2:$D$1001,$B128,'Per Line'!$AO$2:$AO$1001,1,'Per Line'!$AP$2:$AP$1001,0))</f>
        <v/>
      </c>
      <c r="T128" s="7">
        <f>IF($Y128="","",S128*R128)</f>
        <v/>
      </c>
      <c r="U128" s="7">
        <f>IF($Y128="","",T128+Q128)</f>
        <v/>
      </c>
      <c r="V128" s="7">
        <f>IF($Y128="","",W128-U128)</f>
        <v/>
      </c>
      <c r="W128" s="7">
        <f>IF($Y128="","",P128+S128+N128)</f>
        <v/>
      </c>
      <c r="X128" s="7">
        <f>IF($Y128="","",W128-U128-J128)</f>
        <v/>
      </c>
      <c r="Y128" s="13">
        <f>IF(ROWS($Y$2:$Y128)&lt;=MAX('Per Line'!$AN$2:$AN$1001),MATCH(ROWS($Y$2:$Y128),'Per Line'!$AN$2:$AN$1001,0),"")</f>
        <v/>
      </c>
      <c r="Z128" s="14">
        <f>IF($Y128="","",J128-I128*W128/100)</f>
        <v/>
      </c>
    </row>
    <row r="129">
      <c r="A129" s="12" t="n"/>
      <c r="B129">
        <f>IF($Y129="","",INDEX('Per Line'!$D$2:$D$1001,$Y129)&amp;"")</f>
        <v/>
      </c>
      <c r="C129">
        <f>IF($Y129="","",INDEX('Per Line'!$C$2:$C$1001,$Y129)&amp;"")</f>
        <v/>
      </c>
      <c r="D129" s="11">
        <f>IF($Y129="","",INDEX('Per Line'!$F$2:$F$1001,$Y129))</f>
        <v/>
      </c>
      <c r="E129">
        <f>IF($Y129="","",INDEX('Per Line'!$G$2:$G$1001,$Y129)&amp;"")</f>
        <v/>
      </c>
      <c r="F129">
        <f>IF($Y129="","",INDEX('Per Line'!$I$2:$I$1001,$Y129)&amp;"")</f>
        <v/>
      </c>
      <c r="G129">
        <f>IF($Y129="","",INDEX('Per Line'!$J$2:$J$1001,$Y129)&amp;"")</f>
        <v/>
      </c>
      <c r="H129">
        <f>IF($Y129="","",INDEX('Per Line'!$K$2:$K$1001,$Y129)&amp;"")</f>
        <v/>
      </c>
      <c r="I129">
        <f>IF($Y129="","",INDEX('Per Line'!$O$2:$O$1001,$Y129))</f>
        <v/>
      </c>
      <c r="J129" s="7">
        <f>IF($Y129="","",IF(AND(ISNUMBER(L129),L129&gt;0,W129&gt;L129),I129*L129/100+(W129-L129),I129*W129/100))</f>
        <v/>
      </c>
      <c r="K129">
        <f>IF($Y129="","",INDEX('Per Line'!$Y$2:$Y$1001,$Y129)&amp;"")</f>
        <v/>
      </c>
      <c r="L129">
        <f>IF($Y129="","",INDEX('Per Line'!$AF$2:$AF$1001,$Y129))</f>
        <v/>
      </c>
      <c r="M129">
        <f>IF($Y129="","",IF(AND(ISNUMBER(L129),L129&gt;0),W129&gt;L129,FALSE))</f>
        <v/>
      </c>
      <c r="N129" s="7">
        <f>IF($Y129="","",SUMIFS('Per Line'!$X$2:$X$1001,'Per Line'!$D$2:$D$1001,$B129,'Per Line'!$AP$2:$AP$1001,1))</f>
        <v/>
      </c>
      <c r="O129">
        <f>IF($Y129="","",Settings!$C$7)</f>
        <v/>
      </c>
      <c r="P129" s="7">
        <f>IF($Y129="","",SUMIFS('Per Line'!$X$2:$X$1001,'Per Line'!$D$2:$D$1001,$B129,'Per Line'!$AO$2:$AO$1001,0,'Per Line'!$AP$2:$AP$1001,0))</f>
        <v/>
      </c>
      <c r="Q129" s="7">
        <f>IF($Y129="","",P129*O129)</f>
        <v/>
      </c>
      <c r="R129">
        <f>IF($Y129="","",Settings!$C$6)</f>
        <v/>
      </c>
      <c r="S129" s="7">
        <f>IF($Y129="","",SUMIFS('Per Line'!$X$2:$X$1001,'Per Line'!$D$2:$D$1001,$B129,'Per Line'!$AO$2:$AO$1001,1,'Per Line'!$AP$2:$AP$1001,0))</f>
        <v/>
      </c>
      <c r="T129" s="7">
        <f>IF($Y129="","",S129*R129)</f>
        <v/>
      </c>
      <c r="U129" s="7">
        <f>IF($Y129="","",T129+Q129)</f>
        <v/>
      </c>
      <c r="V129" s="7">
        <f>IF($Y129="","",W129-U129)</f>
        <v/>
      </c>
      <c r="W129" s="7">
        <f>IF($Y129="","",P129+S129+N129)</f>
        <v/>
      </c>
      <c r="X129" s="7">
        <f>IF($Y129="","",W129-U129-J129)</f>
        <v/>
      </c>
      <c r="Y129" s="13">
        <f>IF(ROWS($Y$2:$Y129)&lt;=MAX('Per Line'!$AN$2:$AN$1001),MATCH(ROWS($Y$2:$Y129),'Per Line'!$AN$2:$AN$1001,0),"")</f>
        <v/>
      </c>
      <c r="Z129" s="14">
        <f>IF($Y129="","",J129-I129*W129/100)</f>
        <v/>
      </c>
    </row>
    <row r="130">
      <c r="A130" s="12" t="n"/>
      <c r="B130">
        <f>IF($Y130="","",INDEX('Per Line'!$D$2:$D$1001,$Y130)&amp;"")</f>
        <v/>
      </c>
      <c r="C130">
        <f>IF($Y130="","",INDEX('Per Line'!$C$2:$C$1001,$Y130)&amp;"")</f>
        <v/>
      </c>
      <c r="D130" s="11">
        <f>IF($Y130="","",INDEX('Per Line'!$F$2:$F$1001,$Y130))</f>
        <v/>
      </c>
      <c r="E130">
        <f>IF($Y130="","",INDEX('Per Line'!$G$2:$G$1001,$Y130)&amp;"")</f>
        <v/>
      </c>
      <c r="F130">
        <f>IF($Y130="","",INDEX('Per Line'!$I$2:$I$1001,$Y130)&amp;"")</f>
        <v/>
      </c>
      <c r="G130">
        <f>IF($Y130="","",INDEX('Per Line'!$J$2:$J$1001,$Y130)&amp;"")</f>
        <v/>
      </c>
      <c r="H130">
        <f>IF($Y130="","",INDEX('Per Line'!$K$2:$K$1001,$Y130)&amp;"")</f>
        <v/>
      </c>
      <c r="I130">
        <f>IF($Y130="","",INDEX('Per Line'!$O$2:$O$1001,$Y130))</f>
        <v/>
      </c>
      <c r="J130" s="7">
        <f>IF($Y130="","",IF(AND(ISNUMBER(L130),L130&gt;0,W130&gt;L130),I130*L130/100+(W130-L130),I130*W130/100))</f>
        <v/>
      </c>
      <c r="K130">
        <f>IF($Y130="","",INDEX('Per Line'!$Y$2:$Y$1001,$Y130)&amp;"")</f>
        <v/>
      </c>
      <c r="L130">
        <f>IF($Y130="","",INDEX('Per Line'!$AF$2:$AF$1001,$Y130))</f>
        <v/>
      </c>
      <c r="M130">
        <f>IF($Y130="","",IF(AND(ISNUMBER(L130),L130&gt;0),W130&gt;L130,FALSE))</f>
        <v/>
      </c>
      <c r="N130" s="7">
        <f>IF($Y130="","",SUMIFS('Per Line'!$X$2:$X$1001,'Per Line'!$D$2:$D$1001,$B130,'Per Line'!$AP$2:$AP$1001,1))</f>
        <v/>
      </c>
      <c r="O130">
        <f>IF($Y130="","",Settings!$C$7)</f>
        <v/>
      </c>
      <c r="P130" s="7">
        <f>IF($Y130="","",SUMIFS('Per Line'!$X$2:$X$1001,'Per Line'!$D$2:$D$1001,$B130,'Per Line'!$AO$2:$AO$1001,0,'Per Line'!$AP$2:$AP$1001,0))</f>
        <v/>
      </c>
      <c r="Q130" s="7">
        <f>IF($Y130="","",P130*O130)</f>
        <v/>
      </c>
      <c r="R130">
        <f>IF($Y130="","",Settings!$C$6)</f>
        <v/>
      </c>
      <c r="S130" s="7">
        <f>IF($Y130="","",SUMIFS('Per Line'!$X$2:$X$1001,'Per Line'!$D$2:$D$1001,$B130,'Per Line'!$AO$2:$AO$1001,1,'Per Line'!$AP$2:$AP$1001,0))</f>
        <v/>
      </c>
      <c r="T130" s="7">
        <f>IF($Y130="","",S130*R130)</f>
        <v/>
      </c>
      <c r="U130" s="7">
        <f>IF($Y130="","",T130+Q130)</f>
        <v/>
      </c>
      <c r="V130" s="7">
        <f>IF($Y130="","",W130-U130)</f>
        <v/>
      </c>
      <c r="W130" s="7">
        <f>IF($Y130="","",P130+S130+N130)</f>
        <v/>
      </c>
      <c r="X130" s="7">
        <f>IF($Y130="","",W130-U130-J130)</f>
        <v/>
      </c>
      <c r="Y130" s="13">
        <f>IF(ROWS($Y$2:$Y130)&lt;=MAX('Per Line'!$AN$2:$AN$1001),MATCH(ROWS($Y$2:$Y130),'Per Line'!$AN$2:$AN$1001,0),"")</f>
        <v/>
      </c>
      <c r="Z130" s="14">
        <f>IF($Y130="","",J130-I130*W130/100)</f>
        <v/>
      </c>
    </row>
    <row r="131">
      <c r="A131" s="12" t="n"/>
      <c r="B131">
        <f>IF($Y131="","",INDEX('Per Line'!$D$2:$D$1001,$Y131)&amp;"")</f>
        <v/>
      </c>
      <c r="C131">
        <f>IF($Y131="","",INDEX('Per Line'!$C$2:$C$1001,$Y131)&amp;"")</f>
        <v/>
      </c>
      <c r="D131" s="11">
        <f>IF($Y131="","",INDEX('Per Line'!$F$2:$F$1001,$Y131))</f>
        <v/>
      </c>
      <c r="E131">
        <f>IF($Y131="","",INDEX('Per Line'!$G$2:$G$1001,$Y131)&amp;"")</f>
        <v/>
      </c>
      <c r="F131">
        <f>IF($Y131="","",INDEX('Per Line'!$I$2:$I$1001,$Y131)&amp;"")</f>
        <v/>
      </c>
      <c r="G131">
        <f>IF($Y131="","",INDEX('Per Line'!$J$2:$J$1001,$Y131)&amp;"")</f>
        <v/>
      </c>
      <c r="H131">
        <f>IF($Y131="","",INDEX('Per Line'!$K$2:$K$1001,$Y131)&amp;"")</f>
        <v/>
      </c>
      <c r="I131">
        <f>IF($Y131="","",INDEX('Per Line'!$O$2:$O$1001,$Y131))</f>
        <v/>
      </c>
      <c r="J131" s="7">
        <f>IF($Y131="","",IF(AND(ISNUMBER(L131),L131&gt;0,W131&gt;L131),I131*L131/100+(W131-L131),I131*W131/100))</f>
        <v/>
      </c>
      <c r="K131">
        <f>IF($Y131="","",INDEX('Per Line'!$Y$2:$Y$1001,$Y131)&amp;"")</f>
        <v/>
      </c>
      <c r="L131">
        <f>IF($Y131="","",INDEX('Per Line'!$AF$2:$AF$1001,$Y131))</f>
        <v/>
      </c>
      <c r="M131">
        <f>IF($Y131="","",IF(AND(ISNUMBER(L131),L131&gt;0),W131&gt;L131,FALSE))</f>
        <v/>
      </c>
      <c r="N131" s="7">
        <f>IF($Y131="","",SUMIFS('Per Line'!$X$2:$X$1001,'Per Line'!$D$2:$D$1001,$B131,'Per Line'!$AP$2:$AP$1001,1))</f>
        <v/>
      </c>
      <c r="O131">
        <f>IF($Y131="","",Settings!$C$7)</f>
        <v/>
      </c>
      <c r="P131" s="7">
        <f>IF($Y131="","",SUMIFS('Per Line'!$X$2:$X$1001,'Per Line'!$D$2:$D$1001,$B131,'Per Line'!$AO$2:$AO$1001,0,'Per Line'!$AP$2:$AP$1001,0))</f>
        <v/>
      </c>
      <c r="Q131" s="7">
        <f>IF($Y131="","",P131*O131)</f>
        <v/>
      </c>
      <c r="R131">
        <f>IF($Y131="","",Settings!$C$6)</f>
        <v/>
      </c>
      <c r="S131" s="7">
        <f>IF($Y131="","",SUMIFS('Per Line'!$X$2:$X$1001,'Per Line'!$D$2:$D$1001,$B131,'Per Line'!$AO$2:$AO$1001,1,'Per Line'!$AP$2:$AP$1001,0))</f>
        <v/>
      </c>
      <c r="T131" s="7">
        <f>IF($Y131="","",S131*R131)</f>
        <v/>
      </c>
      <c r="U131" s="7">
        <f>IF($Y131="","",T131+Q131)</f>
        <v/>
      </c>
      <c r="V131" s="7">
        <f>IF($Y131="","",W131-U131)</f>
        <v/>
      </c>
      <c r="W131" s="7">
        <f>IF($Y131="","",P131+S131+N131)</f>
        <v/>
      </c>
      <c r="X131" s="7">
        <f>IF($Y131="","",W131-U131-J131)</f>
        <v/>
      </c>
      <c r="Y131" s="13">
        <f>IF(ROWS($Y$2:$Y131)&lt;=MAX('Per Line'!$AN$2:$AN$1001),MATCH(ROWS($Y$2:$Y131),'Per Line'!$AN$2:$AN$1001,0),"")</f>
        <v/>
      </c>
      <c r="Z131" s="14">
        <f>IF($Y131="","",J131-I131*W131/100)</f>
        <v/>
      </c>
    </row>
    <row r="132">
      <c r="A132" s="12" t="n"/>
      <c r="B132">
        <f>IF($Y132="","",INDEX('Per Line'!$D$2:$D$1001,$Y132)&amp;"")</f>
        <v/>
      </c>
      <c r="C132">
        <f>IF($Y132="","",INDEX('Per Line'!$C$2:$C$1001,$Y132)&amp;"")</f>
        <v/>
      </c>
      <c r="D132" s="11">
        <f>IF($Y132="","",INDEX('Per Line'!$F$2:$F$1001,$Y132))</f>
        <v/>
      </c>
      <c r="E132">
        <f>IF($Y132="","",INDEX('Per Line'!$G$2:$G$1001,$Y132)&amp;"")</f>
        <v/>
      </c>
      <c r="F132">
        <f>IF($Y132="","",INDEX('Per Line'!$I$2:$I$1001,$Y132)&amp;"")</f>
        <v/>
      </c>
      <c r="G132">
        <f>IF($Y132="","",INDEX('Per Line'!$J$2:$J$1001,$Y132)&amp;"")</f>
        <v/>
      </c>
      <c r="H132">
        <f>IF($Y132="","",INDEX('Per Line'!$K$2:$K$1001,$Y132)&amp;"")</f>
        <v/>
      </c>
      <c r="I132">
        <f>IF($Y132="","",INDEX('Per Line'!$O$2:$O$1001,$Y132))</f>
        <v/>
      </c>
      <c r="J132" s="7">
        <f>IF($Y132="","",IF(AND(ISNUMBER(L132),L132&gt;0,W132&gt;L132),I132*L132/100+(W132-L132),I132*W132/100))</f>
        <v/>
      </c>
      <c r="K132">
        <f>IF($Y132="","",INDEX('Per Line'!$Y$2:$Y$1001,$Y132)&amp;"")</f>
        <v/>
      </c>
      <c r="L132">
        <f>IF($Y132="","",INDEX('Per Line'!$AF$2:$AF$1001,$Y132))</f>
        <v/>
      </c>
      <c r="M132">
        <f>IF($Y132="","",IF(AND(ISNUMBER(L132),L132&gt;0),W132&gt;L132,FALSE))</f>
        <v/>
      </c>
      <c r="N132" s="7">
        <f>IF($Y132="","",SUMIFS('Per Line'!$X$2:$X$1001,'Per Line'!$D$2:$D$1001,$B132,'Per Line'!$AP$2:$AP$1001,1))</f>
        <v/>
      </c>
      <c r="O132">
        <f>IF($Y132="","",Settings!$C$7)</f>
        <v/>
      </c>
      <c r="P132" s="7">
        <f>IF($Y132="","",SUMIFS('Per Line'!$X$2:$X$1001,'Per Line'!$D$2:$D$1001,$B132,'Per Line'!$AO$2:$AO$1001,0,'Per Line'!$AP$2:$AP$1001,0))</f>
        <v/>
      </c>
      <c r="Q132" s="7">
        <f>IF($Y132="","",P132*O132)</f>
        <v/>
      </c>
      <c r="R132">
        <f>IF($Y132="","",Settings!$C$6)</f>
        <v/>
      </c>
      <c r="S132" s="7">
        <f>IF($Y132="","",SUMIFS('Per Line'!$X$2:$X$1001,'Per Line'!$D$2:$D$1001,$B132,'Per Line'!$AO$2:$AO$1001,1,'Per Line'!$AP$2:$AP$1001,0))</f>
        <v/>
      </c>
      <c r="T132" s="7">
        <f>IF($Y132="","",S132*R132)</f>
        <v/>
      </c>
      <c r="U132" s="7">
        <f>IF($Y132="","",T132+Q132)</f>
        <v/>
      </c>
      <c r="V132" s="7">
        <f>IF($Y132="","",W132-U132)</f>
        <v/>
      </c>
      <c r="W132" s="7">
        <f>IF($Y132="","",P132+S132+N132)</f>
        <v/>
      </c>
      <c r="X132" s="7">
        <f>IF($Y132="","",W132-U132-J132)</f>
        <v/>
      </c>
      <c r="Y132" s="13">
        <f>IF(ROWS($Y$2:$Y132)&lt;=MAX('Per Line'!$AN$2:$AN$1001),MATCH(ROWS($Y$2:$Y132),'Per Line'!$AN$2:$AN$1001,0),"")</f>
        <v/>
      </c>
      <c r="Z132" s="14">
        <f>IF($Y132="","",J132-I132*W132/100)</f>
        <v/>
      </c>
    </row>
    <row r="133">
      <c r="A133" s="12" t="n"/>
      <c r="B133">
        <f>IF($Y133="","",INDEX('Per Line'!$D$2:$D$1001,$Y133)&amp;"")</f>
        <v/>
      </c>
      <c r="C133">
        <f>IF($Y133="","",INDEX('Per Line'!$C$2:$C$1001,$Y133)&amp;"")</f>
        <v/>
      </c>
      <c r="D133" s="11">
        <f>IF($Y133="","",INDEX('Per Line'!$F$2:$F$1001,$Y133))</f>
        <v/>
      </c>
      <c r="E133">
        <f>IF($Y133="","",INDEX('Per Line'!$G$2:$G$1001,$Y133)&amp;"")</f>
        <v/>
      </c>
      <c r="F133">
        <f>IF($Y133="","",INDEX('Per Line'!$I$2:$I$1001,$Y133)&amp;"")</f>
        <v/>
      </c>
      <c r="G133">
        <f>IF($Y133="","",INDEX('Per Line'!$J$2:$J$1001,$Y133)&amp;"")</f>
        <v/>
      </c>
      <c r="H133">
        <f>IF($Y133="","",INDEX('Per Line'!$K$2:$K$1001,$Y133)&amp;"")</f>
        <v/>
      </c>
      <c r="I133">
        <f>IF($Y133="","",INDEX('Per Line'!$O$2:$O$1001,$Y133))</f>
        <v/>
      </c>
      <c r="J133" s="7">
        <f>IF($Y133="","",IF(AND(ISNUMBER(L133),L133&gt;0,W133&gt;L133),I133*L133/100+(W133-L133),I133*W133/100))</f>
        <v/>
      </c>
      <c r="K133">
        <f>IF($Y133="","",INDEX('Per Line'!$Y$2:$Y$1001,$Y133)&amp;"")</f>
        <v/>
      </c>
      <c r="L133">
        <f>IF($Y133="","",INDEX('Per Line'!$AF$2:$AF$1001,$Y133))</f>
        <v/>
      </c>
      <c r="M133">
        <f>IF($Y133="","",IF(AND(ISNUMBER(L133),L133&gt;0),W133&gt;L133,FALSE))</f>
        <v/>
      </c>
      <c r="N133" s="7">
        <f>IF($Y133="","",SUMIFS('Per Line'!$X$2:$X$1001,'Per Line'!$D$2:$D$1001,$B133,'Per Line'!$AP$2:$AP$1001,1))</f>
        <v/>
      </c>
      <c r="O133">
        <f>IF($Y133="","",Settings!$C$7)</f>
        <v/>
      </c>
      <c r="P133" s="7">
        <f>IF($Y133="","",SUMIFS('Per Line'!$X$2:$X$1001,'Per Line'!$D$2:$D$1001,$B133,'Per Line'!$AO$2:$AO$1001,0,'Per Line'!$AP$2:$AP$1001,0))</f>
        <v/>
      </c>
      <c r="Q133" s="7">
        <f>IF($Y133="","",P133*O133)</f>
        <v/>
      </c>
      <c r="R133">
        <f>IF($Y133="","",Settings!$C$6)</f>
        <v/>
      </c>
      <c r="S133" s="7">
        <f>IF($Y133="","",SUMIFS('Per Line'!$X$2:$X$1001,'Per Line'!$D$2:$D$1001,$B133,'Per Line'!$AO$2:$AO$1001,1,'Per Line'!$AP$2:$AP$1001,0))</f>
        <v/>
      </c>
      <c r="T133" s="7">
        <f>IF($Y133="","",S133*R133)</f>
        <v/>
      </c>
      <c r="U133" s="7">
        <f>IF($Y133="","",T133+Q133)</f>
        <v/>
      </c>
      <c r="V133" s="7">
        <f>IF($Y133="","",W133-U133)</f>
        <v/>
      </c>
      <c r="W133" s="7">
        <f>IF($Y133="","",P133+S133+N133)</f>
        <v/>
      </c>
      <c r="X133" s="7">
        <f>IF($Y133="","",W133-U133-J133)</f>
        <v/>
      </c>
      <c r="Y133" s="13">
        <f>IF(ROWS($Y$2:$Y133)&lt;=MAX('Per Line'!$AN$2:$AN$1001),MATCH(ROWS($Y$2:$Y133),'Per Line'!$AN$2:$AN$1001,0),"")</f>
        <v/>
      </c>
      <c r="Z133" s="14">
        <f>IF($Y133="","",J133-I133*W133/100)</f>
        <v/>
      </c>
    </row>
    <row r="134">
      <c r="A134" s="12" t="n"/>
      <c r="B134">
        <f>IF($Y134="","",INDEX('Per Line'!$D$2:$D$1001,$Y134)&amp;"")</f>
        <v/>
      </c>
      <c r="C134">
        <f>IF($Y134="","",INDEX('Per Line'!$C$2:$C$1001,$Y134)&amp;"")</f>
        <v/>
      </c>
      <c r="D134" s="11">
        <f>IF($Y134="","",INDEX('Per Line'!$F$2:$F$1001,$Y134))</f>
        <v/>
      </c>
      <c r="E134">
        <f>IF($Y134="","",INDEX('Per Line'!$G$2:$G$1001,$Y134)&amp;"")</f>
        <v/>
      </c>
      <c r="F134">
        <f>IF($Y134="","",INDEX('Per Line'!$I$2:$I$1001,$Y134)&amp;"")</f>
        <v/>
      </c>
      <c r="G134">
        <f>IF($Y134="","",INDEX('Per Line'!$J$2:$J$1001,$Y134)&amp;"")</f>
        <v/>
      </c>
      <c r="H134">
        <f>IF($Y134="","",INDEX('Per Line'!$K$2:$K$1001,$Y134)&amp;"")</f>
        <v/>
      </c>
      <c r="I134">
        <f>IF($Y134="","",INDEX('Per Line'!$O$2:$O$1001,$Y134))</f>
        <v/>
      </c>
      <c r="J134" s="7">
        <f>IF($Y134="","",IF(AND(ISNUMBER(L134),L134&gt;0,W134&gt;L134),I134*L134/100+(W134-L134),I134*W134/100))</f>
        <v/>
      </c>
      <c r="K134">
        <f>IF($Y134="","",INDEX('Per Line'!$Y$2:$Y$1001,$Y134)&amp;"")</f>
        <v/>
      </c>
      <c r="L134">
        <f>IF($Y134="","",INDEX('Per Line'!$AF$2:$AF$1001,$Y134))</f>
        <v/>
      </c>
      <c r="M134">
        <f>IF($Y134="","",IF(AND(ISNUMBER(L134),L134&gt;0),W134&gt;L134,FALSE))</f>
        <v/>
      </c>
      <c r="N134" s="7">
        <f>IF($Y134="","",SUMIFS('Per Line'!$X$2:$X$1001,'Per Line'!$D$2:$D$1001,$B134,'Per Line'!$AP$2:$AP$1001,1))</f>
        <v/>
      </c>
      <c r="O134">
        <f>IF($Y134="","",Settings!$C$7)</f>
        <v/>
      </c>
      <c r="P134" s="7">
        <f>IF($Y134="","",SUMIFS('Per Line'!$X$2:$X$1001,'Per Line'!$D$2:$D$1001,$B134,'Per Line'!$AO$2:$AO$1001,0,'Per Line'!$AP$2:$AP$1001,0))</f>
        <v/>
      </c>
      <c r="Q134" s="7">
        <f>IF($Y134="","",P134*O134)</f>
        <v/>
      </c>
      <c r="R134">
        <f>IF($Y134="","",Settings!$C$6)</f>
        <v/>
      </c>
      <c r="S134" s="7">
        <f>IF($Y134="","",SUMIFS('Per Line'!$X$2:$X$1001,'Per Line'!$D$2:$D$1001,$B134,'Per Line'!$AO$2:$AO$1001,1,'Per Line'!$AP$2:$AP$1001,0))</f>
        <v/>
      </c>
      <c r="T134" s="7">
        <f>IF($Y134="","",S134*R134)</f>
        <v/>
      </c>
      <c r="U134" s="7">
        <f>IF($Y134="","",T134+Q134)</f>
        <v/>
      </c>
      <c r="V134" s="7">
        <f>IF($Y134="","",W134-U134)</f>
        <v/>
      </c>
      <c r="W134" s="7">
        <f>IF($Y134="","",P134+S134+N134)</f>
        <v/>
      </c>
      <c r="X134" s="7">
        <f>IF($Y134="","",W134-U134-J134)</f>
        <v/>
      </c>
      <c r="Y134" s="13">
        <f>IF(ROWS($Y$2:$Y134)&lt;=MAX('Per Line'!$AN$2:$AN$1001),MATCH(ROWS($Y$2:$Y134),'Per Line'!$AN$2:$AN$1001,0),"")</f>
        <v/>
      </c>
      <c r="Z134" s="14">
        <f>IF($Y134="","",J134-I134*W134/100)</f>
        <v/>
      </c>
    </row>
    <row r="135">
      <c r="A135" s="12" t="n"/>
      <c r="B135">
        <f>IF($Y135="","",INDEX('Per Line'!$D$2:$D$1001,$Y135)&amp;"")</f>
        <v/>
      </c>
      <c r="C135">
        <f>IF($Y135="","",INDEX('Per Line'!$C$2:$C$1001,$Y135)&amp;"")</f>
        <v/>
      </c>
      <c r="D135" s="11">
        <f>IF($Y135="","",INDEX('Per Line'!$F$2:$F$1001,$Y135))</f>
        <v/>
      </c>
      <c r="E135">
        <f>IF($Y135="","",INDEX('Per Line'!$G$2:$G$1001,$Y135)&amp;"")</f>
        <v/>
      </c>
      <c r="F135">
        <f>IF($Y135="","",INDEX('Per Line'!$I$2:$I$1001,$Y135)&amp;"")</f>
        <v/>
      </c>
      <c r="G135">
        <f>IF($Y135="","",INDEX('Per Line'!$J$2:$J$1001,$Y135)&amp;"")</f>
        <v/>
      </c>
      <c r="H135">
        <f>IF($Y135="","",INDEX('Per Line'!$K$2:$K$1001,$Y135)&amp;"")</f>
        <v/>
      </c>
      <c r="I135">
        <f>IF($Y135="","",INDEX('Per Line'!$O$2:$O$1001,$Y135))</f>
        <v/>
      </c>
      <c r="J135" s="7">
        <f>IF($Y135="","",IF(AND(ISNUMBER(L135),L135&gt;0,W135&gt;L135),I135*L135/100+(W135-L135),I135*W135/100))</f>
        <v/>
      </c>
      <c r="K135">
        <f>IF($Y135="","",INDEX('Per Line'!$Y$2:$Y$1001,$Y135)&amp;"")</f>
        <v/>
      </c>
      <c r="L135">
        <f>IF($Y135="","",INDEX('Per Line'!$AF$2:$AF$1001,$Y135))</f>
        <v/>
      </c>
      <c r="M135">
        <f>IF($Y135="","",IF(AND(ISNUMBER(L135),L135&gt;0),W135&gt;L135,FALSE))</f>
        <v/>
      </c>
      <c r="N135" s="7">
        <f>IF($Y135="","",SUMIFS('Per Line'!$X$2:$X$1001,'Per Line'!$D$2:$D$1001,$B135,'Per Line'!$AP$2:$AP$1001,1))</f>
        <v/>
      </c>
      <c r="O135">
        <f>IF($Y135="","",Settings!$C$7)</f>
        <v/>
      </c>
      <c r="P135" s="7">
        <f>IF($Y135="","",SUMIFS('Per Line'!$X$2:$X$1001,'Per Line'!$D$2:$D$1001,$B135,'Per Line'!$AO$2:$AO$1001,0,'Per Line'!$AP$2:$AP$1001,0))</f>
        <v/>
      </c>
      <c r="Q135" s="7">
        <f>IF($Y135="","",P135*O135)</f>
        <v/>
      </c>
      <c r="R135">
        <f>IF($Y135="","",Settings!$C$6)</f>
        <v/>
      </c>
      <c r="S135" s="7">
        <f>IF($Y135="","",SUMIFS('Per Line'!$X$2:$X$1001,'Per Line'!$D$2:$D$1001,$B135,'Per Line'!$AO$2:$AO$1001,1,'Per Line'!$AP$2:$AP$1001,0))</f>
        <v/>
      </c>
      <c r="T135" s="7">
        <f>IF($Y135="","",S135*R135)</f>
        <v/>
      </c>
      <c r="U135" s="7">
        <f>IF($Y135="","",T135+Q135)</f>
        <v/>
      </c>
      <c r="V135" s="7">
        <f>IF($Y135="","",W135-U135)</f>
        <v/>
      </c>
      <c r="W135" s="7">
        <f>IF($Y135="","",P135+S135+N135)</f>
        <v/>
      </c>
      <c r="X135" s="7">
        <f>IF($Y135="","",W135-U135-J135)</f>
        <v/>
      </c>
      <c r="Y135" s="13">
        <f>IF(ROWS($Y$2:$Y135)&lt;=MAX('Per Line'!$AN$2:$AN$1001),MATCH(ROWS($Y$2:$Y135),'Per Line'!$AN$2:$AN$1001,0),"")</f>
        <v/>
      </c>
      <c r="Z135" s="14">
        <f>IF($Y135="","",J135-I135*W135/100)</f>
        <v/>
      </c>
    </row>
    <row r="136">
      <c r="A136" s="12" t="n"/>
      <c r="B136">
        <f>IF($Y136="","",INDEX('Per Line'!$D$2:$D$1001,$Y136)&amp;"")</f>
        <v/>
      </c>
      <c r="C136">
        <f>IF($Y136="","",INDEX('Per Line'!$C$2:$C$1001,$Y136)&amp;"")</f>
        <v/>
      </c>
      <c r="D136" s="11">
        <f>IF($Y136="","",INDEX('Per Line'!$F$2:$F$1001,$Y136))</f>
        <v/>
      </c>
      <c r="E136">
        <f>IF($Y136="","",INDEX('Per Line'!$G$2:$G$1001,$Y136)&amp;"")</f>
        <v/>
      </c>
      <c r="F136">
        <f>IF($Y136="","",INDEX('Per Line'!$I$2:$I$1001,$Y136)&amp;"")</f>
        <v/>
      </c>
      <c r="G136">
        <f>IF($Y136="","",INDEX('Per Line'!$J$2:$J$1001,$Y136)&amp;"")</f>
        <v/>
      </c>
      <c r="H136">
        <f>IF($Y136="","",INDEX('Per Line'!$K$2:$K$1001,$Y136)&amp;"")</f>
        <v/>
      </c>
      <c r="I136">
        <f>IF($Y136="","",INDEX('Per Line'!$O$2:$O$1001,$Y136))</f>
        <v/>
      </c>
      <c r="J136" s="7">
        <f>IF($Y136="","",IF(AND(ISNUMBER(L136),L136&gt;0,W136&gt;L136),I136*L136/100+(W136-L136),I136*W136/100))</f>
        <v/>
      </c>
      <c r="K136">
        <f>IF($Y136="","",INDEX('Per Line'!$Y$2:$Y$1001,$Y136)&amp;"")</f>
        <v/>
      </c>
      <c r="L136">
        <f>IF($Y136="","",INDEX('Per Line'!$AF$2:$AF$1001,$Y136))</f>
        <v/>
      </c>
      <c r="M136">
        <f>IF($Y136="","",IF(AND(ISNUMBER(L136),L136&gt;0),W136&gt;L136,FALSE))</f>
        <v/>
      </c>
      <c r="N136" s="7">
        <f>IF($Y136="","",SUMIFS('Per Line'!$X$2:$X$1001,'Per Line'!$D$2:$D$1001,$B136,'Per Line'!$AP$2:$AP$1001,1))</f>
        <v/>
      </c>
      <c r="O136">
        <f>IF($Y136="","",Settings!$C$7)</f>
        <v/>
      </c>
      <c r="P136" s="7">
        <f>IF($Y136="","",SUMIFS('Per Line'!$X$2:$X$1001,'Per Line'!$D$2:$D$1001,$B136,'Per Line'!$AO$2:$AO$1001,0,'Per Line'!$AP$2:$AP$1001,0))</f>
        <v/>
      </c>
      <c r="Q136" s="7">
        <f>IF($Y136="","",P136*O136)</f>
        <v/>
      </c>
      <c r="R136">
        <f>IF($Y136="","",Settings!$C$6)</f>
        <v/>
      </c>
      <c r="S136" s="7">
        <f>IF($Y136="","",SUMIFS('Per Line'!$X$2:$X$1001,'Per Line'!$D$2:$D$1001,$B136,'Per Line'!$AO$2:$AO$1001,1,'Per Line'!$AP$2:$AP$1001,0))</f>
        <v/>
      </c>
      <c r="T136" s="7">
        <f>IF($Y136="","",S136*R136)</f>
        <v/>
      </c>
      <c r="U136" s="7">
        <f>IF($Y136="","",T136+Q136)</f>
        <v/>
      </c>
      <c r="V136" s="7">
        <f>IF($Y136="","",W136-U136)</f>
        <v/>
      </c>
      <c r="W136" s="7">
        <f>IF($Y136="","",P136+S136+N136)</f>
        <v/>
      </c>
      <c r="X136" s="7">
        <f>IF($Y136="","",W136-U136-J136)</f>
        <v/>
      </c>
      <c r="Y136" s="13">
        <f>IF(ROWS($Y$2:$Y136)&lt;=MAX('Per Line'!$AN$2:$AN$1001),MATCH(ROWS($Y$2:$Y136),'Per Line'!$AN$2:$AN$1001,0),"")</f>
        <v/>
      </c>
      <c r="Z136" s="14">
        <f>IF($Y136="","",J136-I136*W136/100)</f>
        <v/>
      </c>
    </row>
    <row r="137">
      <c r="A137" s="12" t="n"/>
      <c r="B137">
        <f>IF($Y137="","",INDEX('Per Line'!$D$2:$D$1001,$Y137)&amp;"")</f>
        <v/>
      </c>
      <c r="C137">
        <f>IF($Y137="","",INDEX('Per Line'!$C$2:$C$1001,$Y137)&amp;"")</f>
        <v/>
      </c>
      <c r="D137" s="11">
        <f>IF($Y137="","",INDEX('Per Line'!$F$2:$F$1001,$Y137))</f>
        <v/>
      </c>
      <c r="E137">
        <f>IF($Y137="","",INDEX('Per Line'!$G$2:$G$1001,$Y137)&amp;"")</f>
        <v/>
      </c>
      <c r="F137">
        <f>IF($Y137="","",INDEX('Per Line'!$I$2:$I$1001,$Y137)&amp;"")</f>
        <v/>
      </c>
      <c r="G137">
        <f>IF($Y137="","",INDEX('Per Line'!$J$2:$J$1001,$Y137)&amp;"")</f>
        <v/>
      </c>
      <c r="H137">
        <f>IF($Y137="","",INDEX('Per Line'!$K$2:$K$1001,$Y137)&amp;"")</f>
        <v/>
      </c>
      <c r="I137">
        <f>IF($Y137="","",INDEX('Per Line'!$O$2:$O$1001,$Y137))</f>
        <v/>
      </c>
      <c r="J137" s="7">
        <f>IF($Y137="","",IF(AND(ISNUMBER(L137),L137&gt;0,W137&gt;L137),I137*L137/100+(W137-L137),I137*W137/100))</f>
        <v/>
      </c>
      <c r="K137">
        <f>IF($Y137="","",INDEX('Per Line'!$Y$2:$Y$1001,$Y137)&amp;"")</f>
        <v/>
      </c>
      <c r="L137">
        <f>IF($Y137="","",INDEX('Per Line'!$AF$2:$AF$1001,$Y137))</f>
        <v/>
      </c>
      <c r="M137">
        <f>IF($Y137="","",IF(AND(ISNUMBER(L137),L137&gt;0),W137&gt;L137,FALSE))</f>
        <v/>
      </c>
      <c r="N137" s="7">
        <f>IF($Y137="","",SUMIFS('Per Line'!$X$2:$X$1001,'Per Line'!$D$2:$D$1001,$B137,'Per Line'!$AP$2:$AP$1001,1))</f>
        <v/>
      </c>
      <c r="O137">
        <f>IF($Y137="","",Settings!$C$7)</f>
        <v/>
      </c>
      <c r="P137" s="7">
        <f>IF($Y137="","",SUMIFS('Per Line'!$X$2:$X$1001,'Per Line'!$D$2:$D$1001,$B137,'Per Line'!$AO$2:$AO$1001,0,'Per Line'!$AP$2:$AP$1001,0))</f>
        <v/>
      </c>
      <c r="Q137" s="7">
        <f>IF($Y137="","",P137*O137)</f>
        <v/>
      </c>
      <c r="R137">
        <f>IF($Y137="","",Settings!$C$6)</f>
        <v/>
      </c>
      <c r="S137" s="7">
        <f>IF($Y137="","",SUMIFS('Per Line'!$X$2:$X$1001,'Per Line'!$D$2:$D$1001,$B137,'Per Line'!$AO$2:$AO$1001,1,'Per Line'!$AP$2:$AP$1001,0))</f>
        <v/>
      </c>
      <c r="T137" s="7">
        <f>IF($Y137="","",S137*R137)</f>
        <v/>
      </c>
      <c r="U137" s="7">
        <f>IF($Y137="","",T137+Q137)</f>
        <v/>
      </c>
      <c r="V137" s="7">
        <f>IF($Y137="","",W137-U137)</f>
        <v/>
      </c>
      <c r="W137" s="7">
        <f>IF($Y137="","",P137+S137+N137)</f>
        <v/>
      </c>
      <c r="X137" s="7">
        <f>IF($Y137="","",W137-U137-J137)</f>
        <v/>
      </c>
      <c r="Y137" s="13">
        <f>IF(ROWS($Y$2:$Y137)&lt;=MAX('Per Line'!$AN$2:$AN$1001),MATCH(ROWS($Y$2:$Y137),'Per Line'!$AN$2:$AN$1001,0),"")</f>
        <v/>
      </c>
      <c r="Z137" s="14">
        <f>IF($Y137="","",J137-I137*W137/100)</f>
        <v/>
      </c>
    </row>
    <row r="138">
      <c r="A138" s="12" t="n"/>
      <c r="B138">
        <f>IF($Y138="","",INDEX('Per Line'!$D$2:$D$1001,$Y138)&amp;"")</f>
        <v/>
      </c>
      <c r="C138">
        <f>IF($Y138="","",INDEX('Per Line'!$C$2:$C$1001,$Y138)&amp;"")</f>
        <v/>
      </c>
      <c r="D138" s="11">
        <f>IF($Y138="","",INDEX('Per Line'!$F$2:$F$1001,$Y138))</f>
        <v/>
      </c>
      <c r="E138">
        <f>IF($Y138="","",INDEX('Per Line'!$G$2:$G$1001,$Y138)&amp;"")</f>
        <v/>
      </c>
      <c r="F138">
        <f>IF($Y138="","",INDEX('Per Line'!$I$2:$I$1001,$Y138)&amp;"")</f>
        <v/>
      </c>
      <c r="G138">
        <f>IF($Y138="","",INDEX('Per Line'!$J$2:$J$1001,$Y138)&amp;"")</f>
        <v/>
      </c>
      <c r="H138">
        <f>IF($Y138="","",INDEX('Per Line'!$K$2:$K$1001,$Y138)&amp;"")</f>
        <v/>
      </c>
      <c r="I138">
        <f>IF($Y138="","",INDEX('Per Line'!$O$2:$O$1001,$Y138))</f>
        <v/>
      </c>
      <c r="J138" s="7">
        <f>IF($Y138="","",IF(AND(ISNUMBER(L138),L138&gt;0,W138&gt;L138),I138*L138/100+(W138-L138),I138*W138/100))</f>
        <v/>
      </c>
      <c r="K138">
        <f>IF($Y138="","",INDEX('Per Line'!$Y$2:$Y$1001,$Y138)&amp;"")</f>
        <v/>
      </c>
      <c r="L138">
        <f>IF($Y138="","",INDEX('Per Line'!$AF$2:$AF$1001,$Y138))</f>
        <v/>
      </c>
      <c r="M138">
        <f>IF($Y138="","",IF(AND(ISNUMBER(L138),L138&gt;0),W138&gt;L138,FALSE))</f>
        <v/>
      </c>
      <c r="N138" s="7">
        <f>IF($Y138="","",SUMIFS('Per Line'!$X$2:$X$1001,'Per Line'!$D$2:$D$1001,$B138,'Per Line'!$AP$2:$AP$1001,1))</f>
        <v/>
      </c>
      <c r="O138">
        <f>IF($Y138="","",Settings!$C$7)</f>
        <v/>
      </c>
      <c r="P138" s="7">
        <f>IF($Y138="","",SUMIFS('Per Line'!$X$2:$X$1001,'Per Line'!$D$2:$D$1001,$B138,'Per Line'!$AO$2:$AO$1001,0,'Per Line'!$AP$2:$AP$1001,0))</f>
        <v/>
      </c>
      <c r="Q138" s="7">
        <f>IF($Y138="","",P138*O138)</f>
        <v/>
      </c>
      <c r="R138">
        <f>IF($Y138="","",Settings!$C$6)</f>
        <v/>
      </c>
      <c r="S138" s="7">
        <f>IF($Y138="","",SUMIFS('Per Line'!$X$2:$X$1001,'Per Line'!$D$2:$D$1001,$B138,'Per Line'!$AO$2:$AO$1001,1,'Per Line'!$AP$2:$AP$1001,0))</f>
        <v/>
      </c>
      <c r="T138" s="7">
        <f>IF($Y138="","",S138*R138)</f>
        <v/>
      </c>
      <c r="U138" s="7">
        <f>IF($Y138="","",T138+Q138)</f>
        <v/>
      </c>
      <c r="V138" s="7">
        <f>IF($Y138="","",W138-U138)</f>
        <v/>
      </c>
      <c r="W138" s="7">
        <f>IF($Y138="","",P138+S138+N138)</f>
        <v/>
      </c>
      <c r="X138" s="7">
        <f>IF($Y138="","",W138-U138-J138)</f>
        <v/>
      </c>
      <c r="Y138" s="13">
        <f>IF(ROWS($Y$2:$Y138)&lt;=MAX('Per Line'!$AN$2:$AN$1001),MATCH(ROWS($Y$2:$Y138),'Per Line'!$AN$2:$AN$1001,0),"")</f>
        <v/>
      </c>
      <c r="Z138" s="14">
        <f>IF($Y138="","",J138-I138*W138/100)</f>
        <v/>
      </c>
    </row>
    <row r="139">
      <c r="A139" s="12" t="n"/>
      <c r="B139">
        <f>IF($Y139="","",INDEX('Per Line'!$D$2:$D$1001,$Y139)&amp;"")</f>
        <v/>
      </c>
      <c r="C139">
        <f>IF($Y139="","",INDEX('Per Line'!$C$2:$C$1001,$Y139)&amp;"")</f>
        <v/>
      </c>
      <c r="D139" s="11">
        <f>IF($Y139="","",INDEX('Per Line'!$F$2:$F$1001,$Y139))</f>
        <v/>
      </c>
      <c r="E139">
        <f>IF($Y139="","",INDEX('Per Line'!$G$2:$G$1001,$Y139)&amp;"")</f>
        <v/>
      </c>
      <c r="F139">
        <f>IF($Y139="","",INDEX('Per Line'!$I$2:$I$1001,$Y139)&amp;"")</f>
        <v/>
      </c>
      <c r="G139">
        <f>IF($Y139="","",INDEX('Per Line'!$J$2:$J$1001,$Y139)&amp;"")</f>
        <v/>
      </c>
      <c r="H139">
        <f>IF($Y139="","",INDEX('Per Line'!$K$2:$K$1001,$Y139)&amp;"")</f>
        <v/>
      </c>
      <c r="I139">
        <f>IF($Y139="","",INDEX('Per Line'!$O$2:$O$1001,$Y139))</f>
        <v/>
      </c>
      <c r="J139" s="7">
        <f>IF($Y139="","",IF(AND(ISNUMBER(L139),L139&gt;0,W139&gt;L139),I139*L139/100+(W139-L139),I139*W139/100))</f>
        <v/>
      </c>
      <c r="K139">
        <f>IF($Y139="","",INDEX('Per Line'!$Y$2:$Y$1001,$Y139)&amp;"")</f>
        <v/>
      </c>
      <c r="L139">
        <f>IF($Y139="","",INDEX('Per Line'!$AF$2:$AF$1001,$Y139))</f>
        <v/>
      </c>
      <c r="M139">
        <f>IF($Y139="","",IF(AND(ISNUMBER(L139),L139&gt;0),W139&gt;L139,FALSE))</f>
        <v/>
      </c>
      <c r="N139" s="7">
        <f>IF($Y139="","",SUMIFS('Per Line'!$X$2:$X$1001,'Per Line'!$D$2:$D$1001,$B139,'Per Line'!$AP$2:$AP$1001,1))</f>
        <v/>
      </c>
      <c r="O139">
        <f>IF($Y139="","",Settings!$C$7)</f>
        <v/>
      </c>
      <c r="P139" s="7">
        <f>IF($Y139="","",SUMIFS('Per Line'!$X$2:$X$1001,'Per Line'!$D$2:$D$1001,$B139,'Per Line'!$AO$2:$AO$1001,0,'Per Line'!$AP$2:$AP$1001,0))</f>
        <v/>
      </c>
      <c r="Q139" s="7">
        <f>IF($Y139="","",P139*O139)</f>
        <v/>
      </c>
      <c r="R139">
        <f>IF($Y139="","",Settings!$C$6)</f>
        <v/>
      </c>
      <c r="S139" s="7">
        <f>IF($Y139="","",SUMIFS('Per Line'!$X$2:$X$1001,'Per Line'!$D$2:$D$1001,$B139,'Per Line'!$AO$2:$AO$1001,1,'Per Line'!$AP$2:$AP$1001,0))</f>
        <v/>
      </c>
      <c r="T139" s="7">
        <f>IF($Y139="","",S139*R139)</f>
        <v/>
      </c>
      <c r="U139" s="7">
        <f>IF($Y139="","",T139+Q139)</f>
        <v/>
      </c>
      <c r="V139" s="7">
        <f>IF($Y139="","",W139-U139)</f>
        <v/>
      </c>
      <c r="W139" s="7">
        <f>IF($Y139="","",P139+S139+N139)</f>
        <v/>
      </c>
      <c r="X139" s="7">
        <f>IF($Y139="","",W139-U139-J139)</f>
        <v/>
      </c>
      <c r="Y139" s="13">
        <f>IF(ROWS($Y$2:$Y139)&lt;=MAX('Per Line'!$AN$2:$AN$1001),MATCH(ROWS($Y$2:$Y139),'Per Line'!$AN$2:$AN$1001,0),"")</f>
        <v/>
      </c>
      <c r="Z139" s="14">
        <f>IF($Y139="","",J139-I139*W139/100)</f>
        <v/>
      </c>
    </row>
    <row r="140">
      <c r="A140" s="12" t="n"/>
      <c r="B140">
        <f>IF($Y140="","",INDEX('Per Line'!$D$2:$D$1001,$Y140)&amp;"")</f>
        <v/>
      </c>
      <c r="C140">
        <f>IF($Y140="","",INDEX('Per Line'!$C$2:$C$1001,$Y140)&amp;"")</f>
        <v/>
      </c>
      <c r="D140" s="11">
        <f>IF($Y140="","",INDEX('Per Line'!$F$2:$F$1001,$Y140))</f>
        <v/>
      </c>
      <c r="E140">
        <f>IF($Y140="","",INDEX('Per Line'!$G$2:$G$1001,$Y140)&amp;"")</f>
        <v/>
      </c>
      <c r="F140">
        <f>IF($Y140="","",INDEX('Per Line'!$I$2:$I$1001,$Y140)&amp;"")</f>
        <v/>
      </c>
      <c r="G140">
        <f>IF($Y140="","",INDEX('Per Line'!$J$2:$J$1001,$Y140)&amp;"")</f>
        <v/>
      </c>
      <c r="H140">
        <f>IF($Y140="","",INDEX('Per Line'!$K$2:$K$1001,$Y140)&amp;"")</f>
        <v/>
      </c>
      <c r="I140">
        <f>IF($Y140="","",INDEX('Per Line'!$O$2:$O$1001,$Y140))</f>
        <v/>
      </c>
      <c r="J140" s="7">
        <f>IF($Y140="","",IF(AND(ISNUMBER(L140),L140&gt;0,W140&gt;L140),I140*L140/100+(W140-L140),I140*W140/100))</f>
        <v/>
      </c>
      <c r="K140">
        <f>IF($Y140="","",INDEX('Per Line'!$Y$2:$Y$1001,$Y140)&amp;"")</f>
        <v/>
      </c>
      <c r="L140">
        <f>IF($Y140="","",INDEX('Per Line'!$AF$2:$AF$1001,$Y140))</f>
        <v/>
      </c>
      <c r="M140">
        <f>IF($Y140="","",IF(AND(ISNUMBER(L140),L140&gt;0),W140&gt;L140,FALSE))</f>
        <v/>
      </c>
      <c r="N140" s="7">
        <f>IF($Y140="","",SUMIFS('Per Line'!$X$2:$X$1001,'Per Line'!$D$2:$D$1001,$B140,'Per Line'!$AP$2:$AP$1001,1))</f>
        <v/>
      </c>
      <c r="O140">
        <f>IF($Y140="","",Settings!$C$7)</f>
        <v/>
      </c>
      <c r="P140" s="7">
        <f>IF($Y140="","",SUMIFS('Per Line'!$X$2:$X$1001,'Per Line'!$D$2:$D$1001,$B140,'Per Line'!$AO$2:$AO$1001,0,'Per Line'!$AP$2:$AP$1001,0))</f>
        <v/>
      </c>
      <c r="Q140" s="7">
        <f>IF($Y140="","",P140*O140)</f>
        <v/>
      </c>
      <c r="R140">
        <f>IF($Y140="","",Settings!$C$6)</f>
        <v/>
      </c>
      <c r="S140" s="7">
        <f>IF($Y140="","",SUMIFS('Per Line'!$X$2:$X$1001,'Per Line'!$D$2:$D$1001,$B140,'Per Line'!$AO$2:$AO$1001,1,'Per Line'!$AP$2:$AP$1001,0))</f>
        <v/>
      </c>
      <c r="T140" s="7">
        <f>IF($Y140="","",S140*R140)</f>
        <v/>
      </c>
      <c r="U140" s="7">
        <f>IF($Y140="","",T140+Q140)</f>
        <v/>
      </c>
      <c r="V140" s="7">
        <f>IF($Y140="","",W140-U140)</f>
        <v/>
      </c>
      <c r="W140" s="7">
        <f>IF($Y140="","",P140+S140+N140)</f>
        <v/>
      </c>
      <c r="X140" s="7">
        <f>IF($Y140="","",W140-U140-J140)</f>
        <v/>
      </c>
      <c r="Y140" s="13">
        <f>IF(ROWS($Y$2:$Y140)&lt;=MAX('Per Line'!$AN$2:$AN$1001),MATCH(ROWS($Y$2:$Y140),'Per Line'!$AN$2:$AN$1001,0),"")</f>
        <v/>
      </c>
      <c r="Z140" s="14">
        <f>IF($Y140="","",J140-I140*W140/100)</f>
        <v/>
      </c>
    </row>
    <row r="141">
      <c r="A141" s="12" t="n"/>
      <c r="B141">
        <f>IF($Y141="","",INDEX('Per Line'!$D$2:$D$1001,$Y141)&amp;"")</f>
        <v/>
      </c>
      <c r="C141">
        <f>IF($Y141="","",INDEX('Per Line'!$C$2:$C$1001,$Y141)&amp;"")</f>
        <v/>
      </c>
      <c r="D141" s="11">
        <f>IF($Y141="","",INDEX('Per Line'!$F$2:$F$1001,$Y141))</f>
        <v/>
      </c>
      <c r="E141">
        <f>IF($Y141="","",INDEX('Per Line'!$G$2:$G$1001,$Y141)&amp;"")</f>
        <v/>
      </c>
      <c r="F141">
        <f>IF($Y141="","",INDEX('Per Line'!$I$2:$I$1001,$Y141)&amp;"")</f>
        <v/>
      </c>
      <c r="G141">
        <f>IF($Y141="","",INDEX('Per Line'!$J$2:$J$1001,$Y141)&amp;"")</f>
        <v/>
      </c>
      <c r="H141">
        <f>IF($Y141="","",INDEX('Per Line'!$K$2:$K$1001,$Y141)&amp;"")</f>
        <v/>
      </c>
      <c r="I141">
        <f>IF($Y141="","",INDEX('Per Line'!$O$2:$O$1001,$Y141))</f>
        <v/>
      </c>
      <c r="J141" s="7">
        <f>IF($Y141="","",IF(AND(ISNUMBER(L141),L141&gt;0,W141&gt;L141),I141*L141/100+(W141-L141),I141*W141/100))</f>
        <v/>
      </c>
      <c r="K141">
        <f>IF($Y141="","",INDEX('Per Line'!$Y$2:$Y$1001,$Y141)&amp;"")</f>
        <v/>
      </c>
      <c r="L141">
        <f>IF($Y141="","",INDEX('Per Line'!$AF$2:$AF$1001,$Y141))</f>
        <v/>
      </c>
      <c r="M141">
        <f>IF($Y141="","",IF(AND(ISNUMBER(L141),L141&gt;0),W141&gt;L141,FALSE))</f>
        <v/>
      </c>
      <c r="N141" s="7">
        <f>IF($Y141="","",SUMIFS('Per Line'!$X$2:$X$1001,'Per Line'!$D$2:$D$1001,$B141,'Per Line'!$AP$2:$AP$1001,1))</f>
        <v/>
      </c>
      <c r="O141">
        <f>IF($Y141="","",Settings!$C$7)</f>
        <v/>
      </c>
      <c r="P141" s="7">
        <f>IF($Y141="","",SUMIFS('Per Line'!$X$2:$X$1001,'Per Line'!$D$2:$D$1001,$B141,'Per Line'!$AO$2:$AO$1001,0,'Per Line'!$AP$2:$AP$1001,0))</f>
        <v/>
      </c>
      <c r="Q141" s="7">
        <f>IF($Y141="","",P141*O141)</f>
        <v/>
      </c>
      <c r="R141">
        <f>IF($Y141="","",Settings!$C$6)</f>
        <v/>
      </c>
      <c r="S141" s="7">
        <f>IF($Y141="","",SUMIFS('Per Line'!$X$2:$X$1001,'Per Line'!$D$2:$D$1001,$B141,'Per Line'!$AO$2:$AO$1001,1,'Per Line'!$AP$2:$AP$1001,0))</f>
        <v/>
      </c>
      <c r="T141" s="7">
        <f>IF($Y141="","",S141*R141)</f>
        <v/>
      </c>
      <c r="U141" s="7">
        <f>IF($Y141="","",T141+Q141)</f>
        <v/>
      </c>
      <c r="V141" s="7">
        <f>IF($Y141="","",W141-U141)</f>
        <v/>
      </c>
      <c r="W141" s="7">
        <f>IF($Y141="","",P141+S141+N141)</f>
        <v/>
      </c>
      <c r="X141" s="7">
        <f>IF($Y141="","",W141-U141-J141)</f>
        <v/>
      </c>
      <c r="Y141" s="13">
        <f>IF(ROWS($Y$2:$Y141)&lt;=MAX('Per Line'!$AN$2:$AN$1001),MATCH(ROWS($Y$2:$Y141),'Per Line'!$AN$2:$AN$1001,0),"")</f>
        <v/>
      </c>
      <c r="Z141" s="14">
        <f>IF($Y141="","",J141-I141*W141/100)</f>
        <v/>
      </c>
    </row>
    <row r="142">
      <c r="A142" s="12" t="n"/>
      <c r="B142">
        <f>IF($Y142="","",INDEX('Per Line'!$D$2:$D$1001,$Y142)&amp;"")</f>
        <v/>
      </c>
      <c r="C142">
        <f>IF($Y142="","",INDEX('Per Line'!$C$2:$C$1001,$Y142)&amp;"")</f>
        <v/>
      </c>
      <c r="D142" s="11">
        <f>IF($Y142="","",INDEX('Per Line'!$F$2:$F$1001,$Y142))</f>
        <v/>
      </c>
      <c r="E142">
        <f>IF($Y142="","",INDEX('Per Line'!$G$2:$G$1001,$Y142)&amp;"")</f>
        <v/>
      </c>
      <c r="F142">
        <f>IF($Y142="","",INDEX('Per Line'!$I$2:$I$1001,$Y142)&amp;"")</f>
        <v/>
      </c>
      <c r="G142">
        <f>IF($Y142="","",INDEX('Per Line'!$J$2:$J$1001,$Y142)&amp;"")</f>
        <v/>
      </c>
      <c r="H142">
        <f>IF($Y142="","",INDEX('Per Line'!$K$2:$K$1001,$Y142)&amp;"")</f>
        <v/>
      </c>
      <c r="I142">
        <f>IF($Y142="","",INDEX('Per Line'!$O$2:$O$1001,$Y142))</f>
        <v/>
      </c>
      <c r="J142" s="7">
        <f>IF($Y142="","",IF(AND(ISNUMBER(L142),L142&gt;0,W142&gt;L142),I142*L142/100+(W142-L142),I142*W142/100))</f>
        <v/>
      </c>
      <c r="K142">
        <f>IF($Y142="","",INDEX('Per Line'!$Y$2:$Y$1001,$Y142)&amp;"")</f>
        <v/>
      </c>
      <c r="L142">
        <f>IF($Y142="","",INDEX('Per Line'!$AF$2:$AF$1001,$Y142))</f>
        <v/>
      </c>
      <c r="M142">
        <f>IF($Y142="","",IF(AND(ISNUMBER(L142),L142&gt;0),W142&gt;L142,FALSE))</f>
        <v/>
      </c>
      <c r="N142" s="7">
        <f>IF($Y142="","",SUMIFS('Per Line'!$X$2:$X$1001,'Per Line'!$D$2:$D$1001,$B142,'Per Line'!$AP$2:$AP$1001,1))</f>
        <v/>
      </c>
      <c r="O142">
        <f>IF($Y142="","",Settings!$C$7)</f>
        <v/>
      </c>
      <c r="P142" s="7">
        <f>IF($Y142="","",SUMIFS('Per Line'!$X$2:$X$1001,'Per Line'!$D$2:$D$1001,$B142,'Per Line'!$AO$2:$AO$1001,0,'Per Line'!$AP$2:$AP$1001,0))</f>
        <v/>
      </c>
      <c r="Q142" s="7">
        <f>IF($Y142="","",P142*O142)</f>
        <v/>
      </c>
      <c r="R142">
        <f>IF($Y142="","",Settings!$C$6)</f>
        <v/>
      </c>
      <c r="S142" s="7">
        <f>IF($Y142="","",SUMIFS('Per Line'!$X$2:$X$1001,'Per Line'!$D$2:$D$1001,$B142,'Per Line'!$AO$2:$AO$1001,1,'Per Line'!$AP$2:$AP$1001,0))</f>
        <v/>
      </c>
      <c r="T142" s="7">
        <f>IF($Y142="","",S142*R142)</f>
        <v/>
      </c>
      <c r="U142" s="7">
        <f>IF($Y142="","",T142+Q142)</f>
        <v/>
      </c>
      <c r="V142" s="7">
        <f>IF($Y142="","",W142-U142)</f>
        <v/>
      </c>
      <c r="W142" s="7">
        <f>IF($Y142="","",P142+S142+N142)</f>
        <v/>
      </c>
      <c r="X142" s="7">
        <f>IF($Y142="","",W142-U142-J142)</f>
        <v/>
      </c>
      <c r="Y142" s="13">
        <f>IF(ROWS($Y$2:$Y142)&lt;=MAX('Per Line'!$AN$2:$AN$1001),MATCH(ROWS($Y$2:$Y142),'Per Line'!$AN$2:$AN$1001,0),"")</f>
        <v/>
      </c>
      <c r="Z142" s="14">
        <f>IF($Y142="","",J142-I142*W142/100)</f>
        <v/>
      </c>
    </row>
    <row r="143">
      <c r="A143" s="12" t="n"/>
      <c r="B143">
        <f>IF($Y143="","",INDEX('Per Line'!$D$2:$D$1001,$Y143)&amp;"")</f>
        <v/>
      </c>
      <c r="C143">
        <f>IF($Y143="","",INDEX('Per Line'!$C$2:$C$1001,$Y143)&amp;"")</f>
        <v/>
      </c>
      <c r="D143" s="11">
        <f>IF($Y143="","",INDEX('Per Line'!$F$2:$F$1001,$Y143))</f>
        <v/>
      </c>
      <c r="E143">
        <f>IF($Y143="","",INDEX('Per Line'!$G$2:$G$1001,$Y143)&amp;"")</f>
        <v/>
      </c>
      <c r="F143">
        <f>IF($Y143="","",INDEX('Per Line'!$I$2:$I$1001,$Y143)&amp;"")</f>
        <v/>
      </c>
      <c r="G143">
        <f>IF($Y143="","",INDEX('Per Line'!$J$2:$J$1001,$Y143)&amp;"")</f>
        <v/>
      </c>
      <c r="H143">
        <f>IF($Y143="","",INDEX('Per Line'!$K$2:$K$1001,$Y143)&amp;"")</f>
        <v/>
      </c>
      <c r="I143">
        <f>IF($Y143="","",INDEX('Per Line'!$O$2:$O$1001,$Y143))</f>
        <v/>
      </c>
      <c r="J143" s="7">
        <f>IF($Y143="","",IF(AND(ISNUMBER(L143),L143&gt;0,W143&gt;L143),I143*L143/100+(W143-L143),I143*W143/100))</f>
        <v/>
      </c>
      <c r="K143">
        <f>IF($Y143="","",INDEX('Per Line'!$Y$2:$Y$1001,$Y143)&amp;"")</f>
        <v/>
      </c>
      <c r="L143">
        <f>IF($Y143="","",INDEX('Per Line'!$AF$2:$AF$1001,$Y143))</f>
        <v/>
      </c>
      <c r="M143">
        <f>IF($Y143="","",IF(AND(ISNUMBER(L143),L143&gt;0),W143&gt;L143,FALSE))</f>
        <v/>
      </c>
      <c r="N143" s="7">
        <f>IF($Y143="","",SUMIFS('Per Line'!$X$2:$X$1001,'Per Line'!$D$2:$D$1001,$B143,'Per Line'!$AP$2:$AP$1001,1))</f>
        <v/>
      </c>
      <c r="O143">
        <f>IF($Y143="","",Settings!$C$7)</f>
        <v/>
      </c>
      <c r="P143" s="7">
        <f>IF($Y143="","",SUMIFS('Per Line'!$X$2:$X$1001,'Per Line'!$D$2:$D$1001,$B143,'Per Line'!$AO$2:$AO$1001,0,'Per Line'!$AP$2:$AP$1001,0))</f>
        <v/>
      </c>
      <c r="Q143" s="7">
        <f>IF($Y143="","",P143*O143)</f>
        <v/>
      </c>
      <c r="R143">
        <f>IF($Y143="","",Settings!$C$6)</f>
        <v/>
      </c>
      <c r="S143" s="7">
        <f>IF($Y143="","",SUMIFS('Per Line'!$X$2:$X$1001,'Per Line'!$D$2:$D$1001,$B143,'Per Line'!$AO$2:$AO$1001,1,'Per Line'!$AP$2:$AP$1001,0))</f>
        <v/>
      </c>
      <c r="T143" s="7">
        <f>IF($Y143="","",S143*R143)</f>
        <v/>
      </c>
      <c r="U143" s="7">
        <f>IF($Y143="","",T143+Q143)</f>
        <v/>
      </c>
      <c r="V143" s="7">
        <f>IF($Y143="","",W143-U143)</f>
        <v/>
      </c>
      <c r="W143" s="7">
        <f>IF($Y143="","",P143+S143+N143)</f>
        <v/>
      </c>
      <c r="X143" s="7">
        <f>IF($Y143="","",W143-U143-J143)</f>
        <v/>
      </c>
      <c r="Y143" s="13">
        <f>IF(ROWS($Y$2:$Y143)&lt;=MAX('Per Line'!$AN$2:$AN$1001),MATCH(ROWS($Y$2:$Y143),'Per Line'!$AN$2:$AN$1001,0),"")</f>
        <v/>
      </c>
      <c r="Z143" s="14">
        <f>IF($Y143="","",J143-I143*W143/100)</f>
        <v/>
      </c>
    </row>
    <row r="144">
      <c r="A144" s="12" t="n"/>
      <c r="B144">
        <f>IF($Y144="","",INDEX('Per Line'!$D$2:$D$1001,$Y144)&amp;"")</f>
        <v/>
      </c>
      <c r="C144">
        <f>IF($Y144="","",INDEX('Per Line'!$C$2:$C$1001,$Y144)&amp;"")</f>
        <v/>
      </c>
      <c r="D144" s="11">
        <f>IF($Y144="","",INDEX('Per Line'!$F$2:$F$1001,$Y144))</f>
        <v/>
      </c>
      <c r="E144">
        <f>IF($Y144="","",INDEX('Per Line'!$G$2:$G$1001,$Y144)&amp;"")</f>
        <v/>
      </c>
      <c r="F144">
        <f>IF($Y144="","",INDEX('Per Line'!$I$2:$I$1001,$Y144)&amp;"")</f>
        <v/>
      </c>
      <c r="G144">
        <f>IF($Y144="","",INDEX('Per Line'!$J$2:$J$1001,$Y144)&amp;"")</f>
        <v/>
      </c>
      <c r="H144">
        <f>IF($Y144="","",INDEX('Per Line'!$K$2:$K$1001,$Y144)&amp;"")</f>
        <v/>
      </c>
      <c r="I144">
        <f>IF($Y144="","",INDEX('Per Line'!$O$2:$O$1001,$Y144))</f>
        <v/>
      </c>
      <c r="J144" s="7">
        <f>IF($Y144="","",IF(AND(ISNUMBER(L144),L144&gt;0,W144&gt;L144),I144*L144/100+(W144-L144),I144*W144/100))</f>
        <v/>
      </c>
      <c r="K144">
        <f>IF($Y144="","",INDEX('Per Line'!$Y$2:$Y$1001,$Y144)&amp;"")</f>
        <v/>
      </c>
      <c r="L144">
        <f>IF($Y144="","",INDEX('Per Line'!$AF$2:$AF$1001,$Y144))</f>
        <v/>
      </c>
      <c r="M144">
        <f>IF($Y144="","",IF(AND(ISNUMBER(L144),L144&gt;0),W144&gt;L144,FALSE))</f>
        <v/>
      </c>
      <c r="N144" s="7">
        <f>IF($Y144="","",SUMIFS('Per Line'!$X$2:$X$1001,'Per Line'!$D$2:$D$1001,$B144,'Per Line'!$AP$2:$AP$1001,1))</f>
        <v/>
      </c>
      <c r="O144">
        <f>IF($Y144="","",Settings!$C$7)</f>
        <v/>
      </c>
      <c r="P144" s="7">
        <f>IF($Y144="","",SUMIFS('Per Line'!$X$2:$X$1001,'Per Line'!$D$2:$D$1001,$B144,'Per Line'!$AO$2:$AO$1001,0,'Per Line'!$AP$2:$AP$1001,0))</f>
        <v/>
      </c>
      <c r="Q144" s="7">
        <f>IF($Y144="","",P144*O144)</f>
        <v/>
      </c>
      <c r="R144">
        <f>IF($Y144="","",Settings!$C$6)</f>
        <v/>
      </c>
      <c r="S144" s="7">
        <f>IF($Y144="","",SUMIFS('Per Line'!$X$2:$X$1001,'Per Line'!$D$2:$D$1001,$B144,'Per Line'!$AO$2:$AO$1001,1,'Per Line'!$AP$2:$AP$1001,0))</f>
        <v/>
      </c>
      <c r="T144" s="7">
        <f>IF($Y144="","",S144*R144)</f>
        <v/>
      </c>
      <c r="U144" s="7">
        <f>IF($Y144="","",T144+Q144)</f>
        <v/>
      </c>
      <c r="V144" s="7">
        <f>IF($Y144="","",W144-U144)</f>
        <v/>
      </c>
      <c r="W144" s="7">
        <f>IF($Y144="","",P144+S144+N144)</f>
        <v/>
      </c>
      <c r="X144" s="7">
        <f>IF($Y144="","",W144-U144-J144)</f>
        <v/>
      </c>
      <c r="Y144" s="13">
        <f>IF(ROWS($Y$2:$Y144)&lt;=MAX('Per Line'!$AN$2:$AN$1001),MATCH(ROWS($Y$2:$Y144),'Per Line'!$AN$2:$AN$1001,0),"")</f>
        <v/>
      </c>
      <c r="Z144" s="14">
        <f>IF($Y144="","",J144-I144*W144/100)</f>
        <v/>
      </c>
    </row>
    <row r="145">
      <c r="A145" s="12" t="n"/>
      <c r="B145">
        <f>IF($Y145="","",INDEX('Per Line'!$D$2:$D$1001,$Y145)&amp;"")</f>
        <v/>
      </c>
      <c r="C145">
        <f>IF($Y145="","",INDEX('Per Line'!$C$2:$C$1001,$Y145)&amp;"")</f>
        <v/>
      </c>
      <c r="D145" s="11">
        <f>IF($Y145="","",INDEX('Per Line'!$F$2:$F$1001,$Y145))</f>
        <v/>
      </c>
      <c r="E145">
        <f>IF($Y145="","",INDEX('Per Line'!$G$2:$G$1001,$Y145)&amp;"")</f>
        <v/>
      </c>
      <c r="F145">
        <f>IF($Y145="","",INDEX('Per Line'!$I$2:$I$1001,$Y145)&amp;"")</f>
        <v/>
      </c>
      <c r="G145">
        <f>IF($Y145="","",INDEX('Per Line'!$J$2:$J$1001,$Y145)&amp;"")</f>
        <v/>
      </c>
      <c r="H145">
        <f>IF($Y145="","",INDEX('Per Line'!$K$2:$K$1001,$Y145)&amp;"")</f>
        <v/>
      </c>
      <c r="I145">
        <f>IF($Y145="","",INDEX('Per Line'!$O$2:$O$1001,$Y145))</f>
        <v/>
      </c>
      <c r="J145" s="7">
        <f>IF($Y145="","",IF(AND(ISNUMBER(L145),L145&gt;0,W145&gt;L145),I145*L145/100+(W145-L145),I145*W145/100))</f>
        <v/>
      </c>
      <c r="K145">
        <f>IF($Y145="","",INDEX('Per Line'!$Y$2:$Y$1001,$Y145)&amp;"")</f>
        <v/>
      </c>
      <c r="L145">
        <f>IF($Y145="","",INDEX('Per Line'!$AF$2:$AF$1001,$Y145))</f>
        <v/>
      </c>
      <c r="M145">
        <f>IF($Y145="","",IF(AND(ISNUMBER(L145),L145&gt;0),W145&gt;L145,FALSE))</f>
        <v/>
      </c>
      <c r="N145" s="7">
        <f>IF($Y145="","",SUMIFS('Per Line'!$X$2:$X$1001,'Per Line'!$D$2:$D$1001,$B145,'Per Line'!$AP$2:$AP$1001,1))</f>
        <v/>
      </c>
      <c r="O145">
        <f>IF($Y145="","",Settings!$C$7)</f>
        <v/>
      </c>
      <c r="P145" s="7">
        <f>IF($Y145="","",SUMIFS('Per Line'!$X$2:$X$1001,'Per Line'!$D$2:$D$1001,$B145,'Per Line'!$AO$2:$AO$1001,0,'Per Line'!$AP$2:$AP$1001,0))</f>
        <v/>
      </c>
      <c r="Q145" s="7">
        <f>IF($Y145="","",P145*O145)</f>
        <v/>
      </c>
      <c r="R145">
        <f>IF($Y145="","",Settings!$C$6)</f>
        <v/>
      </c>
      <c r="S145" s="7">
        <f>IF($Y145="","",SUMIFS('Per Line'!$X$2:$X$1001,'Per Line'!$D$2:$D$1001,$B145,'Per Line'!$AO$2:$AO$1001,1,'Per Line'!$AP$2:$AP$1001,0))</f>
        <v/>
      </c>
      <c r="T145" s="7">
        <f>IF($Y145="","",S145*R145)</f>
        <v/>
      </c>
      <c r="U145" s="7">
        <f>IF($Y145="","",T145+Q145)</f>
        <v/>
      </c>
      <c r="V145" s="7">
        <f>IF($Y145="","",W145-U145)</f>
        <v/>
      </c>
      <c r="W145" s="7">
        <f>IF($Y145="","",P145+S145+N145)</f>
        <v/>
      </c>
      <c r="X145" s="7">
        <f>IF($Y145="","",W145-U145-J145)</f>
        <v/>
      </c>
      <c r="Y145" s="13">
        <f>IF(ROWS($Y$2:$Y145)&lt;=MAX('Per Line'!$AN$2:$AN$1001),MATCH(ROWS($Y$2:$Y145),'Per Line'!$AN$2:$AN$1001,0),"")</f>
        <v/>
      </c>
      <c r="Z145" s="14">
        <f>IF($Y145="","",J145-I145*W145/100)</f>
        <v/>
      </c>
    </row>
    <row r="146">
      <c r="A146" s="12" t="n"/>
      <c r="B146">
        <f>IF($Y146="","",INDEX('Per Line'!$D$2:$D$1001,$Y146)&amp;"")</f>
        <v/>
      </c>
      <c r="C146">
        <f>IF($Y146="","",INDEX('Per Line'!$C$2:$C$1001,$Y146)&amp;"")</f>
        <v/>
      </c>
      <c r="D146" s="11">
        <f>IF($Y146="","",INDEX('Per Line'!$F$2:$F$1001,$Y146))</f>
        <v/>
      </c>
      <c r="E146">
        <f>IF($Y146="","",INDEX('Per Line'!$G$2:$G$1001,$Y146)&amp;"")</f>
        <v/>
      </c>
      <c r="F146">
        <f>IF($Y146="","",INDEX('Per Line'!$I$2:$I$1001,$Y146)&amp;"")</f>
        <v/>
      </c>
      <c r="G146">
        <f>IF($Y146="","",INDEX('Per Line'!$J$2:$J$1001,$Y146)&amp;"")</f>
        <v/>
      </c>
      <c r="H146">
        <f>IF($Y146="","",INDEX('Per Line'!$K$2:$K$1001,$Y146)&amp;"")</f>
        <v/>
      </c>
      <c r="I146">
        <f>IF($Y146="","",INDEX('Per Line'!$O$2:$O$1001,$Y146))</f>
        <v/>
      </c>
      <c r="J146" s="7">
        <f>IF($Y146="","",IF(AND(ISNUMBER(L146),L146&gt;0,W146&gt;L146),I146*L146/100+(W146-L146),I146*W146/100))</f>
        <v/>
      </c>
      <c r="K146">
        <f>IF($Y146="","",INDEX('Per Line'!$Y$2:$Y$1001,$Y146)&amp;"")</f>
        <v/>
      </c>
      <c r="L146">
        <f>IF($Y146="","",INDEX('Per Line'!$AF$2:$AF$1001,$Y146))</f>
        <v/>
      </c>
      <c r="M146">
        <f>IF($Y146="","",IF(AND(ISNUMBER(L146),L146&gt;0),W146&gt;L146,FALSE))</f>
        <v/>
      </c>
      <c r="N146" s="7">
        <f>IF($Y146="","",SUMIFS('Per Line'!$X$2:$X$1001,'Per Line'!$D$2:$D$1001,$B146,'Per Line'!$AP$2:$AP$1001,1))</f>
        <v/>
      </c>
      <c r="O146">
        <f>IF($Y146="","",Settings!$C$7)</f>
        <v/>
      </c>
      <c r="P146" s="7">
        <f>IF($Y146="","",SUMIFS('Per Line'!$X$2:$X$1001,'Per Line'!$D$2:$D$1001,$B146,'Per Line'!$AO$2:$AO$1001,0,'Per Line'!$AP$2:$AP$1001,0))</f>
        <v/>
      </c>
      <c r="Q146" s="7">
        <f>IF($Y146="","",P146*O146)</f>
        <v/>
      </c>
      <c r="R146">
        <f>IF($Y146="","",Settings!$C$6)</f>
        <v/>
      </c>
      <c r="S146" s="7">
        <f>IF($Y146="","",SUMIFS('Per Line'!$X$2:$X$1001,'Per Line'!$D$2:$D$1001,$B146,'Per Line'!$AO$2:$AO$1001,1,'Per Line'!$AP$2:$AP$1001,0))</f>
        <v/>
      </c>
      <c r="T146" s="7">
        <f>IF($Y146="","",S146*R146)</f>
        <v/>
      </c>
      <c r="U146" s="7">
        <f>IF($Y146="","",T146+Q146)</f>
        <v/>
      </c>
      <c r="V146" s="7">
        <f>IF($Y146="","",W146-U146)</f>
        <v/>
      </c>
      <c r="W146" s="7">
        <f>IF($Y146="","",P146+S146+N146)</f>
        <v/>
      </c>
      <c r="X146" s="7">
        <f>IF($Y146="","",W146-U146-J146)</f>
        <v/>
      </c>
      <c r="Y146" s="13">
        <f>IF(ROWS($Y$2:$Y146)&lt;=MAX('Per Line'!$AN$2:$AN$1001),MATCH(ROWS($Y$2:$Y146),'Per Line'!$AN$2:$AN$1001,0),"")</f>
        <v/>
      </c>
      <c r="Z146" s="14">
        <f>IF($Y146="","",J146-I146*W146/100)</f>
        <v/>
      </c>
    </row>
    <row r="147">
      <c r="A147" s="12" t="n"/>
      <c r="B147">
        <f>IF($Y147="","",INDEX('Per Line'!$D$2:$D$1001,$Y147)&amp;"")</f>
        <v/>
      </c>
      <c r="C147">
        <f>IF($Y147="","",INDEX('Per Line'!$C$2:$C$1001,$Y147)&amp;"")</f>
        <v/>
      </c>
      <c r="D147" s="11">
        <f>IF($Y147="","",INDEX('Per Line'!$F$2:$F$1001,$Y147))</f>
        <v/>
      </c>
      <c r="E147">
        <f>IF($Y147="","",INDEX('Per Line'!$G$2:$G$1001,$Y147)&amp;"")</f>
        <v/>
      </c>
      <c r="F147">
        <f>IF($Y147="","",INDEX('Per Line'!$I$2:$I$1001,$Y147)&amp;"")</f>
        <v/>
      </c>
      <c r="G147">
        <f>IF($Y147="","",INDEX('Per Line'!$J$2:$J$1001,$Y147)&amp;"")</f>
        <v/>
      </c>
      <c r="H147">
        <f>IF($Y147="","",INDEX('Per Line'!$K$2:$K$1001,$Y147)&amp;"")</f>
        <v/>
      </c>
      <c r="I147">
        <f>IF($Y147="","",INDEX('Per Line'!$O$2:$O$1001,$Y147))</f>
        <v/>
      </c>
      <c r="J147" s="7">
        <f>IF($Y147="","",IF(AND(ISNUMBER(L147),L147&gt;0,W147&gt;L147),I147*L147/100+(W147-L147),I147*W147/100))</f>
        <v/>
      </c>
      <c r="K147">
        <f>IF($Y147="","",INDEX('Per Line'!$Y$2:$Y$1001,$Y147)&amp;"")</f>
        <v/>
      </c>
      <c r="L147">
        <f>IF($Y147="","",INDEX('Per Line'!$AF$2:$AF$1001,$Y147))</f>
        <v/>
      </c>
      <c r="M147">
        <f>IF($Y147="","",IF(AND(ISNUMBER(L147),L147&gt;0),W147&gt;L147,FALSE))</f>
        <v/>
      </c>
      <c r="N147" s="7">
        <f>IF($Y147="","",SUMIFS('Per Line'!$X$2:$X$1001,'Per Line'!$D$2:$D$1001,$B147,'Per Line'!$AP$2:$AP$1001,1))</f>
        <v/>
      </c>
      <c r="O147">
        <f>IF($Y147="","",Settings!$C$7)</f>
        <v/>
      </c>
      <c r="P147" s="7">
        <f>IF($Y147="","",SUMIFS('Per Line'!$X$2:$X$1001,'Per Line'!$D$2:$D$1001,$B147,'Per Line'!$AO$2:$AO$1001,0,'Per Line'!$AP$2:$AP$1001,0))</f>
        <v/>
      </c>
      <c r="Q147" s="7">
        <f>IF($Y147="","",P147*O147)</f>
        <v/>
      </c>
      <c r="R147">
        <f>IF($Y147="","",Settings!$C$6)</f>
        <v/>
      </c>
      <c r="S147" s="7">
        <f>IF($Y147="","",SUMIFS('Per Line'!$X$2:$X$1001,'Per Line'!$D$2:$D$1001,$B147,'Per Line'!$AO$2:$AO$1001,1,'Per Line'!$AP$2:$AP$1001,0))</f>
        <v/>
      </c>
      <c r="T147" s="7">
        <f>IF($Y147="","",S147*R147)</f>
        <v/>
      </c>
      <c r="U147" s="7">
        <f>IF($Y147="","",T147+Q147)</f>
        <v/>
      </c>
      <c r="V147" s="7">
        <f>IF($Y147="","",W147-U147)</f>
        <v/>
      </c>
      <c r="W147" s="7">
        <f>IF($Y147="","",P147+S147+N147)</f>
        <v/>
      </c>
      <c r="X147" s="7">
        <f>IF($Y147="","",W147-U147-J147)</f>
        <v/>
      </c>
      <c r="Y147" s="13">
        <f>IF(ROWS($Y$2:$Y147)&lt;=MAX('Per Line'!$AN$2:$AN$1001),MATCH(ROWS($Y$2:$Y147),'Per Line'!$AN$2:$AN$1001,0),"")</f>
        <v/>
      </c>
      <c r="Z147" s="14">
        <f>IF($Y147="","",J147-I147*W147/100)</f>
        <v/>
      </c>
    </row>
    <row r="148">
      <c r="A148" s="12" t="n"/>
      <c r="B148">
        <f>IF($Y148="","",INDEX('Per Line'!$D$2:$D$1001,$Y148)&amp;"")</f>
        <v/>
      </c>
      <c r="C148">
        <f>IF($Y148="","",INDEX('Per Line'!$C$2:$C$1001,$Y148)&amp;"")</f>
        <v/>
      </c>
      <c r="D148" s="11">
        <f>IF($Y148="","",INDEX('Per Line'!$F$2:$F$1001,$Y148))</f>
        <v/>
      </c>
      <c r="E148">
        <f>IF($Y148="","",INDEX('Per Line'!$G$2:$G$1001,$Y148)&amp;"")</f>
        <v/>
      </c>
      <c r="F148">
        <f>IF($Y148="","",INDEX('Per Line'!$I$2:$I$1001,$Y148)&amp;"")</f>
        <v/>
      </c>
      <c r="G148">
        <f>IF($Y148="","",INDEX('Per Line'!$J$2:$J$1001,$Y148)&amp;"")</f>
        <v/>
      </c>
      <c r="H148">
        <f>IF($Y148="","",INDEX('Per Line'!$K$2:$K$1001,$Y148)&amp;"")</f>
        <v/>
      </c>
      <c r="I148">
        <f>IF($Y148="","",INDEX('Per Line'!$O$2:$O$1001,$Y148))</f>
        <v/>
      </c>
      <c r="J148" s="7">
        <f>IF($Y148="","",IF(AND(ISNUMBER(L148),L148&gt;0,W148&gt;L148),I148*L148/100+(W148-L148),I148*W148/100))</f>
        <v/>
      </c>
      <c r="K148">
        <f>IF($Y148="","",INDEX('Per Line'!$Y$2:$Y$1001,$Y148)&amp;"")</f>
        <v/>
      </c>
      <c r="L148">
        <f>IF($Y148="","",INDEX('Per Line'!$AF$2:$AF$1001,$Y148))</f>
        <v/>
      </c>
      <c r="M148">
        <f>IF($Y148="","",IF(AND(ISNUMBER(L148),L148&gt;0),W148&gt;L148,FALSE))</f>
        <v/>
      </c>
      <c r="N148" s="7">
        <f>IF($Y148="","",SUMIFS('Per Line'!$X$2:$X$1001,'Per Line'!$D$2:$D$1001,$B148,'Per Line'!$AP$2:$AP$1001,1))</f>
        <v/>
      </c>
      <c r="O148">
        <f>IF($Y148="","",Settings!$C$7)</f>
        <v/>
      </c>
      <c r="P148" s="7">
        <f>IF($Y148="","",SUMIFS('Per Line'!$X$2:$X$1001,'Per Line'!$D$2:$D$1001,$B148,'Per Line'!$AO$2:$AO$1001,0,'Per Line'!$AP$2:$AP$1001,0))</f>
        <v/>
      </c>
      <c r="Q148" s="7">
        <f>IF($Y148="","",P148*O148)</f>
        <v/>
      </c>
      <c r="R148">
        <f>IF($Y148="","",Settings!$C$6)</f>
        <v/>
      </c>
      <c r="S148" s="7">
        <f>IF($Y148="","",SUMIFS('Per Line'!$X$2:$X$1001,'Per Line'!$D$2:$D$1001,$B148,'Per Line'!$AO$2:$AO$1001,1,'Per Line'!$AP$2:$AP$1001,0))</f>
        <v/>
      </c>
      <c r="T148" s="7">
        <f>IF($Y148="","",S148*R148)</f>
        <v/>
      </c>
      <c r="U148" s="7">
        <f>IF($Y148="","",T148+Q148)</f>
        <v/>
      </c>
      <c r="V148" s="7">
        <f>IF($Y148="","",W148-U148)</f>
        <v/>
      </c>
      <c r="W148" s="7">
        <f>IF($Y148="","",P148+S148+N148)</f>
        <v/>
      </c>
      <c r="X148" s="7">
        <f>IF($Y148="","",W148-U148-J148)</f>
        <v/>
      </c>
      <c r="Y148" s="13">
        <f>IF(ROWS($Y$2:$Y148)&lt;=MAX('Per Line'!$AN$2:$AN$1001),MATCH(ROWS($Y$2:$Y148),'Per Line'!$AN$2:$AN$1001,0),"")</f>
        <v/>
      </c>
      <c r="Z148" s="14">
        <f>IF($Y148="","",J148-I148*W148/100)</f>
        <v/>
      </c>
    </row>
    <row r="149">
      <c r="A149" s="12" t="n"/>
      <c r="B149">
        <f>IF($Y149="","",INDEX('Per Line'!$D$2:$D$1001,$Y149)&amp;"")</f>
        <v/>
      </c>
      <c r="C149">
        <f>IF($Y149="","",INDEX('Per Line'!$C$2:$C$1001,$Y149)&amp;"")</f>
        <v/>
      </c>
      <c r="D149" s="11">
        <f>IF($Y149="","",INDEX('Per Line'!$F$2:$F$1001,$Y149))</f>
        <v/>
      </c>
      <c r="E149">
        <f>IF($Y149="","",INDEX('Per Line'!$G$2:$G$1001,$Y149)&amp;"")</f>
        <v/>
      </c>
      <c r="F149">
        <f>IF($Y149="","",INDEX('Per Line'!$I$2:$I$1001,$Y149)&amp;"")</f>
        <v/>
      </c>
      <c r="G149">
        <f>IF($Y149="","",INDEX('Per Line'!$J$2:$J$1001,$Y149)&amp;"")</f>
        <v/>
      </c>
      <c r="H149">
        <f>IF($Y149="","",INDEX('Per Line'!$K$2:$K$1001,$Y149)&amp;"")</f>
        <v/>
      </c>
      <c r="I149">
        <f>IF($Y149="","",INDEX('Per Line'!$O$2:$O$1001,$Y149))</f>
        <v/>
      </c>
      <c r="J149" s="7">
        <f>IF($Y149="","",IF(AND(ISNUMBER(L149),L149&gt;0,W149&gt;L149),I149*L149/100+(W149-L149),I149*W149/100))</f>
        <v/>
      </c>
      <c r="K149">
        <f>IF($Y149="","",INDEX('Per Line'!$Y$2:$Y$1001,$Y149)&amp;"")</f>
        <v/>
      </c>
      <c r="L149">
        <f>IF($Y149="","",INDEX('Per Line'!$AF$2:$AF$1001,$Y149))</f>
        <v/>
      </c>
      <c r="M149">
        <f>IF($Y149="","",IF(AND(ISNUMBER(L149),L149&gt;0),W149&gt;L149,FALSE))</f>
        <v/>
      </c>
      <c r="N149" s="7">
        <f>IF($Y149="","",SUMIFS('Per Line'!$X$2:$X$1001,'Per Line'!$D$2:$D$1001,$B149,'Per Line'!$AP$2:$AP$1001,1))</f>
        <v/>
      </c>
      <c r="O149">
        <f>IF($Y149="","",Settings!$C$7)</f>
        <v/>
      </c>
      <c r="P149" s="7">
        <f>IF($Y149="","",SUMIFS('Per Line'!$X$2:$X$1001,'Per Line'!$D$2:$D$1001,$B149,'Per Line'!$AO$2:$AO$1001,0,'Per Line'!$AP$2:$AP$1001,0))</f>
        <v/>
      </c>
      <c r="Q149" s="7">
        <f>IF($Y149="","",P149*O149)</f>
        <v/>
      </c>
      <c r="R149">
        <f>IF($Y149="","",Settings!$C$6)</f>
        <v/>
      </c>
      <c r="S149" s="7">
        <f>IF($Y149="","",SUMIFS('Per Line'!$X$2:$X$1001,'Per Line'!$D$2:$D$1001,$B149,'Per Line'!$AO$2:$AO$1001,1,'Per Line'!$AP$2:$AP$1001,0))</f>
        <v/>
      </c>
      <c r="T149" s="7">
        <f>IF($Y149="","",S149*R149)</f>
        <v/>
      </c>
      <c r="U149" s="7">
        <f>IF($Y149="","",T149+Q149)</f>
        <v/>
      </c>
      <c r="V149" s="7">
        <f>IF($Y149="","",W149-U149)</f>
        <v/>
      </c>
      <c r="W149" s="7">
        <f>IF($Y149="","",P149+S149+N149)</f>
        <v/>
      </c>
      <c r="X149" s="7">
        <f>IF($Y149="","",W149-U149-J149)</f>
        <v/>
      </c>
      <c r="Y149" s="13">
        <f>IF(ROWS($Y$2:$Y149)&lt;=MAX('Per Line'!$AN$2:$AN$1001),MATCH(ROWS($Y$2:$Y149),'Per Line'!$AN$2:$AN$1001,0),"")</f>
        <v/>
      </c>
      <c r="Z149" s="14">
        <f>IF($Y149="","",J149-I149*W149/100)</f>
        <v/>
      </c>
    </row>
    <row r="150">
      <c r="A150" s="12" t="n"/>
      <c r="B150">
        <f>IF($Y150="","",INDEX('Per Line'!$D$2:$D$1001,$Y150)&amp;"")</f>
        <v/>
      </c>
      <c r="C150">
        <f>IF($Y150="","",INDEX('Per Line'!$C$2:$C$1001,$Y150)&amp;"")</f>
        <v/>
      </c>
      <c r="D150" s="11">
        <f>IF($Y150="","",INDEX('Per Line'!$F$2:$F$1001,$Y150))</f>
        <v/>
      </c>
      <c r="E150">
        <f>IF($Y150="","",INDEX('Per Line'!$G$2:$G$1001,$Y150)&amp;"")</f>
        <v/>
      </c>
      <c r="F150">
        <f>IF($Y150="","",INDEX('Per Line'!$I$2:$I$1001,$Y150)&amp;"")</f>
        <v/>
      </c>
      <c r="G150">
        <f>IF($Y150="","",INDEX('Per Line'!$J$2:$J$1001,$Y150)&amp;"")</f>
        <v/>
      </c>
      <c r="H150">
        <f>IF($Y150="","",INDEX('Per Line'!$K$2:$K$1001,$Y150)&amp;"")</f>
        <v/>
      </c>
      <c r="I150">
        <f>IF($Y150="","",INDEX('Per Line'!$O$2:$O$1001,$Y150))</f>
        <v/>
      </c>
      <c r="J150" s="7">
        <f>IF($Y150="","",IF(AND(ISNUMBER(L150),L150&gt;0,W150&gt;L150),I150*L150/100+(W150-L150),I150*W150/100))</f>
        <v/>
      </c>
      <c r="K150">
        <f>IF($Y150="","",INDEX('Per Line'!$Y$2:$Y$1001,$Y150)&amp;"")</f>
        <v/>
      </c>
      <c r="L150">
        <f>IF($Y150="","",INDEX('Per Line'!$AF$2:$AF$1001,$Y150))</f>
        <v/>
      </c>
      <c r="M150">
        <f>IF($Y150="","",IF(AND(ISNUMBER(L150),L150&gt;0),W150&gt;L150,FALSE))</f>
        <v/>
      </c>
      <c r="N150" s="7">
        <f>IF($Y150="","",SUMIFS('Per Line'!$X$2:$X$1001,'Per Line'!$D$2:$D$1001,$B150,'Per Line'!$AP$2:$AP$1001,1))</f>
        <v/>
      </c>
      <c r="O150">
        <f>IF($Y150="","",Settings!$C$7)</f>
        <v/>
      </c>
      <c r="P150" s="7">
        <f>IF($Y150="","",SUMIFS('Per Line'!$X$2:$X$1001,'Per Line'!$D$2:$D$1001,$B150,'Per Line'!$AO$2:$AO$1001,0,'Per Line'!$AP$2:$AP$1001,0))</f>
        <v/>
      </c>
      <c r="Q150" s="7">
        <f>IF($Y150="","",P150*O150)</f>
        <v/>
      </c>
      <c r="R150">
        <f>IF($Y150="","",Settings!$C$6)</f>
        <v/>
      </c>
      <c r="S150" s="7">
        <f>IF($Y150="","",SUMIFS('Per Line'!$X$2:$X$1001,'Per Line'!$D$2:$D$1001,$B150,'Per Line'!$AO$2:$AO$1001,1,'Per Line'!$AP$2:$AP$1001,0))</f>
        <v/>
      </c>
      <c r="T150" s="7">
        <f>IF($Y150="","",S150*R150)</f>
        <v/>
      </c>
      <c r="U150" s="7">
        <f>IF($Y150="","",T150+Q150)</f>
        <v/>
      </c>
      <c r="V150" s="7">
        <f>IF($Y150="","",W150-U150)</f>
        <v/>
      </c>
      <c r="W150" s="7">
        <f>IF($Y150="","",P150+S150+N150)</f>
        <v/>
      </c>
      <c r="X150" s="7">
        <f>IF($Y150="","",W150-U150-J150)</f>
        <v/>
      </c>
      <c r="Y150" s="13">
        <f>IF(ROWS($Y$2:$Y150)&lt;=MAX('Per Line'!$AN$2:$AN$1001),MATCH(ROWS($Y$2:$Y150),'Per Line'!$AN$2:$AN$1001,0),"")</f>
        <v/>
      </c>
      <c r="Z150" s="14">
        <f>IF($Y150="","",J150-I150*W150/100)</f>
        <v/>
      </c>
    </row>
    <row r="151">
      <c r="A151" s="12" t="n"/>
      <c r="B151">
        <f>IF($Y151="","",INDEX('Per Line'!$D$2:$D$1001,$Y151)&amp;"")</f>
        <v/>
      </c>
      <c r="C151">
        <f>IF($Y151="","",INDEX('Per Line'!$C$2:$C$1001,$Y151)&amp;"")</f>
        <v/>
      </c>
      <c r="D151" s="11">
        <f>IF($Y151="","",INDEX('Per Line'!$F$2:$F$1001,$Y151))</f>
        <v/>
      </c>
      <c r="E151">
        <f>IF($Y151="","",INDEX('Per Line'!$G$2:$G$1001,$Y151)&amp;"")</f>
        <v/>
      </c>
      <c r="F151">
        <f>IF($Y151="","",INDEX('Per Line'!$I$2:$I$1001,$Y151)&amp;"")</f>
        <v/>
      </c>
      <c r="G151">
        <f>IF($Y151="","",INDEX('Per Line'!$J$2:$J$1001,$Y151)&amp;"")</f>
        <v/>
      </c>
      <c r="H151">
        <f>IF($Y151="","",INDEX('Per Line'!$K$2:$K$1001,$Y151)&amp;"")</f>
        <v/>
      </c>
      <c r="I151">
        <f>IF($Y151="","",INDEX('Per Line'!$O$2:$O$1001,$Y151))</f>
        <v/>
      </c>
      <c r="J151" s="7">
        <f>IF($Y151="","",IF(AND(ISNUMBER(L151),L151&gt;0,W151&gt;L151),I151*L151/100+(W151-L151),I151*W151/100))</f>
        <v/>
      </c>
      <c r="K151">
        <f>IF($Y151="","",INDEX('Per Line'!$Y$2:$Y$1001,$Y151)&amp;"")</f>
        <v/>
      </c>
      <c r="L151">
        <f>IF($Y151="","",INDEX('Per Line'!$AF$2:$AF$1001,$Y151))</f>
        <v/>
      </c>
      <c r="M151">
        <f>IF($Y151="","",IF(AND(ISNUMBER(L151),L151&gt;0),W151&gt;L151,FALSE))</f>
        <v/>
      </c>
      <c r="N151" s="7">
        <f>IF($Y151="","",SUMIFS('Per Line'!$X$2:$X$1001,'Per Line'!$D$2:$D$1001,$B151,'Per Line'!$AP$2:$AP$1001,1))</f>
        <v/>
      </c>
      <c r="O151">
        <f>IF($Y151="","",Settings!$C$7)</f>
        <v/>
      </c>
      <c r="P151" s="7">
        <f>IF($Y151="","",SUMIFS('Per Line'!$X$2:$X$1001,'Per Line'!$D$2:$D$1001,$B151,'Per Line'!$AO$2:$AO$1001,0,'Per Line'!$AP$2:$AP$1001,0))</f>
        <v/>
      </c>
      <c r="Q151" s="7">
        <f>IF($Y151="","",P151*O151)</f>
        <v/>
      </c>
      <c r="R151">
        <f>IF($Y151="","",Settings!$C$6)</f>
        <v/>
      </c>
      <c r="S151" s="7">
        <f>IF($Y151="","",SUMIFS('Per Line'!$X$2:$X$1001,'Per Line'!$D$2:$D$1001,$B151,'Per Line'!$AO$2:$AO$1001,1,'Per Line'!$AP$2:$AP$1001,0))</f>
        <v/>
      </c>
      <c r="T151" s="7">
        <f>IF($Y151="","",S151*R151)</f>
        <v/>
      </c>
      <c r="U151" s="7">
        <f>IF($Y151="","",T151+Q151)</f>
        <v/>
      </c>
      <c r="V151" s="7">
        <f>IF($Y151="","",W151-U151)</f>
        <v/>
      </c>
      <c r="W151" s="7">
        <f>IF($Y151="","",P151+S151+N151)</f>
        <v/>
      </c>
      <c r="X151" s="7">
        <f>IF($Y151="","",W151-U151-J151)</f>
        <v/>
      </c>
      <c r="Y151" s="13">
        <f>IF(ROWS($Y$2:$Y151)&lt;=MAX('Per Line'!$AN$2:$AN$1001),MATCH(ROWS($Y$2:$Y151),'Per Line'!$AN$2:$AN$1001,0),"")</f>
        <v/>
      </c>
      <c r="Z151" s="14">
        <f>IF($Y151="","",J151-I151*W151/100)</f>
        <v/>
      </c>
    </row>
    <row r="152">
      <c r="A152" s="12" t="n"/>
      <c r="B152">
        <f>IF($Y152="","",INDEX('Per Line'!$D$2:$D$1001,$Y152)&amp;"")</f>
        <v/>
      </c>
      <c r="C152">
        <f>IF($Y152="","",INDEX('Per Line'!$C$2:$C$1001,$Y152)&amp;"")</f>
        <v/>
      </c>
      <c r="D152" s="11">
        <f>IF($Y152="","",INDEX('Per Line'!$F$2:$F$1001,$Y152))</f>
        <v/>
      </c>
      <c r="E152">
        <f>IF($Y152="","",INDEX('Per Line'!$G$2:$G$1001,$Y152)&amp;"")</f>
        <v/>
      </c>
      <c r="F152">
        <f>IF($Y152="","",INDEX('Per Line'!$I$2:$I$1001,$Y152)&amp;"")</f>
        <v/>
      </c>
      <c r="G152">
        <f>IF($Y152="","",INDEX('Per Line'!$J$2:$J$1001,$Y152)&amp;"")</f>
        <v/>
      </c>
      <c r="H152">
        <f>IF($Y152="","",INDEX('Per Line'!$K$2:$K$1001,$Y152)&amp;"")</f>
        <v/>
      </c>
      <c r="I152">
        <f>IF($Y152="","",INDEX('Per Line'!$O$2:$O$1001,$Y152))</f>
        <v/>
      </c>
      <c r="J152" s="7">
        <f>IF($Y152="","",IF(AND(ISNUMBER(L152),L152&gt;0,W152&gt;L152),I152*L152/100+(W152-L152),I152*W152/100))</f>
        <v/>
      </c>
      <c r="K152">
        <f>IF($Y152="","",INDEX('Per Line'!$Y$2:$Y$1001,$Y152)&amp;"")</f>
        <v/>
      </c>
      <c r="L152">
        <f>IF($Y152="","",INDEX('Per Line'!$AF$2:$AF$1001,$Y152))</f>
        <v/>
      </c>
      <c r="M152">
        <f>IF($Y152="","",IF(AND(ISNUMBER(L152),L152&gt;0),W152&gt;L152,FALSE))</f>
        <v/>
      </c>
      <c r="N152" s="7">
        <f>IF($Y152="","",SUMIFS('Per Line'!$X$2:$X$1001,'Per Line'!$D$2:$D$1001,$B152,'Per Line'!$AP$2:$AP$1001,1))</f>
        <v/>
      </c>
      <c r="O152">
        <f>IF($Y152="","",Settings!$C$7)</f>
        <v/>
      </c>
      <c r="P152" s="7">
        <f>IF($Y152="","",SUMIFS('Per Line'!$X$2:$X$1001,'Per Line'!$D$2:$D$1001,$B152,'Per Line'!$AO$2:$AO$1001,0,'Per Line'!$AP$2:$AP$1001,0))</f>
        <v/>
      </c>
      <c r="Q152" s="7">
        <f>IF($Y152="","",P152*O152)</f>
        <v/>
      </c>
      <c r="R152">
        <f>IF($Y152="","",Settings!$C$6)</f>
        <v/>
      </c>
      <c r="S152" s="7">
        <f>IF($Y152="","",SUMIFS('Per Line'!$X$2:$X$1001,'Per Line'!$D$2:$D$1001,$B152,'Per Line'!$AO$2:$AO$1001,1,'Per Line'!$AP$2:$AP$1001,0))</f>
        <v/>
      </c>
      <c r="T152" s="7">
        <f>IF($Y152="","",S152*R152)</f>
        <v/>
      </c>
      <c r="U152" s="7">
        <f>IF($Y152="","",T152+Q152)</f>
        <v/>
      </c>
      <c r="V152" s="7">
        <f>IF($Y152="","",W152-U152)</f>
        <v/>
      </c>
      <c r="W152" s="7">
        <f>IF($Y152="","",P152+S152+N152)</f>
        <v/>
      </c>
      <c r="X152" s="7">
        <f>IF($Y152="","",W152-U152-J152)</f>
        <v/>
      </c>
      <c r="Y152" s="13">
        <f>IF(ROWS($Y$2:$Y152)&lt;=MAX('Per Line'!$AN$2:$AN$1001),MATCH(ROWS($Y$2:$Y152),'Per Line'!$AN$2:$AN$1001,0),"")</f>
        <v/>
      </c>
      <c r="Z152" s="14">
        <f>IF($Y152="","",J152-I152*W152/100)</f>
        <v/>
      </c>
    </row>
    <row r="153">
      <c r="A153" s="12" t="n"/>
      <c r="B153">
        <f>IF($Y153="","",INDEX('Per Line'!$D$2:$D$1001,$Y153)&amp;"")</f>
        <v/>
      </c>
      <c r="C153">
        <f>IF($Y153="","",INDEX('Per Line'!$C$2:$C$1001,$Y153)&amp;"")</f>
        <v/>
      </c>
      <c r="D153" s="11">
        <f>IF($Y153="","",INDEX('Per Line'!$F$2:$F$1001,$Y153))</f>
        <v/>
      </c>
      <c r="E153">
        <f>IF($Y153="","",INDEX('Per Line'!$G$2:$G$1001,$Y153)&amp;"")</f>
        <v/>
      </c>
      <c r="F153">
        <f>IF($Y153="","",INDEX('Per Line'!$I$2:$I$1001,$Y153)&amp;"")</f>
        <v/>
      </c>
      <c r="G153">
        <f>IF($Y153="","",INDEX('Per Line'!$J$2:$J$1001,$Y153)&amp;"")</f>
        <v/>
      </c>
      <c r="H153">
        <f>IF($Y153="","",INDEX('Per Line'!$K$2:$K$1001,$Y153)&amp;"")</f>
        <v/>
      </c>
      <c r="I153">
        <f>IF($Y153="","",INDEX('Per Line'!$O$2:$O$1001,$Y153))</f>
        <v/>
      </c>
      <c r="J153" s="7">
        <f>IF($Y153="","",IF(AND(ISNUMBER(L153),L153&gt;0,W153&gt;L153),I153*L153/100+(W153-L153),I153*W153/100))</f>
        <v/>
      </c>
      <c r="K153">
        <f>IF($Y153="","",INDEX('Per Line'!$Y$2:$Y$1001,$Y153)&amp;"")</f>
        <v/>
      </c>
      <c r="L153">
        <f>IF($Y153="","",INDEX('Per Line'!$AF$2:$AF$1001,$Y153))</f>
        <v/>
      </c>
      <c r="M153">
        <f>IF($Y153="","",IF(AND(ISNUMBER(L153),L153&gt;0),W153&gt;L153,FALSE))</f>
        <v/>
      </c>
      <c r="N153" s="7">
        <f>IF($Y153="","",SUMIFS('Per Line'!$X$2:$X$1001,'Per Line'!$D$2:$D$1001,$B153,'Per Line'!$AP$2:$AP$1001,1))</f>
        <v/>
      </c>
      <c r="O153">
        <f>IF($Y153="","",Settings!$C$7)</f>
        <v/>
      </c>
      <c r="P153" s="7">
        <f>IF($Y153="","",SUMIFS('Per Line'!$X$2:$X$1001,'Per Line'!$D$2:$D$1001,$B153,'Per Line'!$AO$2:$AO$1001,0,'Per Line'!$AP$2:$AP$1001,0))</f>
        <v/>
      </c>
      <c r="Q153" s="7">
        <f>IF($Y153="","",P153*O153)</f>
        <v/>
      </c>
      <c r="R153">
        <f>IF($Y153="","",Settings!$C$6)</f>
        <v/>
      </c>
      <c r="S153" s="7">
        <f>IF($Y153="","",SUMIFS('Per Line'!$X$2:$X$1001,'Per Line'!$D$2:$D$1001,$B153,'Per Line'!$AO$2:$AO$1001,1,'Per Line'!$AP$2:$AP$1001,0))</f>
        <v/>
      </c>
      <c r="T153" s="7">
        <f>IF($Y153="","",S153*R153)</f>
        <v/>
      </c>
      <c r="U153" s="7">
        <f>IF($Y153="","",T153+Q153)</f>
        <v/>
      </c>
      <c r="V153" s="7">
        <f>IF($Y153="","",W153-U153)</f>
        <v/>
      </c>
      <c r="W153" s="7">
        <f>IF($Y153="","",P153+S153+N153)</f>
        <v/>
      </c>
      <c r="X153" s="7">
        <f>IF($Y153="","",W153-U153-J153)</f>
        <v/>
      </c>
      <c r="Y153" s="13">
        <f>IF(ROWS($Y$2:$Y153)&lt;=MAX('Per Line'!$AN$2:$AN$1001),MATCH(ROWS($Y$2:$Y153),'Per Line'!$AN$2:$AN$1001,0),"")</f>
        <v/>
      </c>
      <c r="Z153" s="14">
        <f>IF($Y153="","",J153-I153*W153/100)</f>
        <v/>
      </c>
    </row>
    <row r="154">
      <c r="A154" s="12" t="n"/>
      <c r="B154">
        <f>IF($Y154="","",INDEX('Per Line'!$D$2:$D$1001,$Y154)&amp;"")</f>
        <v/>
      </c>
      <c r="C154">
        <f>IF($Y154="","",INDEX('Per Line'!$C$2:$C$1001,$Y154)&amp;"")</f>
        <v/>
      </c>
      <c r="D154" s="11">
        <f>IF($Y154="","",INDEX('Per Line'!$F$2:$F$1001,$Y154))</f>
        <v/>
      </c>
      <c r="E154">
        <f>IF($Y154="","",INDEX('Per Line'!$G$2:$G$1001,$Y154)&amp;"")</f>
        <v/>
      </c>
      <c r="F154">
        <f>IF($Y154="","",INDEX('Per Line'!$I$2:$I$1001,$Y154)&amp;"")</f>
        <v/>
      </c>
      <c r="G154">
        <f>IF($Y154="","",INDEX('Per Line'!$J$2:$J$1001,$Y154)&amp;"")</f>
        <v/>
      </c>
      <c r="H154">
        <f>IF($Y154="","",INDEX('Per Line'!$K$2:$K$1001,$Y154)&amp;"")</f>
        <v/>
      </c>
      <c r="I154">
        <f>IF($Y154="","",INDEX('Per Line'!$O$2:$O$1001,$Y154))</f>
        <v/>
      </c>
      <c r="J154" s="7">
        <f>IF($Y154="","",IF(AND(ISNUMBER(L154),L154&gt;0,W154&gt;L154),I154*L154/100+(W154-L154),I154*W154/100))</f>
        <v/>
      </c>
      <c r="K154">
        <f>IF($Y154="","",INDEX('Per Line'!$Y$2:$Y$1001,$Y154)&amp;"")</f>
        <v/>
      </c>
      <c r="L154">
        <f>IF($Y154="","",INDEX('Per Line'!$AF$2:$AF$1001,$Y154))</f>
        <v/>
      </c>
      <c r="M154">
        <f>IF($Y154="","",IF(AND(ISNUMBER(L154),L154&gt;0),W154&gt;L154,FALSE))</f>
        <v/>
      </c>
      <c r="N154" s="7">
        <f>IF($Y154="","",SUMIFS('Per Line'!$X$2:$X$1001,'Per Line'!$D$2:$D$1001,$B154,'Per Line'!$AP$2:$AP$1001,1))</f>
        <v/>
      </c>
      <c r="O154">
        <f>IF($Y154="","",Settings!$C$7)</f>
        <v/>
      </c>
      <c r="P154" s="7">
        <f>IF($Y154="","",SUMIFS('Per Line'!$X$2:$X$1001,'Per Line'!$D$2:$D$1001,$B154,'Per Line'!$AO$2:$AO$1001,0,'Per Line'!$AP$2:$AP$1001,0))</f>
        <v/>
      </c>
      <c r="Q154" s="7">
        <f>IF($Y154="","",P154*O154)</f>
        <v/>
      </c>
      <c r="R154">
        <f>IF($Y154="","",Settings!$C$6)</f>
        <v/>
      </c>
      <c r="S154" s="7">
        <f>IF($Y154="","",SUMIFS('Per Line'!$X$2:$X$1001,'Per Line'!$D$2:$D$1001,$B154,'Per Line'!$AO$2:$AO$1001,1,'Per Line'!$AP$2:$AP$1001,0))</f>
        <v/>
      </c>
      <c r="T154" s="7">
        <f>IF($Y154="","",S154*R154)</f>
        <v/>
      </c>
      <c r="U154" s="7">
        <f>IF($Y154="","",T154+Q154)</f>
        <v/>
      </c>
      <c r="V154" s="7">
        <f>IF($Y154="","",W154-U154)</f>
        <v/>
      </c>
      <c r="W154" s="7">
        <f>IF($Y154="","",P154+S154+N154)</f>
        <v/>
      </c>
      <c r="X154" s="7">
        <f>IF($Y154="","",W154-U154-J154)</f>
        <v/>
      </c>
      <c r="Y154" s="13">
        <f>IF(ROWS($Y$2:$Y154)&lt;=MAX('Per Line'!$AN$2:$AN$1001),MATCH(ROWS($Y$2:$Y154),'Per Line'!$AN$2:$AN$1001,0),"")</f>
        <v/>
      </c>
      <c r="Z154" s="14">
        <f>IF($Y154="","",J154-I154*W154/100)</f>
        <v/>
      </c>
    </row>
    <row r="155">
      <c r="A155" s="12" t="n"/>
      <c r="B155">
        <f>IF($Y155="","",INDEX('Per Line'!$D$2:$D$1001,$Y155)&amp;"")</f>
        <v/>
      </c>
      <c r="C155">
        <f>IF($Y155="","",INDEX('Per Line'!$C$2:$C$1001,$Y155)&amp;"")</f>
        <v/>
      </c>
      <c r="D155" s="11">
        <f>IF($Y155="","",INDEX('Per Line'!$F$2:$F$1001,$Y155))</f>
        <v/>
      </c>
      <c r="E155">
        <f>IF($Y155="","",INDEX('Per Line'!$G$2:$G$1001,$Y155)&amp;"")</f>
        <v/>
      </c>
      <c r="F155">
        <f>IF($Y155="","",INDEX('Per Line'!$I$2:$I$1001,$Y155)&amp;"")</f>
        <v/>
      </c>
      <c r="G155">
        <f>IF($Y155="","",INDEX('Per Line'!$J$2:$J$1001,$Y155)&amp;"")</f>
        <v/>
      </c>
      <c r="H155">
        <f>IF($Y155="","",INDEX('Per Line'!$K$2:$K$1001,$Y155)&amp;"")</f>
        <v/>
      </c>
      <c r="I155">
        <f>IF($Y155="","",INDEX('Per Line'!$O$2:$O$1001,$Y155))</f>
        <v/>
      </c>
      <c r="J155" s="7">
        <f>IF($Y155="","",IF(AND(ISNUMBER(L155),L155&gt;0,W155&gt;L155),I155*L155/100+(W155-L155),I155*W155/100))</f>
        <v/>
      </c>
      <c r="K155">
        <f>IF($Y155="","",INDEX('Per Line'!$Y$2:$Y$1001,$Y155)&amp;"")</f>
        <v/>
      </c>
      <c r="L155">
        <f>IF($Y155="","",INDEX('Per Line'!$AF$2:$AF$1001,$Y155))</f>
        <v/>
      </c>
      <c r="M155">
        <f>IF($Y155="","",IF(AND(ISNUMBER(L155),L155&gt;0),W155&gt;L155,FALSE))</f>
        <v/>
      </c>
      <c r="N155" s="7">
        <f>IF($Y155="","",SUMIFS('Per Line'!$X$2:$X$1001,'Per Line'!$D$2:$D$1001,$B155,'Per Line'!$AP$2:$AP$1001,1))</f>
        <v/>
      </c>
      <c r="O155">
        <f>IF($Y155="","",Settings!$C$7)</f>
        <v/>
      </c>
      <c r="P155" s="7">
        <f>IF($Y155="","",SUMIFS('Per Line'!$X$2:$X$1001,'Per Line'!$D$2:$D$1001,$B155,'Per Line'!$AO$2:$AO$1001,0,'Per Line'!$AP$2:$AP$1001,0))</f>
        <v/>
      </c>
      <c r="Q155" s="7">
        <f>IF($Y155="","",P155*O155)</f>
        <v/>
      </c>
      <c r="R155">
        <f>IF($Y155="","",Settings!$C$6)</f>
        <v/>
      </c>
      <c r="S155" s="7">
        <f>IF($Y155="","",SUMIFS('Per Line'!$X$2:$X$1001,'Per Line'!$D$2:$D$1001,$B155,'Per Line'!$AO$2:$AO$1001,1,'Per Line'!$AP$2:$AP$1001,0))</f>
        <v/>
      </c>
      <c r="T155" s="7">
        <f>IF($Y155="","",S155*R155)</f>
        <v/>
      </c>
      <c r="U155" s="7">
        <f>IF($Y155="","",T155+Q155)</f>
        <v/>
      </c>
      <c r="V155" s="7">
        <f>IF($Y155="","",W155-U155)</f>
        <v/>
      </c>
      <c r="W155" s="7">
        <f>IF($Y155="","",P155+S155+N155)</f>
        <v/>
      </c>
      <c r="X155" s="7">
        <f>IF($Y155="","",W155-U155-J155)</f>
        <v/>
      </c>
      <c r="Y155" s="13">
        <f>IF(ROWS($Y$2:$Y155)&lt;=MAX('Per Line'!$AN$2:$AN$1001),MATCH(ROWS($Y$2:$Y155),'Per Line'!$AN$2:$AN$1001,0),"")</f>
        <v/>
      </c>
      <c r="Z155" s="14">
        <f>IF($Y155="","",J155-I155*W155/100)</f>
        <v/>
      </c>
    </row>
    <row r="156">
      <c r="A156" s="12" t="n"/>
      <c r="B156">
        <f>IF($Y156="","",INDEX('Per Line'!$D$2:$D$1001,$Y156)&amp;"")</f>
        <v/>
      </c>
      <c r="C156">
        <f>IF($Y156="","",INDEX('Per Line'!$C$2:$C$1001,$Y156)&amp;"")</f>
        <v/>
      </c>
      <c r="D156" s="11">
        <f>IF($Y156="","",INDEX('Per Line'!$F$2:$F$1001,$Y156))</f>
        <v/>
      </c>
      <c r="E156">
        <f>IF($Y156="","",INDEX('Per Line'!$G$2:$G$1001,$Y156)&amp;"")</f>
        <v/>
      </c>
      <c r="F156">
        <f>IF($Y156="","",INDEX('Per Line'!$I$2:$I$1001,$Y156)&amp;"")</f>
        <v/>
      </c>
      <c r="G156">
        <f>IF($Y156="","",INDEX('Per Line'!$J$2:$J$1001,$Y156)&amp;"")</f>
        <v/>
      </c>
      <c r="H156">
        <f>IF($Y156="","",INDEX('Per Line'!$K$2:$K$1001,$Y156)&amp;"")</f>
        <v/>
      </c>
      <c r="I156">
        <f>IF($Y156="","",INDEX('Per Line'!$O$2:$O$1001,$Y156))</f>
        <v/>
      </c>
      <c r="J156" s="7">
        <f>IF($Y156="","",IF(AND(ISNUMBER(L156),L156&gt;0,W156&gt;L156),I156*L156/100+(W156-L156),I156*W156/100))</f>
        <v/>
      </c>
      <c r="K156">
        <f>IF($Y156="","",INDEX('Per Line'!$Y$2:$Y$1001,$Y156)&amp;"")</f>
        <v/>
      </c>
      <c r="L156">
        <f>IF($Y156="","",INDEX('Per Line'!$AF$2:$AF$1001,$Y156))</f>
        <v/>
      </c>
      <c r="M156">
        <f>IF($Y156="","",IF(AND(ISNUMBER(L156),L156&gt;0),W156&gt;L156,FALSE))</f>
        <v/>
      </c>
      <c r="N156" s="7">
        <f>IF($Y156="","",SUMIFS('Per Line'!$X$2:$X$1001,'Per Line'!$D$2:$D$1001,$B156,'Per Line'!$AP$2:$AP$1001,1))</f>
        <v/>
      </c>
      <c r="O156">
        <f>IF($Y156="","",Settings!$C$7)</f>
        <v/>
      </c>
      <c r="P156" s="7">
        <f>IF($Y156="","",SUMIFS('Per Line'!$X$2:$X$1001,'Per Line'!$D$2:$D$1001,$B156,'Per Line'!$AO$2:$AO$1001,0,'Per Line'!$AP$2:$AP$1001,0))</f>
        <v/>
      </c>
      <c r="Q156" s="7">
        <f>IF($Y156="","",P156*O156)</f>
        <v/>
      </c>
      <c r="R156">
        <f>IF($Y156="","",Settings!$C$6)</f>
        <v/>
      </c>
      <c r="S156" s="7">
        <f>IF($Y156="","",SUMIFS('Per Line'!$X$2:$X$1001,'Per Line'!$D$2:$D$1001,$B156,'Per Line'!$AO$2:$AO$1001,1,'Per Line'!$AP$2:$AP$1001,0))</f>
        <v/>
      </c>
      <c r="T156" s="7">
        <f>IF($Y156="","",S156*R156)</f>
        <v/>
      </c>
      <c r="U156" s="7">
        <f>IF($Y156="","",T156+Q156)</f>
        <v/>
      </c>
      <c r="V156" s="7">
        <f>IF($Y156="","",W156-U156)</f>
        <v/>
      </c>
      <c r="W156" s="7">
        <f>IF($Y156="","",P156+S156+N156)</f>
        <v/>
      </c>
      <c r="X156" s="7">
        <f>IF($Y156="","",W156-U156-J156)</f>
        <v/>
      </c>
      <c r="Y156" s="13">
        <f>IF(ROWS($Y$2:$Y156)&lt;=MAX('Per Line'!$AN$2:$AN$1001),MATCH(ROWS($Y$2:$Y156),'Per Line'!$AN$2:$AN$1001,0),"")</f>
        <v/>
      </c>
      <c r="Z156" s="14">
        <f>IF($Y156="","",J156-I156*W156/100)</f>
        <v/>
      </c>
    </row>
    <row r="157">
      <c r="A157" s="12" t="n"/>
      <c r="B157">
        <f>IF($Y157="","",INDEX('Per Line'!$D$2:$D$1001,$Y157)&amp;"")</f>
        <v/>
      </c>
      <c r="C157">
        <f>IF($Y157="","",INDEX('Per Line'!$C$2:$C$1001,$Y157)&amp;"")</f>
        <v/>
      </c>
      <c r="D157" s="11">
        <f>IF($Y157="","",INDEX('Per Line'!$F$2:$F$1001,$Y157))</f>
        <v/>
      </c>
      <c r="E157">
        <f>IF($Y157="","",INDEX('Per Line'!$G$2:$G$1001,$Y157)&amp;"")</f>
        <v/>
      </c>
      <c r="F157">
        <f>IF($Y157="","",INDEX('Per Line'!$I$2:$I$1001,$Y157)&amp;"")</f>
        <v/>
      </c>
      <c r="G157">
        <f>IF($Y157="","",INDEX('Per Line'!$J$2:$J$1001,$Y157)&amp;"")</f>
        <v/>
      </c>
      <c r="H157">
        <f>IF($Y157="","",INDEX('Per Line'!$K$2:$K$1001,$Y157)&amp;"")</f>
        <v/>
      </c>
      <c r="I157">
        <f>IF($Y157="","",INDEX('Per Line'!$O$2:$O$1001,$Y157))</f>
        <v/>
      </c>
      <c r="J157" s="7">
        <f>IF($Y157="","",IF(AND(ISNUMBER(L157),L157&gt;0,W157&gt;L157),I157*L157/100+(W157-L157),I157*W157/100))</f>
        <v/>
      </c>
      <c r="K157">
        <f>IF($Y157="","",INDEX('Per Line'!$Y$2:$Y$1001,$Y157)&amp;"")</f>
        <v/>
      </c>
      <c r="L157">
        <f>IF($Y157="","",INDEX('Per Line'!$AF$2:$AF$1001,$Y157))</f>
        <v/>
      </c>
      <c r="M157">
        <f>IF($Y157="","",IF(AND(ISNUMBER(L157),L157&gt;0),W157&gt;L157,FALSE))</f>
        <v/>
      </c>
      <c r="N157" s="7">
        <f>IF($Y157="","",SUMIFS('Per Line'!$X$2:$X$1001,'Per Line'!$D$2:$D$1001,$B157,'Per Line'!$AP$2:$AP$1001,1))</f>
        <v/>
      </c>
      <c r="O157">
        <f>IF($Y157="","",Settings!$C$7)</f>
        <v/>
      </c>
      <c r="P157" s="7">
        <f>IF($Y157="","",SUMIFS('Per Line'!$X$2:$X$1001,'Per Line'!$D$2:$D$1001,$B157,'Per Line'!$AO$2:$AO$1001,0,'Per Line'!$AP$2:$AP$1001,0))</f>
        <v/>
      </c>
      <c r="Q157" s="7">
        <f>IF($Y157="","",P157*O157)</f>
        <v/>
      </c>
      <c r="R157">
        <f>IF($Y157="","",Settings!$C$6)</f>
        <v/>
      </c>
      <c r="S157" s="7">
        <f>IF($Y157="","",SUMIFS('Per Line'!$X$2:$X$1001,'Per Line'!$D$2:$D$1001,$B157,'Per Line'!$AO$2:$AO$1001,1,'Per Line'!$AP$2:$AP$1001,0))</f>
        <v/>
      </c>
      <c r="T157" s="7">
        <f>IF($Y157="","",S157*R157)</f>
        <v/>
      </c>
      <c r="U157" s="7">
        <f>IF($Y157="","",T157+Q157)</f>
        <v/>
      </c>
      <c r="V157" s="7">
        <f>IF($Y157="","",W157-U157)</f>
        <v/>
      </c>
      <c r="W157" s="7">
        <f>IF($Y157="","",P157+S157+N157)</f>
        <v/>
      </c>
      <c r="X157" s="7">
        <f>IF($Y157="","",W157-U157-J157)</f>
        <v/>
      </c>
      <c r="Y157" s="13">
        <f>IF(ROWS($Y$2:$Y157)&lt;=MAX('Per Line'!$AN$2:$AN$1001),MATCH(ROWS($Y$2:$Y157),'Per Line'!$AN$2:$AN$1001,0),"")</f>
        <v/>
      </c>
      <c r="Z157" s="14">
        <f>IF($Y157="","",J157-I157*W157/100)</f>
        <v/>
      </c>
    </row>
    <row r="158">
      <c r="A158" s="12" t="n"/>
      <c r="B158">
        <f>IF($Y158="","",INDEX('Per Line'!$D$2:$D$1001,$Y158)&amp;"")</f>
        <v/>
      </c>
      <c r="C158">
        <f>IF($Y158="","",INDEX('Per Line'!$C$2:$C$1001,$Y158)&amp;"")</f>
        <v/>
      </c>
      <c r="D158" s="11">
        <f>IF($Y158="","",INDEX('Per Line'!$F$2:$F$1001,$Y158))</f>
        <v/>
      </c>
      <c r="E158">
        <f>IF($Y158="","",INDEX('Per Line'!$G$2:$G$1001,$Y158)&amp;"")</f>
        <v/>
      </c>
      <c r="F158">
        <f>IF($Y158="","",INDEX('Per Line'!$I$2:$I$1001,$Y158)&amp;"")</f>
        <v/>
      </c>
      <c r="G158">
        <f>IF($Y158="","",INDEX('Per Line'!$J$2:$J$1001,$Y158)&amp;"")</f>
        <v/>
      </c>
      <c r="H158">
        <f>IF($Y158="","",INDEX('Per Line'!$K$2:$K$1001,$Y158)&amp;"")</f>
        <v/>
      </c>
      <c r="I158">
        <f>IF($Y158="","",INDEX('Per Line'!$O$2:$O$1001,$Y158))</f>
        <v/>
      </c>
      <c r="J158" s="7">
        <f>IF($Y158="","",IF(AND(ISNUMBER(L158),L158&gt;0,W158&gt;L158),I158*L158/100+(W158-L158),I158*W158/100))</f>
        <v/>
      </c>
      <c r="K158">
        <f>IF($Y158="","",INDEX('Per Line'!$Y$2:$Y$1001,$Y158)&amp;"")</f>
        <v/>
      </c>
      <c r="L158">
        <f>IF($Y158="","",INDEX('Per Line'!$AF$2:$AF$1001,$Y158))</f>
        <v/>
      </c>
      <c r="M158">
        <f>IF($Y158="","",IF(AND(ISNUMBER(L158),L158&gt;0),W158&gt;L158,FALSE))</f>
        <v/>
      </c>
      <c r="N158" s="7">
        <f>IF($Y158="","",SUMIFS('Per Line'!$X$2:$X$1001,'Per Line'!$D$2:$D$1001,$B158,'Per Line'!$AP$2:$AP$1001,1))</f>
        <v/>
      </c>
      <c r="O158">
        <f>IF($Y158="","",Settings!$C$7)</f>
        <v/>
      </c>
      <c r="P158" s="7">
        <f>IF($Y158="","",SUMIFS('Per Line'!$X$2:$X$1001,'Per Line'!$D$2:$D$1001,$B158,'Per Line'!$AO$2:$AO$1001,0,'Per Line'!$AP$2:$AP$1001,0))</f>
        <v/>
      </c>
      <c r="Q158" s="7">
        <f>IF($Y158="","",P158*O158)</f>
        <v/>
      </c>
      <c r="R158">
        <f>IF($Y158="","",Settings!$C$6)</f>
        <v/>
      </c>
      <c r="S158" s="7">
        <f>IF($Y158="","",SUMIFS('Per Line'!$X$2:$X$1001,'Per Line'!$D$2:$D$1001,$B158,'Per Line'!$AO$2:$AO$1001,1,'Per Line'!$AP$2:$AP$1001,0))</f>
        <v/>
      </c>
      <c r="T158" s="7">
        <f>IF($Y158="","",S158*R158)</f>
        <v/>
      </c>
      <c r="U158" s="7">
        <f>IF($Y158="","",T158+Q158)</f>
        <v/>
      </c>
      <c r="V158" s="7">
        <f>IF($Y158="","",W158-U158)</f>
        <v/>
      </c>
      <c r="W158" s="7">
        <f>IF($Y158="","",P158+S158+N158)</f>
        <v/>
      </c>
      <c r="X158" s="7">
        <f>IF($Y158="","",W158-U158-J158)</f>
        <v/>
      </c>
      <c r="Y158" s="13">
        <f>IF(ROWS($Y$2:$Y158)&lt;=MAX('Per Line'!$AN$2:$AN$1001),MATCH(ROWS($Y$2:$Y158),'Per Line'!$AN$2:$AN$1001,0),"")</f>
        <v/>
      </c>
      <c r="Z158" s="14">
        <f>IF($Y158="","",J158-I158*W158/100)</f>
        <v/>
      </c>
    </row>
    <row r="159">
      <c r="A159" s="12" t="n"/>
      <c r="B159">
        <f>IF($Y159="","",INDEX('Per Line'!$D$2:$D$1001,$Y159)&amp;"")</f>
        <v/>
      </c>
      <c r="C159">
        <f>IF($Y159="","",INDEX('Per Line'!$C$2:$C$1001,$Y159)&amp;"")</f>
        <v/>
      </c>
      <c r="D159" s="11">
        <f>IF($Y159="","",INDEX('Per Line'!$F$2:$F$1001,$Y159))</f>
        <v/>
      </c>
      <c r="E159">
        <f>IF($Y159="","",INDEX('Per Line'!$G$2:$G$1001,$Y159)&amp;"")</f>
        <v/>
      </c>
      <c r="F159">
        <f>IF($Y159="","",INDEX('Per Line'!$I$2:$I$1001,$Y159)&amp;"")</f>
        <v/>
      </c>
      <c r="G159">
        <f>IF($Y159="","",INDEX('Per Line'!$J$2:$J$1001,$Y159)&amp;"")</f>
        <v/>
      </c>
      <c r="H159">
        <f>IF($Y159="","",INDEX('Per Line'!$K$2:$K$1001,$Y159)&amp;"")</f>
        <v/>
      </c>
      <c r="I159">
        <f>IF($Y159="","",INDEX('Per Line'!$O$2:$O$1001,$Y159))</f>
        <v/>
      </c>
      <c r="J159" s="7">
        <f>IF($Y159="","",IF(AND(ISNUMBER(L159),L159&gt;0,W159&gt;L159),I159*L159/100+(W159-L159),I159*W159/100))</f>
        <v/>
      </c>
      <c r="K159">
        <f>IF($Y159="","",INDEX('Per Line'!$Y$2:$Y$1001,$Y159)&amp;"")</f>
        <v/>
      </c>
      <c r="L159">
        <f>IF($Y159="","",INDEX('Per Line'!$AF$2:$AF$1001,$Y159))</f>
        <v/>
      </c>
      <c r="M159">
        <f>IF($Y159="","",IF(AND(ISNUMBER(L159),L159&gt;0),W159&gt;L159,FALSE))</f>
        <v/>
      </c>
      <c r="N159" s="7">
        <f>IF($Y159="","",SUMIFS('Per Line'!$X$2:$X$1001,'Per Line'!$D$2:$D$1001,$B159,'Per Line'!$AP$2:$AP$1001,1))</f>
        <v/>
      </c>
      <c r="O159">
        <f>IF($Y159="","",Settings!$C$7)</f>
        <v/>
      </c>
      <c r="P159" s="7">
        <f>IF($Y159="","",SUMIFS('Per Line'!$X$2:$X$1001,'Per Line'!$D$2:$D$1001,$B159,'Per Line'!$AO$2:$AO$1001,0,'Per Line'!$AP$2:$AP$1001,0))</f>
        <v/>
      </c>
      <c r="Q159" s="7">
        <f>IF($Y159="","",P159*O159)</f>
        <v/>
      </c>
      <c r="R159">
        <f>IF($Y159="","",Settings!$C$6)</f>
        <v/>
      </c>
      <c r="S159" s="7">
        <f>IF($Y159="","",SUMIFS('Per Line'!$X$2:$X$1001,'Per Line'!$D$2:$D$1001,$B159,'Per Line'!$AO$2:$AO$1001,1,'Per Line'!$AP$2:$AP$1001,0))</f>
        <v/>
      </c>
      <c r="T159" s="7">
        <f>IF($Y159="","",S159*R159)</f>
        <v/>
      </c>
      <c r="U159" s="7">
        <f>IF($Y159="","",T159+Q159)</f>
        <v/>
      </c>
      <c r="V159" s="7">
        <f>IF($Y159="","",W159-U159)</f>
        <v/>
      </c>
      <c r="W159" s="7">
        <f>IF($Y159="","",P159+S159+N159)</f>
        <v/>
      </c>
      <c r="X159" s="7">
        <f>IF($Y159="","",W159-U159-J159)</f>
        <v/>
      </c>
      <c r="Y159" s="13">
        <f>IF(ROWS($Y$2:$Y159)&lt;=MAX('Per Line'!$AN$2:$AN$1001),MATCH(ROWS($Y$2:$Y159),'Per Line'!$AN$2:$AN$1001,0),"")</f>
        <v/>
      </c>
      <c r="Z159" s="14">
        <f>IF($Y159="","",J159-I159*W159/100)</f>
        <v/>
      </c>
    </row>
    <row r="160">
      <c r="A160" s="12" t="n"/>
      <c r="B160">
        <f>IF($Y160="","",INDEX('Per Line'!$D$2:$D$1001,$Y160)&amp;"")</f>
        <v/>
      </c>
      <c r="C160">
        <f>IF($Y160="","",INDEX('Per Line'!$C$2:$C$1001,$Y160)&amp;"")</f>
        <v/>
      </c>
      <c r="D160" s="11">
        <f>IF($Y160="","",INDEX('Per Line'!$F$2:$F$1001,$Y160))</f>
        <v/>
      </c>
      <c r="E160">
        <f>IF($Y160="","",INDEX('Per Line'!$G$2:$G$1001,$Y160)&amp;"")</f>
        <v/>
      </c>
      <c r="F160">
        <f>IF($Y160="","",INDEX('Per Line'!$I$2:$I$1001,$Y160)&amp;"")</f>
        <v/>
      </c>
      <c r="G160">
        <f>IF($Y160="","",INDEX('Per Line'!$J$2:$J$1001,$Y160)&amp;"")</f>
        <v/>
      </c>
      <c r="H160">
        <f>IF($Y160="","",INDEX('Per Line'!$K$2:$K$1001,$Y160)&amp;"")</f>
        <v/>
      </c>
      <c r="I160">
        <f>IF($Y160="","",INDEX('Per Line'!$O$2:$O$1001,$Y160))</f>
        <v/>
      </c>
      <c r="J160" s="7">
        <f>IF($Y160="","",IF(AND(ISNUMBER(L160),L160&gt;0,W160&gt;L160),I160*L160/100+(W160-L160),I160*W160/100))</f>
        <v/>
      </c>
      <c r="K160">
        <f>IF($Y160="","",INDEX('Per Line'!$Y$2:$Y$1001,$Y160)&amp;"")</f>
        <v/>
      </c>
      <c r="L160">
        <f>IF($Y160="","",INDEX('Per Line'!$AF$2:$AF$1001,$Y160))</f>
        <v/>
      </c>
      <c r="M160">
        <f>IF($Y160="","",IF(AND(ISNUMBER(L160),L160&gt;0),W160&gt;L160,FALSE))</f>
        <v/>
      </c>
      <c r="N160" s="7">
        <f>IF($Y160="","",SUMIFS('Per Line'!$X$2:$X$1001,'Per Line'!$D$2:$D$1001,$B160,'Per Line'!$AP$2:$AP$1001,1))</f>
        <v/>
      </c>
      <c r="O160">
        <f>IF($Y160="","",Settings!$C$7)</f>
        <v/>
      </c>
      <c r="P160" s="7">
        <f>IF($Y160="","",SUMIFS('Per Line'!$X$2:$X$1001,'Per Line'!$D$2:$D$1001,$B160,'Per Line'!$AO$2:$AO$1001,0,'Per Line'!$AP$2:$AP$1001,0))</f>
        <v/>
      </c>
      <c r="Q160" s="7">
        <f>IF($Y160="","",P160*O160)</f>
        <v/>
      </c>
      <c r="R160">
        <f>IF($Y160="","",Settings!$C$6)</f>
        <v/>
      </c>
      <c r="S160" s="7">
        <f>IF($Y160="","",SUMIFS('Per Line'!$X$2:$X$1001,'Per Line'!$D$2:$D$1001,$B160,'Per Line'!$AO$2:$AO$1001,1,'Per Line'!$AP$2:$AP$1001,0))</f>
        <v/>
      </c>
      <c r="T160" s="7">
        <f>IF($Y160="","",S160*R160)</f>
        <v/>
      </c>
      <c r="U160" s="7">
        <f>IF($Y160="","",T160+Q160)</f>
        <v/>
      </c>
      <c r="V160" s="7">
        <f>IF($Y160="","",W160-U160)</f>
        <v/>
      </c>
      <c r="W160" s="7">
        <f>IF($Y160="","",P160+S160+N160)</f>
        <v/>
      </c>
      <c r="X160" s="7">
        <f>IF($Y160="","",W160-U160-J160)</f>
        <v/>
      </c>
      <c r="Y160" s="13">
        <f>IF(ROWS($Y$2:$Y160)&lt;=MAX('Per Line'!$AN$2:$AN$1001),MATCH(ROWS($Y$2:$Y160),'Per Line'!$AN$2:$AN$1001,0),"")</f>
        <v/>
      </c>
      <c r="Z160" s="14">
        <f>IF($Y160="","",J160-I160*W160/100)</f>
        <v/>
      </c>
    </row>
    <row r="161">
      <c r="A161" s="12" t="n"/>
      <c r="B161">
        <f>IF($Y161="","",INDEX('Per Line'!$D$2:$D$1001,$Y161)&amp;"")</f>
        <v/>
      </c>
      <c r="C161">
        <f>IF($Y161="","",INDEX('Per Line'!$C$2:$C$1001,$Y161)&amp;"")</f>
        <v/>
      </c>
      <c r="D161" s="11">
        <f>IF($Y161="","",INDEX('Per Line'!$F$2:$F$1001,$Y161))</f>
        <v/>
      </c>
      <c r="E161">
        <f>IF($Y161="","",INDEX('Per Line'!$G$2:$G$1001,$Y161)&amp;"")</f>
        <v/>
      </c>
      <c r="F161">
        <f>IF($Y161="","",INDEX('Per Line'!$I$2:$I$1001,$Y161)&amp;"")</f>
        <v/>
      </c>
      <c r="G161">
        <f>IF($Y161="","",INDEX('Per Line'!$J$2:$J$1001,$Y161)&amp;"")</f>
        <v/>
      </c>
      <c r="H161">
        <f>IF($Y161="","",INDEX('Per Line'!$K$2:$K$1001,$Y161)&amp;"")</f>
        <v/>
      </c>
      <c r="I161">
        <f>IF($Y161="","",INDEX('Per Line'!$O$2:$O$1001,$Y161))</f>
        <v/>
      </c>
      <c r="J161" s="7">
        <f>IF($Y161="","",IF(AND(ISNUMBER(L161),L161&gt;0,W161&gt;L161),I161*L161/100+(W161-L161),I161*W161/100))</f>
        <v/>
      </c>
      <c r="K161">
        <f>IF($Y161="","",INDEX('Per Line'!$Y$2:$Y$1001,$Y161)&amp;"")</f>
        <v/>
      </c>
      <c r="L161">
        <f>IF($Y161="","",INDEX('Per Line'!$AF$2:$AF$1001,$Y161))</f>
        <v/>
      </c>
      <c r="M161">
        <f>IF($Y161="","",IF(AND(ISNUMBER(L161),L161&gt;0),W161&gt;L161,FALSE))</f>
        <v/>
      </c>
      <c r="N161" s="7">
        <f>IF($Y161="","",SUMIFS('Per Line'!$X$2:$X$1001,'Per Line'!$D$2:$D$1001,$B161,'Per Line'!$AP$2:$AP$1001,1))</f>
        <v/>
      </c>
      <c r="O161">
        <f>IF($Y161="","",Settings!$C$7)</f>
        <v/>
      </c>
      <c r="P161" s="7">
        <f>IF($Y161="","",SUMIFS('Per Line'!$X$2:$X$1001,'Per Line'!$D$2:$D$1001,$B161,'Per Line'!$AO$2:$AO$1001,0,'Per Line'!$AP$2:$AP$1001,0))</f>
        <v/>
      </c>
      <c r="Q161" s="7">
        <f>IF($Y161="","",P161*O161)</f>
        <v/>
      </c>
      <c r="R161">
        <f>IF($Y161="","",Settings!$C$6)</f>
        <v/>
      </c>
      <c r="S161" s="7">
        <f>IF($Y161="","",SUMIFS('Per Line'!$X$2:$X$1001,'Per Line'!$D$2:$D$1001,$B161,'Per Line'!$AO$2:$AO$1001,1,'Per Line'!$AP$2:$AP$1001,0))</f>
        <v/>
      </c>
      <c r="T161" s="7">
        <f>IF($Y161="","",S161*R161)</f>
        <v/>
      </c>
      <c r="U161" s="7">
        <f>IF($Y161="","",T161+Q161)</f>
        <v/>
      </c>
      <c r="V161" s="7">
        <f>IF($Y161="","",W161-U161)</f>
        <v/>
      </c>
      <c r="W161" s="7">
        <f>IF($Y161="","",P161+S161+N161)</f>
        <v/>
      </c>
      <c r="X161" s="7">
        <f>IF($Y161="","",W161-U161-J161)</f>
        <v/>
      </c>
      <c r="Y161" s="13">
        <f>IF(ROWS($Y$2:$Y161)&lt;=MAX('Per Line'!$AN$2:$AN$1001),MATCH(ROWS($Y$2:$Y161),'Per Line'!$AN$2:$AN$1001,0),"")</f>
        <v/>
      </c>
      <c r="Z161" s="14">
        <f>IF($Y161="","",J161-I161*W161/100)</f>
        <v/>
      </c>
    </row>
    <row r="162">
      <c r="A162" s="12" t="n"/>
      <c r="B162">
        <f>IF($Y162="","",INDEX('Per Line'!$D$2:$D$1001,$Y162)&amp;"")</f>
        <v/>
      </c>
      <c r="C162">
        <f>IF($Y162="","",INDEX('Per Line'!$C$2:$C$1001,$Y162)&amp;"")</f>
        <v/>
      </c>
      <c r="D162" s="11">
        <f>IF($Y162="","",INDEX('Per Line'!$F$2:$F$1001,$Y162))</f>
        <v/>
      </c>
      <c r="E162">
        <f>IF($Y162="","",INDEX('Per Line'!$G$2:$G$1001,$Y162)&amp;"")</f>
        <v/>
      </c>
      <c r="F162">
        <f>IF($Y162="","",INDEX('Per Line'!$I$2:$I$1001,$Y162)&amp;"")</f>
        <v/>
      </c>
      <c r="G162">
        <f>IF($Y162="","",INDEX('Per Line'!$J$2:$J$1001,$Y162)&amp;"")</f>
        <v/>
      </c>
      <c r="H162">
        <f>IF($Y162="","",INDEX('Per Line'!$K$2:$K$1001,$Y162)&amp;"")</f>
        <v/>
      </c>
      <c r="I162">
        <f>IF($Y162="","",INDEX('Per Line'!$O$2:$O$1001,$Y162))</f>
        <v/>
      </c>
      <c r="J162" s="7">
        <f>IF($Y162="","",IF(AND(ISNUMBER(L162),L162&gt;0,W162&gt;L162),I162*L162/100+(W162-L162),I162*W162/100))</f>
        <v/>
      </c>
      <c r="K162">
        <f>IF($Y162="","",INDEX('Per Line'!$Y$2:$Y$1001,$Y162)&amp;"")</f>
        <v/>
      </c>
      <c r="L162">
        <f>IF($Y162="","",INDEX('Per Line'!$AF$2:$AF$1001,$Y162))</f>
        <v/>
      </c>
      <c r="M162">
        <f>IF($Y162="","",IF(AND(ISNUMBER(L162),L162&gt;0),W162&gt;L162,FALSE))</f>
        <v/>
      </c>
      <c r="N162" s="7">
        <f>IF($Y162="","",SUMIFS('Per Line'!$X$2:$X$1001,'Per Line'!$D$2:$D$1001,$B162,'Per Line'!$AP$2:$AP$1001,1))</f>
        <v/>
      </c>
      <c r="O162">
        <f>IF($Y162="","",Settings!$C$7)</f>
        <v/>
      </c>
      <c r="P162" s="7">
        <f>IF($Y162="","",SUMIFS('Per Line'!$X$2:$X$1001,'Per Line'!$D$2:$D$1001,$B162,'Per Line'!$AO$2:$AO$1001,0,'Per Line'!$AP$2:$AP$1001,0))</f>
        <v/>
      </c>
      <c r="Q162" s="7">
        <f>IF($Y162="","",P162*O162)</f>
        <v/>
      </c>
      <c r="R162">
        <f>IF($Y162="","",Settings!$C$6)</f>
        <v/>
      </c>
      <c r="S162" s="7">
        <f>IF($Y162="","",SUMIFS('Per Line'!$X$2:$X$1001,'Per Line'!$D$2:$D$1001,$B162,'Per Line'!$AO$2:$AO$1001,1,'Per Line'!$AP$2:$AP$1001,0))</f>
        <v/>
      </c>
      <c r="T162" s="7">
        <f>IF($Y162="","",S162*R162)</f>
        <v/>
      </c>
      <c r="U162" s="7">
        <f>IF($Y162="","",T162+Q162)</f>
        <v/>
      </c>
      <c r="V162" s="7">
        <f>IF($Y162="","",W162-U162)</f>
        <v/>
      </c>
      <c r="W162" s="7">
        <f>IF($Y162="","",P162+S162+N162)</f>
        <v/>
      </c>
      <c r="X162" s="7">
        <f>IF($Y162="","",W162-U162-J162)</f>
        <v/>
      </c>
      <c r="Y162" s="13">
        <f>IF(ROWS($Y$2:$Y162)&lt;=MAX('Per Line'!$AN$2:$AN$1001),MATCH(ROWS($Y$2:$Y162),'Per Line'!$AN$2:$AN$1001,0),"")</f>
        <v/>
      </c>
      <c r="Z162" s="14">
        <f>IF($Y162="","",J162-I162*W162/100)</f>
        <v/>
      </c>
    </row>
    <row r="163">
      <c r="A163" s="12" t="n"/>
      <c r="B163">
        <f>IF($Y163="","",INDEX('Per Line'!$D$2:$D$1001,$Y163)&amp;"")</f>
        <v/>
      </c>
      <c r="C163">
        <f>IF($Y163="","",INDEX('Per Line'!$C$2:$C$1001,$Y163)&amp;"")</f>
        <v/>
      </c>
      <c r="D163" s="11">
        <f>IF($Y163="","",INDEX('Per Line'!$F$2:$F$1001,$Y163))</f>
        <v/>
      </c>
      <c r="E163">
        <f>IF($Y163="","",INDEX('Per Line'!$G$2:$G$1001,$Y163)&amp;"")</f>
        <v/>
      </c>
      <c r="F163">
        <f>IF($Y163="","",INDEX('Per Line'!$I$2:$I$1001,$Y163)&amp;"")</f>
        <v/>
      </c>
      <c r="G163">
        <f>IF($Y163="","",INDEX('Per Line'!$J$2:$J$1001,$Y163)&amp;"")</f>
        <v/>
      </c>
      <c r="H163">
        <f>IF($Y163="","",INDEX('Per Line'!$K$2:$K$1001,$Y163)&amp;"")</f>
        <v/>
      </c>
      <c r="I163">
        <f>IF($Y163="","",INDEX('Per Line'!$O$2:$O$1001,$Y163))</f>
        <v/>
      </c>
      <c r="J163" s="7">
        <f>IF($Y163="","",IF(AND(ISNUMBER(L163),L163&gt;0,W163&gt;L163),I163*L163/100+(W163-L163),I163*W163/100))</f>
        <v/>
      </c>
      <c r="K163">
        <f>IF($Y163="","",INDEX('Per Line'!$Y$2:$Y$1001,$Y163)&amp;"")</f>
        <v/>
      </c>
      <c r="L163">
        <f>IF($Y163="","",INDEX('Per Line'!$AF$2:$AF$1001,$Y163))</f>
        <v/>
      </c>
      <c r="M163">
        <f>IF($Y163="","",IF(AND(ISNUMBER(L163),L163&gt;0),W163&gt;L163,FALSE))</f>
        <v/>
      </c>
      <c r="N163" s="7">
        <f>IF($Y163="","",SUMIFS('Per Line'!$X$2:$X$1001,'Per Line'!$D$2:$D$1001,$B163,'Per Line'!$AP$2:$AP$1001,1))</f>
        <v/>
      </c>
      <c r="O163">
        <f>IF($Y163="","",Settings!$C$7)</f>
        <v/>
      </c>
      <c r="P163" s="7">
        <f>IF($Y163="","",SUMIFS('Per Line'!$X$2:$X$1001,'Per Line'!$D$2:$D$1001,$B163,'Per Line'!$AO$2:$AO$1001,0,'Per Line'!$AP$2:$AP$1001,0))</f>
        <v/>
      </c>
      <c r="Q163" s="7">
        <f>IF($Y163="","",P163*O163)</f>
        <v/>
      </c>
      <c r="R163">
        <f>IF($Y163="","",Settings!$C$6)</f>
        <v/>
      </c>
      <c r="S163" s="7">
        <f>IF($Y163="","",SUMIFS('Per Line'!$X$2:$X$1001,'Per Line'!$D$2:$D$1001,$B163,'Per Line'!$AO$2:$AO$1001,1,'Per Line'!$AP$2:$AP$1001,0))</f>
        <v/>
      </c>
      <c r="T163" s="7">
        <f>IF($Y163="","",S163*R163)</f>
        <v/>
      </c>
      <c r="U163" s="7">
        <f>IF($Y163="","",T163+Q163)</f>
        <v/>
      </c>
      <c r="V163" s="7">
        <f>IF($Y163="","",W163-U163)</f>
        <v/>
      </c>
      <c r="W163" s="7">
        <f>IF($Y163="","",P163+S163+N163)</f>
        <v/>
      </c>
      <c r="X163" s="7">
        <f>IF($Y163="","",W163-U163-J163)</f>
        <v/>
      </c>
      <c r="Y163" s="13">
        <f>IF(ROWS($Y$2:$Y163)&lt;=MAX('Per Line'!$AN$2:$AN$1001),MATCH(ROWS($Y$2:$Y163),'Per Line'!$AN$2:$AN$1001,0),"")</f>
        <v/>
      </c>
      <c r="Z163" s="14">
        <f>IF($Y163="","",J163-I163*W163/100)</f>
        <v/>
      </c>
    </row>
    <row r="164">
      <c r="A164" s="12" t="n"/>
      <c r="B164">
        <f>IF($Y164="","",INDEX('Per Line'!$D$2:$D$1001,$Y164)&amp;"")</f>
        <v/>
      </c>
      <c r="C164">
        <f>IF($Y164="","",INDEX('Per Line'!$C$2:$C$1001,$Y164)&amp;"")</f>
        <v/>
      </c>
      <c r="D164" s="11">
        <f>IF($Y164="","",INDEX('Per Line'!$F$2:$F$1001,$Y164))</f>
        <v/>
      </c>
      <c r="E164">
        <f>IF($Y164="","",INDEX('Per Line'!$G$2:$G$1001,$Y164)&amp;"")</f>
        <v/>
      </c>
      <c r="F164">
        <f>IF($Y164="","",INDEX('Per Line'!$I$2:$I$1001,$Y164)&amp;"")</f>
        <v/>
      </c>
      <c r="G164">
        <f>IF($Y164="","",INDEX('Per Line'!$J$2:$J$1001,$Y164)&amp;"")</f>
        <v/>
      </c>
      <c r="H164">
        <f>IF($Y164="","",INDEX('Per Line'!$K$2:$K$1001,$Y164)&amp;"")</f>
        <v/>
      </c>
      <c r="I164">
        <f>IF($Y164="","",INDEX('Per Line'!$O$2:$O$1001,$Y164))</f>
        <v/>
      </c>
      <c r="J164" s="7">
        <f>IF($Y164="","",IF(AND(ISNUMBER(L164),L164&gt;0,W164&gt;L164),I164*L164/100+(W164-L164),I164*W164/100))</f>
        <v/>
      </c>
      <c r="K164">
        <f>IF($Y164="","",INDEX('Per Line'!$Y$2:$Y$1001,$Y164)&amp;"")</f>
        <v/>
      </c>
      <c r="L164">
        <f>IF($Y164="","",INDEX('Per Line'!$AF$2:$AF$1001,$Y164))</f>
        <v/>
      </c>
      <c r="M164">
        <f>IF($Y164="","",IF(AND(ISNUMBER(L164),L164&gt;0),W164&gt;L164,FALSE))</f>
        <v/>
      </c>
      <c r="N164" s="7">
        <f>IF($Y164="","",SUMIFS('Per Line'!$X$2:$X$1001,'Per Line'!$D$2:$D$1001,$B164,'Per Line'!$AP$2:$AP$1001,1))</f>
        <v/>
      </c>
      <c r="O164">
        <f>IF($Y164="","",Settings!$C$7)</f>
        <v/>
      </c>
      <c r="P164" s="7">
        <f>IF($Y164="","",SUMIFS('Per Line'!$X$2:$X$1001,'Per Line'!$D$2:$D$1001,$B164,'Per Line'!$AO$2:$AO$1001,0,'Per Line'!$AP$2:$AP$1001,0))</f>
        <v/>
      </c>
      <c r="Q164" s="7">
        <f>IF($Y164="","",P164*O164)</f>
        <v/>
      </c>
      <c r="R164">
        <f>IF($Y164="","",Settings!$C$6)</f>
        <v/>
      </c>
      <c r="S164" s="7">
        <f>IF($Y164="","",SUMIFS('Per Line'!$X$2:$X$1001,'Per Line'!$D$2:$D$1001,$B164,'Per Line'!$AO$2:$AO$1001,1,'Per Line'!$AP$2:$AP$1001,0))</f>
        <v/>
      </c>
      <c r="T164" s="7">
        <f>IF($Y164="","",S164*R164)</f>
        <v/>
      </c>
      <c r="U164" s="7">
        <f>IF($Y164="","",T164+Q164)</f>
        <v/>
      </c>
      <c r="V164" s="7">
        <f>IF($Y164="","",W164-U164)</f>
        <v/>
      </c>
      <c r="W164" s="7">
        <f>IF($Y164="","",P164+S164+N164)</f>
        <v/>
      </c>
      <c r="X164" s="7">
        <f>IF($Y164="","",W164-U164-J164)</f>
        <v/>
      </c>
      <c r="Y164" s="13">
        <f>IF(ROWS($Y$2:$Y164)&lt;=MAX('Per Line'!$AN$2:$AN$1001),MATCH(ROWS($Y$2:$Y164),'Per Line'!$AN$2:$AN$1001,0),"")</f>
        <v/>
      </c>
      <c r="Z164" s="14">
        <f>IF($Y164="","",J164-I164*W164/100)</f>
        <v/>
      </c>
    </row>
    <row r="165">
      <c r="A165" s="12" t="n"/>
      <c r="B165">
        <f>IF($Y165="","",INDEX('Per Line'!$D$2:$D$1001,$Y165)&amp;"")</f>
        <v/>
      </c>
      <c r="C165">
        <f>IF($Y165="","",INDEX('Per Line'!$C$2:$C$1001,$Y165)&amp;"")</f>
        <v/>
      </c>
      <c r="D165" s="11">
        <f>IF($Y165="","",INDEX('Per Line'!$F$2:$F$1001,$Y165))</f>
        <v/>
      </c>
      <c r="E165">
        <f>IF($Y165="","",INDEX('Per Line'!$G$2:$G$1001,$Y165)&amp;"")</f>
        <v/>
      </c>
      <c r="F165">
        <f>IF($Y165="","",INDEX('Per Line'!$I$2:$I$1001,$Y165)&amp;"")</f>
        <v/>
      </c>
      <c r="G165">
        <f>IF($Y165="","",INDEX('Per Line'!$J$2:$J$1001,$Y165)&amp;"")</f>
        <v/>
      </c>
      <c r="H165">
        <f>IF($Y165="","",INDEX('Per Line'!$K$2:$K$1001,$Y165)&amp;"")</f>
        <v/>
      </c>
      <c r="I165">
        <f>IF($Y165="","",INDEX('Per Line'!$O$2:$O$1001,$Y165))</f>
        <v/>
      </c>
      <c r="J165" s="7">
        <f>IF($Y165="","",IF(AND(ISNUMBER(L165),L165&gt;0,W165&gt;L165),I165*L165/100+(W165-L165),I165*W165/100))</f>
        <v/>
      </c>
      <c r="K165">
        <f>IF($Y165="","",INDEX('Per Line'!$Y$2:$Y$1001,$Y165)&amp;"")</f>
        <v/>
      </c>
      <c r="L165">
        <f>IF($Y165="","",INDEX('Per Line'!$AF$2:$AF$1001,$Y165))</f>
        <v/>
      </c>
      <c r="M165">
        <f>IF($Y165="","",IF(AND(ISNUMBER(L165),L165&gt;0),W165&gt;L165,FALSE))</f>
        <v/>
      </c>
      <c r="N165" s="7">
        <f>IF($Y165="","",SUMIFS('Per Line'!$X$2:$X$1001,'Per Line'!$D$2:$D$1001,$B165,'Per Line'!$AP$2:$AP$1001,1))</f>
        <v/>
      </c>
      <c r="O165">
        <f>IF($Y165="","",Settings!$C$7)</f>
        <v/>
      </c>
      <c r="P165" s="7">
        <f>IF($Y165="","",SUMIFS('Per Line'!$X$2:$X$1001,'Per Line'!$D$2:$D$1001,$B165,'Per Line'!$AO$2:$AO$1001,0,'Per Line'!$AP$2:$AP$1001,0))</f>
        <v/>
      </c>
      <c r="Q165" s="7">
        <f>IF($Y165="","",P165*O165)</f>
        <v/>
      </c>
      <c r="R165">
        <f>IF($Y165="","",Settings!$C$6)</f>
        <v/>
      </c>
      <c r="S165" s="7">
        <f>IF($Y165="","",SUMIFS('Per Line'!$X$2:$X$1001,'Per Line'!$D$2:$D$1001,$B165,'Per Line'!$AO$2:$AO$1001,1,'Per Line'!$AP$2:$AP$1001,0))</f>
        <v/>
      </c>
      <c r="T165" s="7">
        <f>IF($Y165="","",S165*R165)</f>
        <v/>
      </c>
      <c r="U165" s="7">
        <f>IF($Y165="","",T165+Q165)</f>
        <v/>
      </c>
      <c r="V165" s="7">
        <f>IF($Y165="","",W165-U165)</f>
        <v/>
      </c>
      <c r="W165" s="7">
        <f>IF($Y165="","",P165+S165+N165)</f>
        <v/>
      </c>
      <c r="X165" s="7">
        <f>IF($Y165="","",W165-U165-J165)</f>
        <v/>
      </c>
      <c r="Y165" s="13">
        <f>IF(ROWS($Y$2:$Y165)&lt;=MAX('Per Line'!$AN$2:$AN$1001),MATCH(ROWS($Y$2:$Y165),'Per Line'!$AN$2:$AN$1001,0),"")</f>
        <v/>
      </c>
      <c r="Z165" s="14">
        <f>IF($Y165="","",J165-I165*W165/100)</f>
        <v/>
      </c>
    </row>
    <row r="166">
      <c r="A166" s="12" t="n"/>
      <c r="B166">
        <f>IF($Y166="","",INDEX('Per Line'!$D$2:$D$1001,$Y166)&amp;"")</f>
        <v/>
      </c>
      <c r="C166">
        <f>IF($Y166="","",INDEX('Per Line'!$C$2:$C$1001,$Y166)&amp;"")</f>
        <v/>
      </c>
      <c r="D166" s="11">
        <f>IF($Y166="","",INDEX('Per Line'!$F$2:$F$1001,$Y166))</f>
        <v/>
      </c>
      <c r="E166">
        <f>IF($Y166="","",INDEX('Per Line'!$G$2:$G$1001,$Y166)&amp;"")</f>
        <v/>
      </c>
      <c r="F166">
        <f>IF($Y166="","",INDEX('Per Line'!$I$2:$I$1001,$Y166)&amp;"")</f>
        <v/>
      </c>
      <c r="G166">
        <f>IF($Y166="","",INDEX('Per Line'!$J$2:$J$1001,$Y166)&amp;"")</f>
        <v/>
      </c>
      <c r="H166">
        <f>IF($Y166="","",INDEX('Per Line'!$K$2:$K$1001,$Y166)&amp;"")</f>
        <v/>
      </c>
      <c r="I166">
        <f>IF($Y166="","",INDEX('Per Line'!$O$2:$O$1001,$Y166))</f>
        <v/>
      </c>
      <c r="J166" s="7">
        <f>IF($Y166="","",IF(AND(ISNUMBER(L166),L166&gt;0,W166&gt;L166),I166*L166/100+(W166-L166),I166*W166/100))</f>
        <v/>
      </c>
      <c r="K166">
        <f>IF($Y166="","",INDEX('Per Line'!$Y$2:$Y$1001,$Y166)&amp;"")</f>
        <v/>
      </c>
      <c r="L166">
        <f>IF($Y166="","",INDEX('Per Line'!$AF$2:$AF$1001,$Y166))</f>
        <v/>
      </c>
      <c r="M166">
        <f>IF($Y166="","",IF(AND(ISNUMBER(L166),L166&gt;0),W166&gt;L166,FALSE))</f>
        <v/>
      </c>
      <c r="N166" s="7">
        <f>IF($Y166="","",SUMIFS('Per Line'!$X$2:$X$1001,'Per Line'!$D$2:$D$1001,$B166,'Per Line'!$AP$2:$AP$1001,1))</f>
        <v/>
      </c>
      <c r="O166">
        <f>IF($Y166="","",Settings!$C$7)</f>
        <v/>
      </c>
      <c r="P166" s="7">
        <f>IF($Y166="","",SUMIFS('Per Line'!$X$2:$X$1001,'Per Line'!$D$2:$D$1001,$B166,'Per Line'!$AO$2:$AO$1001,0,'Per Line'!$AP$2:$AP$1001,0))</f>
        <v/>
      </c>
      <c r="Q166" s="7">
        <f>IF($Y166="","",P166*O166)</f>
        <v/>
      </c>
      <c r="R166">
        <f>IF($Y166="","",Settings!$C$6)</f>
        <v/>
      </c>
      <c r="S166" s="7">
        <f>IF($Y166="","",SUMIFS('Per Line'!$X$2:$X$1001,'Per Line'!$D$2:$D$1001,$B166,'Per Line'!$AO$2:$AO$1001,1,'Per Line'!$AP$2:$AP$1001,0))</f>
        <v/>
      </c>
      <c r="T166" s="7">
        <f>IF($Y166="","",S166*R166)</f>
        <v/>
      </c>
      <c r="U166" s="7">
        <f>IF($Y166="","",T166+Q166)</f>
        <v/>
      </c>
      <c r="V166" s="7">
        <f>IF($Y166="","",W166-U166)</f>
        <v/>
      </c>
      <c r="W166" s="7">
        <f>IF($Y166="","",P166+S166+N166)</f>
        <v/>
      </c>
      <c r="X166" s="7">
        <f>IF($Y166="","",W166-U166-J166)</f>
        <v/>
      </c>
      <c r="Y166" s="13">
        <f>IF(ROWS($Y$2:$Y166)&lt;=MAX('Per Line'!$AN$2:$AN$1001),MATCH(ROWS($Y$2:$Y166),'Per Line'!$AN$2:$AN$1001,0),"")</f>
        <v/>
      </c>
      <c r="Z166" s="14">
        <f>IF($Y166="","",J166-I166*W166/100)</f>
        <v/>
      </c>
    </row>
    <row r="167">
      <c r="A167" s="12" t="n"/>
      <c r="B167">
        <f>IF($Y167="","",INDEX('Per Line'!$D$2:$D$1001,$Y167)&amp;"")</f>
        <v/>
      </c>
      <c r="C167">
        <f>IF($Y167="","",INDEX('Per Line'!$C$2:$C$1001,$Y167)&amp;"")</f>
        <v/>
      </c>
      <c r="D167" s="11">
        <f>IF($Y167="","",INDEX('Per Line'!$F$2:$F$1001,$Y167))</f>
        <v/>
      </c>
      <c r="E167">
        <f>IF($Y167="","",INDEX('Per Line'!$G$2:$G$1001,$Y167)&amp;"")</f>
        <v/>
      </c>
      <c r="F167">
        <f>IF($Y167="","",INDEX('Per Line'!$I$2:$I$1001,$Y167)&amp;"")</f>
        <v/>
      </c>
      <c r="G167">
        <f>IF($Y167="","",INDEX('Per Line'!$J$2:$J$1001,$Y167)&amp;"")</f>
        <v/>
      </c>
      <c r="H167">
        <f>IF($Y167="","",INDEX('Per Line'!$K$2:$K$1001,$Y167)&amp;"")</f>
        <v/>
      </c>
      <c r="I167">
        <f>IF($Y167="","",INDEX('Per Line'!$O$2:$O$1001,$Y167))</f>
        <v/>
      </c>
      <c r="J167" s="7">
        <f>IF($Y167="","",IF(AND(ISNUMBER(L167),L167&gt;0,W167&gt;L167),I167*L167/100+(W167-L167),I167*W167/100))</f>
        <v/>
      </c>
      <c r="K167">
        <f>IF($Y167="","",INDEX('Per Line'!$Y$2:$Y$1001,$Y167)&amp;"")</f>
        <v/>
      </c>
      <c r="L167">
        <f>IF($Y167="","",INDEX('Per Line'!$AF$2:$AF$1001,$Y167))</f>
        <v/>
      </c>
      <c r="M167">
        <f>IF($Y167="","",IF(AND(ISNUMBER(L167),L167&gt;0),W167&gt;L167,FALSE))</f>
        <v/>
      </c>
      <c r="N167" s="7">
        <f>IF($Y167="","",SUMIFS('Per Line'!$X$2:$X$1001,'Per Line'!$D$2:$D$1001,$B167,'Per Line'!$AP$2:$AP$1001,1))</f>
        <v/>
      </c>
      <c r="O167">
        <f>IF($Y167="","",Settings!$C$7)</f>
        <v/>
      </c>
      <c r="P167" s="7">
        <f>IF($Y167="","",SUMIFS('Per Line'!$X$2:$X$1001,'Per Line'!$D$2:$D$1001,$B167,'Per Line'!$AO$2:$AO$1001,0,'Per Line'!$AP$2:$AP$1001,0))</f>
        <v/>
      </c>
      <c r="Q167" s="7">
        <f>IF($Y167="","",P167*O167)</f>
        <v/>
      </c>
      <c r="R167">
        <f>IF($Y167="","",Settings!$C$6)</f>
        <v/>
      </c>
      <c r="S167" s="7">
        <f>IF($Y167="","",SUMIFS('Per Line'!$X$2:$X$1001,'Per Line'!$D$2:$D$1001,$B167,'Per Line'!$AO$2:$AO$1001,1,'Per Line'!$AP$2:$AP$1001,0))</f>
        <v/>
      </c>
      <c r="T167" s="7">
        <f>IF($Y167="","",S167*R167)</f>
        <v/>
      </c>
      <c r="U167" s="7">
        <f>IF($Y167="","",T167+Q167)</f>
        <v/>
      </c>
      <c r="V167" s="7">
        <f>IF($Y167="","",W167-U167)</f>
        <v/>
      </c>
      <c r="W167" s="7">
        <f>IF($Y167="","",P167+S167+N167)</f>
        <v/>
      </c>
      <c r="X167" s="7">
        <f>IF($Y167="","",W167-U167-J167)</f>
        <v/>
      </c>
      <c r="Y167" s="13">
        <f>IF(ROWS($Y$2:$Y167)&lt;=MAX('Per Line'!$AN$2:$AN$1001),MATCH(ROWS($Y$2:$Y167),'Per Line'!$AN$2:$AN$1001,0),"")</f>
        <v/>
      </c>
      <c r="Z167" s="14">
        <f>IF($Y167="","",J167-I167*W167/100)</f>
        <v/>
      </c>
    </row>
    <row r="168">
      <c r="A168" s="12" t="n"/>
      <c r="B168">
        <f>IF($Y168="","",INDEX('Per Line'!$D$2:$D$1001,$Y168)&amp;"")</f>
        <v/>
      </c>
      <c r="C168">
        <f>IF($Y168="","",INDEX('Per Line'!$C$2:$C$1001,$Y168)&amp;"")</f>
        <v/>
      </c>
      <c r="D168" s="11">
        <f>IF($Y168="","",INDEX('Per Line'!$F$2:$F$1001,$Y168))</f>
        <v/>
      </c>
      <c r="E168">
        <f>IF($Y168="","",INDEX('Per Line'!$G$2:$G$1001,$Y168)&amp;"")</f>
        <v/>
      </c>
      <c r="F168">
        <f>IF($Y168="","",INDEX('Per Line'!$I$2:$I$1001,$Y168)&amp;"")</f>
        <v/>
      </c>
      <c r="G168">
        <f>IF($Y168="","",INDEX('Per Line'!$J$2:$J$1001,$Y168)&amp;"")</f>
        <v/>
      </c>
      <c r="H168">
        <f>IF($Y168="","",INDEX('Per Line'!$K$2:$K$1001,$Y168)&amp;"")</f>
        <v/>
      </c>
      <c r="I168">
        <f>IF($Y168="","",INDEX('Per Line'!$O$2:$O$1001,$Y168))</f>
        <v/>
      </c>
      <c r="J168" s="7">
        <f>IF($Y168="","",IF(AND(ISNUMBER(L168),L168&gt;0,W168&gt;L168),I168*L168/100+(W168-L168),I168*W168/100))</f>
        <v/>
      </c>
      <c r="K168">
        <f>IF($Y168="","",INDEX('Per Line'!$Y$2:$Y$1001,$Y168)&amp;"")</f>
        <v/>
      </c>
      <c r="L168">
        <f>IF($Y168="","",INDEX('Per Line'!$AF$2:$AF$1001,$Y168))</f>
        <v/>
      </c>
      <c r="M168">
        <f>IF($Y168="","",IF(AND(ISNUMBER(L168),L168&gt;0),W168&gt;L168,FALSE))</f>
        <v/>
      </c>
      <c r="N168" s="7">
        <f>IF($Y168="","",SUMIFS('Per Line'!$X$2:$X$1001,'Per Line'!$D$2:$D$1001,$B168,'Per Line'!$AP$2:$AP$1001,1))</f>
        <v/>
      </c>
      <c r="O168">
        <f>IF($Y168="","",Settings!$C$7)</f>
        <v/>
      </c>
      <c r="P168" s="7">
        <f>IF($Y168="","",SUMIFS('Per Line'!$X$2:$X$1001,'Per Line'!$D$2:$D$1001,$B168,'Per Line'!$AO$2:$AO$1001,0,'Per Line'!$AP$2:$AP$1001,0))</f>
        <v/>
      </c>
      <c r="Q168" s="7">
        <f>IF($Y168="","",P168*O168)</f>
        <v/>
      </c>
      <c r="R168">
        <f>IF($Y168="","",Settings!$C$6)</f>
        <v/>
      </c>
      <c r="S168" s="7">
        <f>IF($Y168="","",SUMIFS('Per Line'!$X$2:$X$1001,'Per Line'!$D$2:$D$1001,$B168,'Per Line'!$AO$2:$AO$1001,1,'Per Line'!$AP$2:$AP$1001,0))</f>
        <v/>
      </c>
      <c r="T168" s="7">
        <f>IF($Y168="","",S168*R168)</f>
        <v/>
      </c>
      <c r="U168" s="7">
        <f>IF($Y168="","",T168+Q168)</f>
        <v/>
      </c>
      <c r="V168" s="7">
        <f>IF($Y168="","",W168-U168)</f>
        <v/>
      </c>
      <c r="W168" s="7">
        <f>IF($Y168="","",P168+S168+N168)</f>
        <v/>
      </c>
      <c r="X168" s="7">
        <f>IF($Y168="","",W168-U168-J168)</f>
        <v/>
      </c>
      <c r="Y168" s="13">
        <f>IF(ROWS($Y$2:$Y168)&lt;=MAX('Per Line'!$AN$2:$AN$1001),MATCH(ROWS($Y$2:$Y168),'Per Line'!$AN$2:$AN$1001,0),"")</f>
        <v/>
      </c>
      <c r="Z168" s="14">
        <f>IF($Y168="","",J168-I168*W168/100)</f>
        <v/>
      </c>
    </row>
    <row r="169">
      <c r="A169" s="12" t="n"/>
      <c r="B169">
        <f>IF($Y169="","",INDEX('Per Line'!$D$2:$D$1001,$Y169)&amp;"")</f>
        <v/>
      </c>
      <c r="C169">
        <f>IF($Y169="","",INDEX('Per Line'!$C$2:$C$1001,$Y169)&amp;"")</f>
        <v/>
      </c>
      <c r="D169" s="11">
        <f>IF($Y169="","",INDEX('Per Line'!$F$2:$F$1001,$Y169))</f>
        <v/>
      </c>
      <c r="E169">
        <f>IF($Y169="","",INDEX('Per Line'!$G$2:$G$1001,$Y169)&amp;"")</f>
        <v/>
      </c>
      <c r="F169">
        <f>IF($Y169="","",INDEX('Per Line'!$I$2:$I$1001,$Y169)&amp;"")</f>
        <v/>
      </c>
      <c r="G169">
        <f>IF($Y169="","",INDEX('Per Line'!$J$2:$J$1001,$Y169)&amp;"")</f>
        <v/>
      </c>
      <c r="H169">
        <f>IF($Y169="","",INDEX('Per Line'!$K$2:$K$1001,$Y169)&amp;"")</f>
        <v/>
      </c>
      <c r="I169">
        <f>IF($Y169="","",INDEX('Per Line'!$O$2:$O$1001,$Y169))</f>
        <v/>
      </c>
      <c r="J169" s="7">
        <f>IF($Y169="","",IF(AND(ISNUMBER(L169),L169&gt;0,W169&gt;L169),I169*L169/100+(W169-L169),I169*W169/100))</f>
        <v/>
      </c>
      <c r="K169">
        <f>IF($Y169="","",INDEX('Per Line'!$Y$2:$Y$1001,$Y169)&amp;"")</f>
        <v/>
      </c>
      <c r="L169">
        <f>IF($Y169="","",INDEX('Per Line'!$AF$2:$AF$1001,$Y169))</f>
        <v/>
      </c>
      <c r="M169">
        <f>IF($Y169="","",IF(AND(ISNUMBER(L169),L169&gt;0),W169&gt;L169,FALSE))</f>
        <v/>
      </c>
      <c r="N169" s="7">
        <f>IF($Y169="","",SUMIFS('Per Line'!$X$2:$X$1001,'Per Line'!$D$2:$D$1001,$B169,'Per Line'!$AP$2:$AP$1001,1))</f>
        <v/>
      </c>
      <c r="O169">
        <f>IF($Y169="","",Settings!$C$7)</f>
        <v/>
      </c>
      <c r="P169" s="7">
        <f>IF($Y169="","",SUMIFS('Per Line'!$X$2:$X$1001,'Per Line'!$D$2:$D$1001,$B169,'Per Line'!$AO$2:$AO$1001,0,'Per Line'!$AP$2:$AP$1001,0))</f>
        <v/>
      </c>
      <c r="Q169" s="7">
        <f>IF($Y169="","",P169*O169)</f>
        <v/>
      </c>
      <c r="R169">
        <f>IF($Y169="","",Settings!$C$6)</f>
        <v/>
      </c>
      <c r="S169" s="7">
        <f>IF($Y169="","",SUMIFS('Per Line'!$X$2:$X$1001,'Per Line'!$D$2:$D$1001,$B169,'Per Line'!$AO$2:$AO$1001,1,'Per Line'!$AP$2:$AP$1001,0))</f>
        <v/>
      </c>
      <c r="T169" s="7">
        <f>IF($Y169="","",S169*R169)</f>
        <v/>
      </c>
      <c r="U169" s="7">
        <f>IF($Y169="","",T169+Q169)</f>
        <v/>
      </c>
      <c r="V169" s="7">
        <f>IF($Y169="","",W169-U169)</f>
        <v/>
      </c>
      <c r="W169" s="7">
        <f>IF($Y169="","",P169+S169+N169)</f>
        <v/>
      </c>
      <c r="X169" s="7">
        <f>IF($Y169="","",W169-U169-J169)</f>
        <v/>
      </c>
      <c r="Y169" s="13">
        <f>IF(ROWS($Y$2:$Y169)&lt;=MAX('Per Line'!$AN$2:$AN$1001),MATCH(ROWS($Y$2:$Y169),'Per Line'!$AN$2:$AN$1001,0),"")</f>
        <v/>
      </c>
      <c r="Z169" s="14">
        <f>IF($Y169="","",J169-I169*W169/100)</f>
        <v/>
      </c>
    </row>
    <row r="170">
      <c r="A170" s="12" t="n"/>
      <c r="B170">
        <f>IF($Y170="","",INDEX('Per Line'!$D$2:$D$1001,$Y170)&amp;"")</f>
        <v/>
      </c>
      <c r="C170">
        <f>IF($Y170="","",INDEX('Per Line'!$C$2:$C$1001,$Y170)&amp;"")</f>
        <v/>
      </c>
      <c r="D170" s="11">
        <f>IF($Y170="","",INDEX('Per Line'!$F$2:$F$1001,$Y170))</f>
        <v/>
      </c>
      <c r="E170">
        <f>IF($Y170="","",INDEX('Per Line'!$G$2:$G$1001,$Y170)&amp;"")</f>
        <v/>
      </c>
      <c r="F170">
        <f>IF($Y170="","",INDEX('Per Line'!$I$2:$I$1001,$Y170)&amp;"")</f>
        <v/>
      </c>
      <c r="G170">
        <f>IF($Y170="","",INDEX('Per Line'!$J$2:$J$1001,$Y170)&amp;"")</f>
        <v/>
      </c>
      <c r="H170">
        <f>IF($Y170="","",INDEX('Per Line'!$K$2:$K$1001,$Y170)&amp;"")</f>
        <v/>
      </c>
      <c r="I170">
        <f>IF($Y170="","",INDEX('Per Line'!$O$2:$O$1001,$Y170))</f>
        <v/>
      </c>
      <c r="J170" s="7">
        <f>IF($Y170="","",IF(AND(ISNUMBER(L170),L170&gt;0,W170&gt;L170),I170*L170/100+(W170-L170),I170*W170/100))</f>
        <v/>
      </c>
      <c r="K170">
        <f>IF($Y170="","",INDEX('Per Line'!$Y$2:$Y$1001,$Y170)&amp;"")</f>
        <v/>
      </c>
      <c r="L170">
        <f>IF($Y170="","",INDEX('Per Line'!$AF$2:$AF$1001,$Y170))</f>
        <v/>
      </c>
      <c r="M170">
        <f>IF($Y170="","",IF(AND(ISNUMBER(L170),L170&gt;0),W170&gt;L170,FALSE))</f>
        <v/>
      </c>
      <c r="N170" s="7">
        <f>IF($Y170="","",SUMIFS('Per Line'!$X$2:$X$1001,'Per Line'!$D$2:$D$1001,$B170,'Per Line'!$AP$2:$AP$1001,1))</f>
        <v/>
      </c>
      <c r="O170">
        <f>IF($Y170="","",Settings!$C$7)</f>
        <v/>
      </c>
      <c r="P170" s="7">
        <f>IF($Y170="","",SUMIFS('Per Line'!$X$2:$X$1001,'Per Line'!$D$2:$D$1001,$B170,'Per Line'!$AO$2:$AO$1001,0,'Per Line'!$AP$2:$AP$1001,0))</f>
        <v/>
      </c>
      <c r="Q170" s="7">
        <f>IF($Y170="","",P170*O170)</f>
        <v/>
      </c>
      <c r="R170">
        <f>IF($Y170="","",Settings!$C$6)</f>
        <v/>
      </c>
      <c r="S170" s="7">
        <f>IF($Y170="","",SUMIFS('Per Line'!$X$2:$X$1001,'Per Line'!$D$2:$D$1001,$B170,'Per Line'!$AO$2:$AO$1001,1,'Per Line'!$AP$2:$AP$1001,0))</f>
        <v/>
      </c>
      <c r="T170" s="7">
        <f>IF($Y170="","",S170*R170)</f>
        <v/>
      </c>
      <c r="U170" s="7">
        <f>IF($Y170="","",T170+Q170)</f>
        <v/>
      </c>
      <c r="V170" s="7">
        <f>IF($Y170="","",W170-U170)</f>
        <v/>
      </c>
      <c r="W170" s="7">
        <f>IF($Y170="","",P170+S170+N170)</f>
        <v/>
      </c>
      <c r="X170" s="7">
        <f>IF($Y170="","",W170-U170-J170)</f>
        <v/>
      </c>
      <c r="Y170" s="13">
        <f>IF(ROWS($Y$2:$Y170)&lt;=MAX('Per Line'!$AN$2:$AN$1001),MATCH(ROWS($Y$2:$Y170),'Per Line'!$AN$2:$AN$1001,0),"")</f>
        <v/>
      </c>
      <c r="Z170" s="14">
        <f>IF($Y170="","",J170-I170*W170/100)</f>
        <v/>
      </c>
    </row>
    <row r="171">
      <c r="A171" s="12" t="n"/>
      <c r="B171">
        <f>IF($Y171="","",INDEX('Per Line'!$D$2:$D$1001,$Y171)&amp;"")</f>
        <v/>
      </c>
      <c r="C171">
        <f>IF($Y171="","",INDEX('Per Line'!$C$2:$C$1001,$Y171)&amp;"")</f>
        <v/>
      </c>
      <c r="D171" s="11">
        <f>IF($Y171="","",INDEX('Per Line'!$F$2:$F$1001,$Y171))</f>
        <v/>
      </c>
      <c r="E171">
        <f>IF($Y171="","",INDEX('Per Line'!$G$2:$G$1001,$Y171)&amp;"")</f>
        <v/>
      </c>
      <c r="F171">
        <f>IF($Y171="","",INDEX('Per Line'!$I$2:$I$1001,$Y171)&amp;"")</f>
        <v/>
      </c>
      <c r="G171">
        <f>IF($Y171="","",INDEX('Per Line'!$J$2:$J$1001,$Y171)&amp;"")</f>
        <v/>
      </c>
      <c r="H171">
        <f>IF($Y171="","",INDEX('Per Line'!$K$2:$K$1001,$Y171)&amp;"")</f>
        <v/>
      </c>
      <c r="I171">
        <f>IF($Y171="","",INDEX('Per Line'!$O$2:$O$1001,$Y171))</f>
        <v/>
      </c>
      <c r="J171" s="7">
        <f>IF($Y171="","",IF(AND(ISNUMBER(L171),L171&gt;0,W171&gt;L171),I171*L171/100+(W171-L171),I171*W171/100))</f>
        <v/>
      </c>
      <c r="K171">
        <f>IF($Y171="","",INDEX('Per Line'!$Y$2:$Y$1001,$Y171)&amp;"")</f>
        <v/>
      </c>
      <c r="L171">
        <f>IF($Y171="","",INDEX('Per Line'!$AF$2:$AF$1001,$Y171))</f>
        <v/>
      </c>
      <c r="M171">
        <f>IF($Y171="","",IF(AND(ISNUMBER(L171),L171&gt;0),W171&gt;L171,FALSE))</f>
        <v/>
      </c>
      <c r="N171" s="7">
        <f>IF($Y171="","",SUMIFS('Per Line'!$X$2:$X$1001,'Per Line'!$D$2:$D$1001,$B171,'Per Line'!$AP$2:$AP$1001,1))</f>
        <v/>
      </c>
      <c r="O171">
        <f>IF($Y171="","",Settings!$C$7)</f>
        <v/>
      </c>
      <c r="P171" s="7">
        <f>IF($Y171="","",SUMIFS('Per Line'!$X$2:$X$1001,'Per Line'!$D$2:$D$1001,$B171,'Per Line'!$AO$2:$AO$1001,0,'Per Line'!$AP$2:$AP$1001,0))</f>
        <v/>
      </c>
      <c r="Q171" s="7">
        <f>IF($Y171="","",P171*O171)</f>
        <v/>
      </c>
      <c r="R171">
        <f>IF($Y171="","",Settings!$C$6)</f>
        <v/>
      </c>
      <c r="S171" s="7">
        <f>IF($Y171="","",SUMIFS('Per Line'!$X$2:$X$1001,'Per Line'!$D$2:$D$1001,$B171,'Per Line'!$AO$2:$AO$1001,1,'Per Line'!$AP$2:$AP$1001,0))</f>
        <v/>
      </c>
      <c r="T171" s="7">
        <f>IF($Y171="","",S171*R171)</f>
        <v/>
      </c>
      <c r="U171" s="7">
        <f>IF($Y171="","",T171+Q171)</f>
        <v/>
      </c>
      <c r="V171" s="7">
        <f>IF($Y171="","",W171-U171)</f>
        <v/>
      </c>
      <c r="W171" s="7">
        <f>IF($Y171="","",P171+S171+N171)</f>
        <v/>
      </c>
      <c r="X171" s="7">
        <f>IF($Y171="","",W171-U171-J171)</f>
        <v/>
      </c>
      <c r="Y171" s="13">
        <f>IF(ROWS($Y$2:$Y171)&lt;=MAX('Per Line'!$AN$2:$AN$1001),MATCH(ROWS($Y$2:$Y171),'Per Line'!$AN$2:$AN$1001,0),"")</f>
        <v/>
      </c>
      <c r="Z171" s="14">
        <f>IF($Y171="","",J171-I171*W171/100)</f>
        <v/>
      </c>
    </row>
    <row r="172">
      <c r="A172" s="12" t="n"/>
      <c r="B172">
        <f>IF($Y172="","",INDEX('Per Line'!$D$2:$D$1001,$Y172)&amp;"")</f>
        <v/>
      </c>
      <c r="C172">
        <f>IF($Y172="","",INDEX('Per Line'!$C$2:$C$1001,$Y172)&amp;"")</f>
        <v/>
      </c>
      <c r="D172" s="11">
        <f>IF($Y172="","",INDEX('Per Line'!$F$2:$F$1001,$Y172))</f>
        <v/>
      </c>
      <c r="E172">
        <f>IF($Y172="","",INDEX('Per Line'!$G$2:$G$1001,$Y172)&amp;"")</f>
        <v/>
      </c>
      <c r="F172">
        <f>IF($Y172="","",INDEX('Per Line'!$I$2:$I$1001,$Y172)&amp;"")</f>
        <v/>
      </c>
      <c r="G172">
        <f>IF($Y172="","",INDEX('Per Line'!$J$2:$J$1001,$Y172)&amp;"")</f>
        <v/>
      </c>
      <c r="H172">
        <f>IF($Y172="","",INDEX('Per Line'!$K$2:$K$1001,$Y172)&amp;"")</f>
        <v/>
      </c>
      <c r="I172">
        <f>IF($Y172="","",INDEX('Per Line'!$O$2:$O$1001,$Y172))</f>
        <v/>
      </c>
      <c r="J172" s="7">
        <f>IF($Y172="","",IF(AND(ISNUMBER(L172),L172&gt;0,W172&gt;L172),I172*L172/100+(W172-L172),I172*W172/100))</f>
        <v/>
      </c>
      <c r="K172">
        <f>IF($Y172="","",INDEX('Per Line'!$Y$2:$Y$1001,$Y172)&amp;"")</f>
        <v/>
      </c>
      <c r="L172">
        <f>IF($Y172="","",INDEX('Per Line'!$AF$2:$AF$1001,$Y172))</f>
        <v/>
      </c>
      <c r="M172">
        <f>IF($Y172="","",IF(AND(ISNUMBER(L172),L172&gt;0),W172&gt;L172,FALSE))</f>
        <v/>
      </c>
      <c r="N172" s="7">
        <f>IF($Y172="","",SUMIFS('Per Line'!$X$2:$X$1001,'Per Line'!$D$2:$D$1001,$B172,'Per Line'!$AP$2:$AP$1001,1))</f>
        <v/>
      </c>
      <c r="O172">
        <f>IF($Y172="","",Settings!$C$7)</f>
        <v/>
      </c>
      <c r="P172" s="7">
        <f>IF($Y172="","",SUMIFS('Per Line'!$X$2:$X$1001,'Per Line'!$D$2:$D$1001,$B172,'Per Line'!$AO$2:$AO$1001,0,'Per Line'!$AP$2:$AP$1001,0))</f>
        <v/>
      </c>
      <c r="Q172" s="7">
        <f>IF($Y172="","",P172*O172)</f>
        <v/>
      </c>
      <c r="R172">
        <f>IF($Y172="","",Settings!$C$6)</f>
        <v/>
      </c>
      <c r="S172" s="7">
        <f>IF($Y172="","",SUMIFS('Per Line'!$X$2:$X$1001,'Per Line'!$D$2:$D$1001,$B172,'Per Line'!$AO$2:$AO$1001,1,'Per Line'!$AP$2:$AP$1001,0))</f>
        <v/>
      </c>
      <c r="T172" s="7">
        <f>IF($Y172="","",S172*R172)</f>
        <v/>
      </c>
      <c r="U172" s="7">
        <f>IF($Y172="","",T172+Q172)</f>
        <v/>
      </c>
      <c r="V172" s="7">
        <f>IF($Y172="","",W172-U172)</f>
        <v/>
      </c>
      <c r="W172" s="7">
        <f>IF($Y172="","",P172+S172+N172)</f>
        <v/>
      </c>
      <c r="X172" s="7">
        <f>IF($Y172="","",W172-U172-J172)</f>
        <v/>
      </c>
      <c r="Y172" s="13">
        <f>IF(ROWS($Y$2:$Y172)&lt;=MAX('Per Line'!$AN$2:$AN$1001),MATCH(ROWS($Y$2:$Y172),'Per Line'!$AN$2:$AN$1001,0),"")</f>
        <v/>
      </c>
      <c r="Z172" s="14">
        <f>IF($Y172="","",J172-I172*W172/100)</f>
        <v/>
      </c>
    </row>
    <row r="173">
      <c r="A173" s="12" t="n"/>
      <c r="B173">
        <f>IF($Y173="","",INDEX('Per Line'!$D$2:$D$1001,$Y173)&amp;"")</f>
        <v/>
      </c>
      <c r="C173">
        <f>IF($Y173="","",INDEX('Per Line'!$C$2:$C$1001,$Y173)&amp;"")</f>
        <v/>
      </c>
      <c r="D173" s="11">
        <f>IF($Y173="","",INDEX('Per Line'!$F$2:$F$1001,$Y173))</f>
        <v/>
      </c>
      <c r="E173">
        <f>IF($Y173="","",INDEX('Per Line'!$G$2:$G$1001,$Y173)&amp;"")</f>
        <v/>
      </c>
      <c r="F173">
        <f>IF($Y173="","",INDEX('Per Line'!$I$2:$I$1001,$Y173)&amp;"")</f>
        <v/>
      </c>
      <c r="G173">
        <f>IF($Y173="","",INDEX('Per Line'!$J$2:$J$1001,$Y173)&amp;"")</f>
        <v/>
      </c>
      <c r="H173">
        <f>IF($Y173="","",INDEX('Per Line'!$K$2:$K$1001,$Y173)&amp;"")</f>
        <v/>
      </c>
      <c r="I173">
        <f>IF($Y173="","",INDEX('Per Line'!$O$2:$O$1001,$Y173))</f>
        <v/>
      </c>
      <c r="J173" s="7">
        <f>IF($Y173="","",IF(AND(ISNUMBER(L173),L173&gt;0,W173&gt;L173),I173*L173/100+(W173-L173),I173*W173/100))</f>
        <v/>
      </c>
      <c r="K173">
        <f>IF($Y173="","",INDEX('Per Line'!$Y$2:$Y$1001,$Y173)&amp;"")</f>
        <v/>
      </c>
      <c r="L173">
        <f>IF($Y173="","",INDEX('Per Line'!$AF$2:$AF$1001,$Y173))</f>
        <v/>
      </c>
      <c r="M173">
        <f>IF($Y173="","",IF(AND(ISNUMBER(L173),L173&gt;0),W173&gt;L173,FALSE))</f>
        <v/>
      </c>
      <c r="N173" s="7">
        <f>IF($Y173="","",SUMIFS('Per Line'!$X$2:$X$1001,'Per Line'!$D$2:$D$1001,$B173,'Per Line'!$AP$2:$AP$1001,1))</f>
        <v/>
      </c>
      <c r="O173">
        <f>IF($Y173="","",Settings!$C$7)</f>
        <v/>
      </c>
      <c r="P173" s="7">
        <f>IF($Y173="","",SUMIFS('Per Line'!$X$2:$X$1001,'Per Line'!$D$2:$D$1001,$B173,'Per Line'!$AO$2:$AO$1001,0,'Per Line'!$AP$2:$AP$1001,0))</f>
        <v/>
      </c>
      <c r="Q173" s="7">
        <f>IF($Y173="","",P173*O173)</f>
        <v/>
      </c>
      <c r="R173">
        <f>IF($Y173="","",Settings!$C$6)</f>
        <v/>
      </c>
      <c r="S173" s="7">
        <f>IF($Y173="","",SUMIFS('Per Line'!$X$2:$X$1001,'Per Line'!$D$2:$D$1001,$B173,'Per Line'!$AO$2:$AO$1001,1,'Per Line'!$AP$2:$AP$1001,0))</f>
        <v/>
      </c>
      <c r="T173" s="7">
        <f>IF($Y173="","",S173*R173)</f>
        <v/>
      </c>
      <c r="U173" s="7">
        <f>IF($Y173="","",T173+Q173)</f>
        <v/>
      </c>
      <c r="V173" s="7">
        <f>IF($Y173="","",W173-U173)</f>
        <v/>
      </c>
      <c r="W173" s="7">
        <f>IF($Y173="","",P173+S173+N173)</f>
        <v/>
      </c>
      <c r="X173" s="7">
        <f>IF($Y173="","",W173-U173-J173)</f>
        <v/>
      </c>
      <c r="Y173" s="13">
        <f>IF(ROWS($Y$2:$Y173)&lt;=MAX('Per Line'!$AN$2:$AN$1001),MATCH(ROWS($Y$2:$Y173),'Per Line'!$AN$2:$AN$1001,0),"")</f>
        <v/>
      </c>
      <c r="Z173" s="14">
        <f>IF($Y173="","",J173-I173*W173/100)</f>
        <v/>
      </c>
    </row>
    <row r="174">
      <c r="A174" s="12" t="n"/>
      <c r="B174">
        <f>IF($Y174="","",INDEX('Per Line'!$D$2:$D$1001,$Y174)&amp;"")</f>
        <v/>
      </c>
      <c r="C174">
        <f>IF($Y174="","",INDEX('Per Line'!$C$2:$C$1001,$Y174)&amp;"")</f>
        <v/>
      </c>
      <c r="D174" s="11">
        <f>IF($Y174="","",INDEX('Per Line'!$F$2:$F$1001,$Y174))</f>
        <v/>
      </c>
      <c r="E174">
        <f>IF($Y174="","",INDEX('Per Line'!$G$2:$G$1001,$Y174)&amp;"")</f>
        <v/>
      </c>
      <c r="F174">
        <f>IF($Y174="","",INDEX('Per Line'!$I$2:$I$1001,$Y174)&amp;"")</f>
        <v/>
      </c>
      <c r="G174">
        <f>IF($Y174="","",INDEX('Per Line'!$J$2:$J$1001,$Y174)&amp;"")</f>
        <v/>
      </c>
      <c r="H174">
        <f>IF($Y174="","",INDEX('Per Line'!$K$2:$K$1001,$Y174)&amp;"")</f>
        <v/>
      </c>
      <c r="I174">
        <f>IF($Y174="","",INDEX('Per Line'!$O$2:$O$1001,$Y174))</f>
        <v/>
      </c>
      <c r="J174" s="7">
        <f>IF($Y174="","",IF(AND(ISNUMBER(L174),L174&gt;0,W174&gt;L174),I174*L174/100+(W174-L174),I174*W174/100))</f>
        <v/>
      </c>
      <c r="K174">
        <f>IF($Y174="","",INDEX('Per Line'!$Y$2:$Y$1001,$Y174)&amp;"")</f>
        <v/>
      </c>
      <c r="L174">
        <f>IF($Y174="","",INDEX('Per Line'!$AF$2:$AF$1001,$Y174))</f>
        <v/>
      </c>
      <c r="M174">
        <f>IF($Y174="","",IF(AND(ISNUMBER(L174),L174&gt;0),W174&gt;L174,FALSE))</f>
        <v/>
      </c>
      <c r="N174" s="7">
        <f>IF($Y174="","",SUMIFS('Per Line'!$X$2:$X$1001,'Per Line'!$D$2:$D$1001,$B174,'Per Line'!$AP$2:$AP$1001,1))</f>
        <v/>
      </c>
      <c r="O174">
        <f>IF($Y174="","",Settings!$C$7)</f>
        <v/>
      </c>
      <c r="P174" s="7">
        <f>IF($Y174="","",SUMIFS('Per Line'!$X$2:$X$1001,'Per Line'!$D$2:$D$1001,$B174,'Per Line'!$AO$2:$AO$1001,0,'Per Line'!$AP$2:$AP$1001,0))</f>
        <v/>
      </c>
      <c r="Q174" s="7">
        <f>IF($Y174="","",P174*O174)</f>
        <v/>
      </c>
      <c r="R174">
        <f>IF($Y174="","",Settings!$C$6)</f>
        <v/>
      </c>
      <c r="S174" s="7">
        <f>IF($Y174="","",SUMIFS('Per Line'!$X$2:$X$1001,'Per Line'!$D$2:$D$1001,$B174,'Per Line'!$AO$2:$AO$1001,1,'Per Line'!$AP$2:$AP$1001,0))</f>
        <v/>
      </c>
      <c r="T174" s="7">
        <f>IF($Y174="","",S174*R174)</f>
        <v/>
      </c>
      <c r="U174" s="7">
        <f>IF($Y174="","",T174+Q174)</f>
        <v/>
      </c>
      <c r="V174" s="7">
        <f>IF($Y174="","",W174-U174)</f>
        <v/>
      </c>
      <c r="W174" s="7">
        <f>IF($Y174="","",P174+S174+N174)</f>
        <v/>
      </c>
      <c r="X174" s="7">
        <f>IF($Y174="","",W174-U174-J174)</f>
        <v/>
      </c>
      <c r="Y174" s="13">
        <f>IF(ROWS($Y$2:$Y174)&lt;=MAX('Per Line'!$AN$2:$AN$1001),MATCH(ROWS($Y$2:$Y174),'Per Line'!$AN$2:$AN$1001,0),"")</f>
        <v/>
      </c>
      <c r="Z174" s="14">
        <f>IF($Y174="","",J174-I174*W174/100)</f>
        <v/>
      </c>
    </row>
    <row r="175">
      <c r="A175" s="12" t="n"/>
      <c r="B175">
        <f>IF($Y175="","",INDEX('Per Line'!$D$2:$D$1001,$Y175)&amp;"")</f>
        <v/>
      </c>
      <c r="C175">
        <f>IF($Y175="","",INDEX('Per Line'!$C$2:$C$1001,$Y175)&amp;"")</f>
        <v/>
      </c>
      <c r="D175" s="11">
        <f>IF($Y175="","",INDEX('Per Line'!$F$2:$F$1001,$Y175))</f>
        <v/>
      </c>
      <c r="E175">
        <f>IF($Y175="","",INDEX('Per Line'!$G$2:$G$1001,$Y175)&amp;"")</f>
        <v/>
      </c>
      <c r="F175">
        <f>IF($Y175="","",INDEX('Per Line'!$I$2:$I$1001,$Y175)&amp;"")</f>
        <v/>
      </c>
      <c r="G175">
        <f>IF($Y175="","",INDEX('Per Line'!$J$2:$J$1001,$Y175)&amp;"")</f>
        <v/>
      </c>
      <c r="H175">
        <f>IF($Y175="","",INDEX('Per Line'!$K$2:$K$1001,$Y175)&amp;"")</f>
        <v/>
      </c>
      <c r="I175">
        <f>IF($Y175="","",INDEX('Per Line'!$O$2:$O$1001,$Y175))</f>
        <v/>
      </c>
      <c r="J175" s="7">
        <f>IF($Y175="","",IF(AND(ISNUMBER(L175),L175&gt;0,W175&gt;L175),I175*L175/100+(W175-L175),I175*W175/100))</f>
        <v/>
      </c>
      <c r="K175">
        <f>IF($Y175="","",INDEX('Per Line'!$Y$2:$Y$1001,$Y175)&amp;"")</f>
        <v/>
      </c>
      <c r="L175">
        <f>IF($Y175="","",INDEX('Per Line'!$AF$2:$AF$1001,$Y175))</f>
        <v/>
      </c>
      <c r="M175">
        <f>IF($Y175="","",IF(AND(ISNUMBER(L175),L175&gt;0),W175&gt;L175,FALSE))</f>
        <v/>
      </c>
      <c r="N175" s="7">
        <f>IF($Y175="","",SUMIFS('Per Line'!$X$2:$X$1001,'Per Line'!$D$2:$D$1001,$B175,'Per Line'!$AP$2:$AP$1001,1))</f>
        <v/>
      </c>
      <c r="O175">
        <f>IF($Y175="","",Settings!$C$7)</f>
        <v/>
      </c>
      <c r="P175" s="7">
        <f>IF($Y175="","",SUMIFS('Per Line'!$X$2:$X$1001,'Per Line'!$D$2:$D$1001,$B175,'Per Line'!$AO$2:$AO$1001,0,'Per Line'!$AP$2:$AP$1001,0))</f>
        <v/>
      </c>
      <c r="Q175" s="7">
        <f>IF($Y175="","",P175*O175)</f>
        <v/>
      </c>
      <c r="R175">
        <f>IF($Y175="","",Settings!$C$6)</f>
        <v/>
      </c>
      <c r="S175" s="7">
        <f>IF($Y175="","",SUMIFS('Per Line'!$X$2:$X$1001,'Per Line'!$D$2:$D$1001,$B175,'Per Line'!$AO$2:$AO$1001,1,'Per Line'!$AP$2:$AP$1001,0))</f>
        <v/>
      </c>
      <c r="T175" s="7">
        <f>IF($Y175="","",S175*R175)</f>
        <v/>
      </c>
      <c r="U175" s="7">
        <f>IF($Y175="","",T175+Q175)</f>
        <v/>
      </c>
      <c r="V175" s="7">
        <f>IF($Y175="","",W175-U175)</f>
        <v/>
      </c>
      <c r="W175" s="7">
        <f>IF($Y175="","",P175+S175+N175)</f>
        <v/>
      </c>
      <c r="X175" s="7">
        <f>IF($Y175="","",W175-U175-J175)</f>
        <v/>
      </c>
      <c r="Y175" s="13">
        <f>IF(ROWS($Y$2:$Y175)&lt;=MAX('Per Line'!$AN$2:$AN$1001),MATCH(ROWS($Y$2:$Y175),'Per Line'!$AN$2:$AN$1001,0),"")</f>
        <v/>
      </c>
      <c r="Z175" s="14">
        <f>IF($Y175="","",J175-I175*W175/100)</f>
        <v/>
      </c>
    </row>
    <row r="176">
      <c r="A176" s="12" t="n"/>
      <c r="B176">
        <f>IF($Y176="","",INDEX('Per Line'!$D$2:$D$1001,$Y176)&amp;"")</f>
        <v/>
      </c>
      <c r="C176">
        <f>IF($Y176="","",INDEX('Per Line'!$C$2:$C$1001,$Y176)&amp;"")</f>
        <v/>
      </c>
      <c r="D176" s="11">
        <f>IF($Y176="","",INDEX('Per Line'!$F$2:$F$1001,$Y176))</f>
        <v/>
      </c>
      <c r="E176">
        <f>IF($Y176="","",INDEX('Per Line'!$G$2:$G$1001,$Y176)&amp;"")</f>
        <v/>
      </c>
      <c r="F176">
        <f>IF($Y176="","",INDEX('Per Line'!$I$2:$I$1001,$Y176)&amp;"")</f>
        <v/>
      </c>
      <c r="G176">
        <f>IF($Y176="","",INDEX('Per Line'!$J$2:$J$1001,$Y176)&amp;"")</f>
        <v/>
      </c>
      <c r="H176">
        <f>IF($Y176="","",INDEX('Per Line'!$K$2:$K$1001,$Y176)&amp;"")</f>
        <v/>
      </c>
      <c r="I176">
        <f>IF($Y176="","",INDEX('Per Line'!$O$2:$O$1001,$Y176))</f>
        <v/>
      </c>
      <c r="J176" s="7">
        <f>IF($Y176="","",IF(AND(ISNUMBER(L176),L176&gt;0,W176&gt;L176),I176*L176/100+(W176-L176),I176*W176/100))</f>
        <v/>
      </c>
      <c r="K176">
        <f>IF($Y176="","",INDEX('Per Line'!$Y$2:$Y$1001,$Y176)&amp;"")</f>
        <v/>
      </c>
      <c r="L176">
        <f>IF($Y176="","",INDEX('Per Line'!$AF$2:$AF$1001,$Y176))</f>
        <v/>
      </c>
      <c r="M176">
        <f>IF($Y176="","",IF(AND(ISNUMBER(L176),L176&gt;0),W176&gt;L176,FALSE))</f>
        <v/>
      </c>
      <c r="N176" s="7">
        <f>IF($Y176="","",SUMIFS('Per Line'!$X$2:$X$1001,'Per Line'!$D$2:$D$1001,$B176,'Per Line'!$AP$2:$AP$1001,1))</f>
        <v/>
      </c>
      <c r="O176">
        <f>IF($Y176="","",Settings!$C$7)</f>
        <v/>
      </c>
      <c r="P176" s="7">
        <f>IF($Y176="","",SUMIFS('Per Line'!$X$2:$X$1001,'Per Line'!$D$2:$D$1001,$B176,'Per Line'!$AO$2:$AO$1001,0,'Per Line'!$AP$2:$AP$1001,0))</f>
        <v/>
      </c>
      <c r="Q176" s="7">
        <f>IF($Y176="","",P176*O176)</f>
        <v/>
      </c>
      <c r="R176">
        <f>IF($Y176="","",Settings!$C$6)</f>
        <v/>
      </c>
      <c r="S176" s="7">
        <f>IF($Y176="","",SUMIFS('Per Line'!$X$2:$X$1001,'Per Line'!$D$2:$D$1001,$B176,'Per Line'!$AO$2:$AO$1001,1,'Per Line'!$AP$2:$AP$1001,0))</f>
        <v/>
      </c>
      <c r="T176" s="7">
        <f>IF($Y176="","",S176*R176)</f>
        <v/>
      </c>
      <c r="U176" s="7">
        <f>IF($Y176="","",T176+Q176)</f>
        <v/>
      </c>
      <c r="V176" s="7">
        <f>IF($Y176="","",W176-U176)</f>
        <v/>
      </c>
      <c r="W176" s="7">
        <f>IF($Y176="","",P176+S176+N176)</f>
        <v/>
      </c>
      <c r="X176" s="7">
        <f>IF($Y176="","",W176-U176-J176)</f>
        <v/>
      </c>
      <c r="Y176" s="13">
        <f>IF(ROWS($Y$2:$Y176)&lt;=MAX('Per Line'!$AN$2:$AN$1001),MATCH(ROWS($Y$2:$Y176),'Per Line'!$AN$2:$AN$1001,0),"")</f>
        <v/>
      </c>
      <c r="Z176" s="14">
        <f>IF($Y176="","",J176-I176*W176/100)</f>
        <v/>
      </c>
    </row>
    <row r="177">
      <c r="A177" s="12" t="n"/>
      <c r="B177">
        <f>IF($Y177="","",INDEX('Per Line'!$D$2:$D$1001,$Y177)&amp;"")</f>
        <v/>
      </c>
      <c r="C177">
        <f>IF($Y177="","",INDEX('Per Line'!$C$2:$C$1001,$Y177)&amp;"")</f>
        <v/>
      </c>
      <c r="D177" s="11">
        <f>IF($Y177="","",INDEX('Per Line'!$F$2:$F$1001,$Y177))</f>
        <v/>
      </c>
      <c r="E177">
        <f>IF($Y177="","",INDEX('Per Line'!$G$2:$G$1001,$Y177)&amp;"")</f>
        <v/>
      </c>
      <c r="F177">
        <f>IF($Y177="","",INDEX('Per Line'!$I$2:$I$1001,$Y177)&amp;"")</f>
        <v/>
      </c>
      <c r="G177">
        <f>IF($Y177="","",INDEX('Per Line'!$J$2:$J$1001,$Y177)&amp;"")</f>
        <v/>
      </c>
      <c r="H177">
        <f>IF($Y177="","",INDEX('Per Line'!$K$2:$K$1001,$Y177)&amp;"")</f>
        <v/>
      </c>
      <c r="I177">
        <f>IF($Y177="","",INDEX('Per Line'!$O$2:$O$1001,$Y177))</f>
        <v/>
      </c>
      <c r="J177" s="7">
        <f>IF($Y177="","",IF(AND(ISNUMBER(L177),L177&gt;0,W177&gt;L177),I177*L177/100+(W177-L177),I177*W177/100))</f>
        <v/>
      </c>
      <c r="K177">
        <f>IF($Y177="","",INDEX('Per Line'!$Y$2:$Y$1001,$Y177)&amp;"")</f>
        <v/>
      </c>
      <c r="L177">
        <f>IF($Y177="","",INDEX('Per Line'!$AF$2:$AF$1001,$Y177))</f>
        <v/>
      </c>
      <c r="M177">
        <f>IF($Y177="","",IF(AND(ISNUMBER(L177),L177&gt;0),W177&gt;L177,FALSE))</f>
        <v/>
      </c>
      <c r="N177" s="7">
        <f>IF($Y177="","",SUMIFS('Per Line'!$X$2:$X$1001,'Per Line'!$D$2:$D$1001,$B177,'Per Line'!$AP$2:$AP$1001,1))</f>
        <v/>
      </c>
      <c r="O177">
        <f>IF($Y177="","",Settings!$C$7)</f>
        <v/>
      </c>
      <c r="P177" s="7">
        <f>IF($Y177="","",SUMIFS('Per Line'!$X$2:$X$1001,'Per Line'!$D$2:$D$1001,$B177,'Per Line'!$AO$2:$AO$1001,0,'Per Line'!$AP$2:$AP$1001,0))</f>
        <v/>
      </c>
      <c r="Q177" s="7">
        <f>IF($Y177="","",P177*O177)</f>
        <v/>
      </c>
      <c r="R177">
        <f>IF($Y177="","",Settings!$C$6)</f>
        <v/>
      </c>
      <c r="S177" s="7">
        <f>IF($Y177="","",SUMIFS('Per Line'!$X$2:$X$1001,'Per Line'!$D$2:$D$1001,$B177,'Per Line'!$AO$2:$AO$1001,1,'Per Line'!$AP$2:$AP$1001,0))</f>
        <v/>
      </c>
      <c r="T177" s="7">
        <f>IF($Y177="","",S177*R177)</f>
        <v/>
      </c>
      <c r="U177" s="7">
        <f>IF($Y177="","",T177+Q177)</f>
        <v/>
      </c>
      <c r="V177" s="7">
        <f>IF($Y177="","",W177-U177)</f>
        <v/>
      </c>
      <c r="W177" s="7">
        <f>IF($Y177="","",P177+S177+N177)</f>
        <v/>
      </c>
      <c r="X177" s="7">
        <f>IF($Y177="","",W177-U177-J177)</f>
        <v/>
      </c>
      <c r="Y177" s="13">
        <f>IF(ROWS($Y$2:$Y177)&lt;=MAX('Per Line'!$AN$2:$AN$1001),MATCH(ROWS($Y$2:$Y177),'Per Line'!$AN$2:$AN$1001,0),"")</f>
        <v/>
      </c>
      <c r="Z177" s="14">
        <f>IF($Y177="","",J177-I177*W177/100)</f>
        <v/>
      </c>
    </row>
    <row r="178">
      <c r="A178" s="12" t="n"/>
      <c r="B178">
        <f>IF($Y178="","",INDEX('Per Line'!$D$2:$D$1001,$Y178)&amp;"")</f>
        <v/>
      </c>
      <c r="C178">
        <f>IF($Y178="","",INDEX('Per Line'!$C$2:$C$1001,$Y178)&amp;"")</f>
        <v/>
      </c>
      <c r="D178" s="11">
        <f>IF($Y178="","",INDEX('Per Line'!$F$2:$F$1001,$Y178))</f>
        <v/>
      </c>
      <c r="E178">
        <f>IF($Y178="","",INDEX('Per Line'!$G$2:$G$1001,$Y178)&amp;"")</f>
        <v/>
      </c>
      <c r="F178">
        <f>IF($Y178="","",INDEX('Per Line'!$I$2:$I$1001,$Y178)&amp;"")</f>
        <v/>
      </c>
      <c r="G178">
        <f>IF($Y178="","",INDEX('Per Line'!$J$2:$J$1001,$Y178)&amp;"")</f>
        <v/>
      </c>
      <c r="H178">
        <f>IF($Y178="","",INDEX('Per Line'!$K$2:$K$1001,$Y178)&amp;"")</f>
        <v/>
      </c>
      <c r="I178">
        <f>IF($Y178="","",INDEX('Per Line'!$O$2:$O$1001,$Y178))</f>
        <v/>
      </c>
      <c r="J178" s="7">
        <f>IF($Y178="","",IF(AND(ISNUMBER(L178),L178&gt;0,W178&gt;L178),I178*L178/100+(W178-L178),I178*W178/100))</f>
        <v/>
      </c>
      <c r="K178">
        <f>IF($Y178="","",INDEX('Per Line'!$Y$2:$Y$1001,$Y178)&amp;"")</f>
        <v/>
      </c>
      <c r="L178">
        <f>IF($Y178="","",INDEX('Per Line'!$AF$2:$AF$1001,$Y178))</f>
        <v/>
      </c>
      <c r="M178">
        <f>IF($Y178="","",IF(AND(ISNUMBER(L178),L178&gt;0),W178&gt;L178,FALSE))</f>
        <v/>
      </c>
      <c r="N178" s="7">
        <f>IF($Y178="","",SUMIFS('Per Line'!$X$2:$X$1001,'Per Line'!$D$2:$D$1001,$B178,'Per Line'!$AP$2:$AP$1001,1))</f>
        <v/>
      </c>
      <c r="O178">
        <f>IF($Y178="","",Settings!$C$7)</f>
        <v/>
      </c>
      <c r="P178" s="7">
        <f>IF($Y178="","",SUMIFS('Per Line'!$X$2:$X$1001,'Per Line'!$D$2:$D$1001,$B178,'Per Line'!$AO$2:$AO$1001,0,'Per Line'!$AP$2:$AP$1001,0))</f>
        <v/>
      </c>
      <c r="Q178" s="7">
        <f>IF($Y178="","",P178*O178)</f>
        <v/>
      </c>
      <c r="R178">
        <f>IF($Y178="","",Settings!$C$6)</f>
        <v/>
      </c>
      <c r="S178" s="7">
        <f>IF($Y178="","",SUMIFS('Per Line'!$X$2:$X$1001,'Per Line'!$D$2:$D$1001,$B178,'Per Line'!$AO$2:$AO$1001,1,'Per Line'!$AP$2:$AP$1001,0))</f>
        <v/>
      </c>
      <c r="T178" s="7">
        <f>IF($Y178="","",S178*R178)</f>
        <v/>
      </c>
      <c r="U178" s="7">
        <f>IF($Y178="","",T178+Q178)</f>
        <v/>
      </c>
      <c r="V178" s="7">
        <f>IF($Y178="","",W178-U178)</f>
        <v/>
      </c>
      <c r="W178" s="7">
        <f>IF($Y178="","",P178+S178+N178)</f>
        <v/>
      </c>
      <c r="X178" s="7">
        <f>IF($Y178="","",W178-U178-J178)</f>
        <v/>
      </c>
      <c r="Y178" s="13">
        <f>IF(ROWS($Y$2:$Y178)&lt;=MAX('Per Line'!$AN$2:$AN$1001),MATCH(ROWS($Y$2:$Y178),'Per Line'!$AN$2:$AN$1001,0),"")</f>
        <v/>
      </c>
      <c r="Z178" s="14">
        <f>IF($Y178="","",J178-I178*W178/100)</f>
        <v/>
      </c>
    </row>
    <row r="179">
      <c r="A179" s="12" t="n"/>
      <c r="B179">
        <f>IF($Y179="","",INDEX('Per Line'!$D$2:$D$1001,$Y179)&amp;"")</f>
        <v/>
      </c>
      <c r="C179">
        <f>IF($Y179="","",INDEX('Per Line'!$C$2:$C$1001,$Y179)&amp;"")</f>
        <v/>
      </c>
      <c r="D179" s="11">
        <f>IF($Y179="","",INDEX('Per Line'!$F$2:$F$1001,$Y179))</f>
        <v/>
      </c>
      <c r="E179">
        <f>IF($Y179="","",INDEX('Per Line'!$G$2:$G$1001,$Y179)&amp;"")</f>
        <v/>
      </c>
      <c r="F179">
        <f>IF($Y179="","",INDEX('Per Line'!$I$2:$I$1001,$Y179)&amp;"")</f>
        <v/>
      </c>
      <c r="G179">
        <f>IF($Y179="","",INDEX('Per Line'!$J$2:$J$1001,$Y179)&amp;"")</f>
        <v/>
      </c>
      <c r="H179">
        <f>IF($Y179="","",INDEX('Per Line'!$K$2:$K$1001,$Y179)&amp;"")</f>
        <v/>
      </c>
      <c r="I179">
        <f>IF($Y179="","",INDEX('Per Line'!$O$2:$O$1001,$Y179))</f>
        <v/>
      </c>
      <c r="J179" s="7">
        <f>IF($Y179="","",IF(AND(ISNUMBER(L179),L179&gt;0,W179&gt;L179),I179*L179/100+(W179-L179),I179*W179/100))</f>
        <v/>
      </c>
      <c r="K179">
        <f>IF($Y179="","",INDEX('Per Line'!$Y$2:$Y$1001,$Y179)&amp;"")</f>
        <v/>
      </c>
      <c r="L179">
        <f>IF($Y179="","",INDEX('Per Line'!$AF$2:$AF$1001,$Y179))</f>
        <v/>
      </c>
      <c r="M179">
        <f>IF($Y179="","",IF(AND(ISNUMBER(L179),L179&gt;0),W179&gt;L179,FALSE))</f>
        <v/>
      </c>
      <c r="N179" s="7">
        <f>IF($Y179="","",SUMIFS('Per Line'!$X$2:$X$1001,'Per Line'!$D$2:$D$1001,$B179,'Per Line'!$AP$2:$AP$1001,1))</f>
        <v/>
      </c>
      <c r="O179">
        <f>IF($Y179="","",Settings!$C$7)</f>
        <v/>
      </c>
      <c r="P179" s="7">
        <f>IF($Y179="","",SUMIFS('Per Line'!$X$2:$X$1001,'Per Line'!$D$2:$D$1001,$B179,'Per Line'!$AO$2:$AO$1001,0,'Per Line'!$AP$2:$AP$1001,0))</f>
        <v/>
      </c>
      <c r="Q179" s="7">
        <f>IF($Y179="","",P179*O179)</f>
        <v/>
      </c>
      <c r="R179">
        <f>IF($Y179="","",Settings!$C$6)</f>
        <v/>
      </c>
      <c r="S179" s="7">
        <f>IF($Y179="","",SUMIFS('Per Line'!$X$2:$X$1001,'Per Line'!$D$2:$D$1001,$B179,'Per Line'!$AO$2:$AO$1001,1,'Per Line'!$AP$2:$AP$1001,0))</f>
        <v/>
      </c>
      <c r="T179" s="7">
        <f>IF($Y179="","",S179*R179)</f>
        <v/>
      </c>
      <c r="U179" s="7">
        <f>IF($Y179="","",T179+Q179)</f>
        <v/>
      </c>
      <c r="V179" s="7">
        <f>IF($Y179="","",W179-U179)</f>
        <v/>
      </c>
      <c r="W179" s="7">
        <f>IF($Y179="","",P179+S179+N179)</f>
        <v/>
      </c>
      <c r="X179" s="7">
        <f>IF($Y179="","",W179-U179-J179)</f>
        <v/>
      </c>
      <c r="Y179" s="13">
        <f>IF(ROWS($Y$2:$Y179)&lt;=MAX('Per Line'!$AN$2:$AN$1001),MATCH(ROWS($Y$2:$Y179),'Per Line'!$AN$2:$AN$1001,0),"")</f>
        <v/>
      </c>
      <c r="Z179" s="14">
        <f>IF($Y179="","",J179-I179*W179/100)</f>
        <v/>
      </c>
    </row>
    <row r="180">
      <c r="A180" s="12" t="n"/>
      <c r="B180">
        <f>IF($Y180="","",INDEX('Per Line'!$D$2:$D$1001,$Y180)&amp;"")</f>
        <v/>
      </c>
      <c r="C180">
        <f>IF($Y180="","",INDEX('Per Line'!$C$2:$C$1001,$Y180)&amp;"")</f>
        <v/>
      </c>
      <c r="D180" s="11">
        <f>IF($Y180="","",INDEX('Per Line'!$F$2:$F$1001,$Y180))</f>
        <v/>
      </c>
      <c r="E180">
        <f>IF($Y180="","",INDEX('Per Line'!$G$2:$G$1001,$Y180)&amp;"")</f>
        <v/>
      </c>
      <c r="F180">
        <f>IF($Y180="","",INDEX('Per Line'!$I$2:$I$1001,$Y180)&amp;"")</f>
        <v/>
      </c>
      <c r="G180">
        <f>IF($Y180="","",INDEX('Per Line'!$J$2:$J$1001,$Y180)&amp;"")</f>
        <v/>
      </c>
      <c r="H180">
        <f>IF($Y180="","",INDEX('Per Line'!$K$2:$K$1001,$Y180)&amp;"")</f>
        <v/>
      </c>
      <c r="I180">
        <f>IF($Y180="","",INDEX('Per Line'!$O$2:$O$1001,$Y180))</f>
        <v/>
      </c>
      <c r="J180" s="7">
        <f>IF($Y180="","",IF(AND(ISNUMBER(L180),L180&gt;0,W180&gt;L180),I180*L180/100+(W180-L180),I180*W180/100))</f>
        <v/>
      </c>
      <c r="K180">
        <f>IF($Y180="","",INDEX('Per Line'!$Y$2:$Y$1001,$Y180)&amp;"")</f>
        <v/>
      </c>
      <c r="L180">
        <f>IF($Y180="","",INDEX('Per Line'!$AF$2:$AF$1001,$Y180))</f>
        <v/>
      </c>
      <c r="M180">
        <f>IF($Y180="","",IF(AND(ISNUMBER(L180),L180&gt;0),W180&gt;L180,FALSE))</f>
        <v/>
      </c>
      <c r="N180" s="7">
        <f>IF($Y180="","",SUMIFS('Per Line'!$X$2:$X$1001,'Per Line'!$D$2:$D$1001,$B180,'Per Line'!$AP$2:$AP$1001,1))</f>
        <v/>
      </c>
      <c r="O180">
        <f>IF($Y180="","",Settings!$C$7)</f>
        <v/>
      </c>
      <c r="P180" s="7">
        <f>IF($Y180="","",SUMIFS('Per Line'!$X$2:$X$1001,'Per Line'!$D$2:$D$1001,$B180,'Per Line'!$AO$2:$AO$1001,0,'Per Line'!$AP$2:$AP$1001,0))</f>
        <v/>
      </c>
      <c r="Q180" s="7">
        <f>IF($Y180="","",P180*O180)</f>
        <v/>
      </c>
      <c r="R180">
        <f>IF($Y180="","",Settings!$C$6)</f>
        <v/>
      </c>
      <c r="S180" s="7">
        <f>IF($Y180="","",SUMIFS('Per Line'!$X$2:$X$1001,'Per Line'!$D$2:$D$1001,$B180,'Per Line'!$AO$2:$AO$1001,1,'Per Line'!$AP$2:$AP$1001,0))</f>
        <v/>
      </c>
      <c r="T180" s="7">
        <f>IF($Y180="","",S180*R180)</f>
        <v/>
      </c>
      <c r="U180" s="7">
        <f>IF($Y180="","",T180+Q180)</f>
        <v/>
      </c>
      <c r="V180" s="7">
        <f>IF($Y180="","",W180-U180)</f>
        <v/>
      </c>
      <c r="W180" s="7">
        <f>IF($Y180="","",P180+S180+N180)</f>
        <v/>
      </c>
      <c r="X180" s="7">
        <f>IF($Y180="","",W180-U180-J180)</f>
        <v/>
      </c>
      <c r="Y180" s="13">
        <f>IF(ROWS($Y$2:$Y180)&lt;=MAX('Per Line'!$AN$2:$AN$1001),MATCH(ROWS($Y$2:$Y180),'Per Line'!$AN$2:$AN$1001,0),"")</f>
        <v/>
      </c>
      <c r="Z180" s="14">
        <f>IF($Y180="","",J180-I180*W180/100)</f>
        <v/>
      </c>
    </row>
    <row r="181">
      <c r="A181" s="12" t="n"/>
      <c r="B181">
        <f>IF($Y181="","",INDEX('Per Line'!$D$2:$D$1001,$Y181)&amp;"")</f>
        <v/>
      </c>
      <c r="C181">
        <f>IF($Y181="","",INDEX('Per Line'!$C$2:$C$1001,$Y181)&amp;"")</f>
        <v/>
      </c>
      <c r="D181" s="11">
        <f>IF($Y181="","",INDEX('Per Line'!$F$2:$F$1001,$Y181))</f>
        <v/>
      </c>
      <c r="E181">
        <f>IF($Y181="","",INDEX('Per Line'!$G$2:$G$1001,$Y181)&amp;"")</f>
        <v/>
      </c>
      <c r="F181">
        <f>IF($Y181="","",INDEX('Per Line'!$I$2:$I$1001,$Y181)&amp;"")</f>
        <v/>
      </c>
      <c r="G181">
        <f>IF($Y181="","",INDEX('Per Line'!$J$2:$J$1001,$Y181)&amp;"")</f>
        <v/>
      </c>
      <c r="H181">
        <f>IF($Y181="","",INDEX('Per Line'!$K$2:$K$1001,$Y181)&amp;"")</f>
        <v/>
      </c>
      <c r="I181">
        <f>IF($Y181="","",INDEX('Per Line'!$O$2:$O$1001,$Y181))</f>
        <v/>
      </c>
      <c r="J181" s="7">
        <f>IF($Y181="","",IF(AND(ISNUMBER(L181),L181&gt;0,W181&gt;L181),I181*L181/100+(W181-L181),I181*W181/100))</f>
        <v/>
      </c>
      <c r="K181">
        <f>IF($Y181="","",INDEX('Per Line'!$Y$2:$Y$1001,$Y181)&amp;"")</f>
        <v/>
      </c>
      <c r="L181">
        <f>IF($Y181="","",INDEX('Per Line'!$AF$2:$AF$1001,$Y181))</f>
        <v/>
      </c>
      <c r="M181">
        <f>IF($Y181="","",IF(AND(ISNUMBER(L181),L181&gt;0),W181&gt;L181,FALSE))</f>
        <v/>
      </c>
      <c r="N181" s="7">
        <f>IF($Y181="","",SUMIFS('Per Line'!$X$2:$X$1001,'Per Line'!$D$2:$D$1001,$B181,'Per Line'!$AP$2:$AP$1001,1))</f>
        <v/>
      </c>
      <c r="O181">
        <f>IF($Y181="","",Settings!$C$7)</f>
        <v/>
      </c>
      <c r="P181" s="7">
        <f>IF($Y181="","",SUMIFS('Per Line'!$X$2:$X$1001,'Per Line'!$D$2:$D$1001,$B181,'Per Line'!$AO$2:$AO$1001,0,'Per Line'!$AP$2:$AP$1001,0))</f>
        <v/>
      </c>
      <c r="Q181" s="7">
        <f>IF($Y181="","",P181*O181)</f>
        <v/>
      </c>
      <c r="R181">
        <f>IF($Y181="","",Settings!$C$6)</f>
        <v/>
      </c>
      <c r="S181" s="7">
        <f>IF($Y181="","",SUMIFS('Per Line'!$X$2:$X$1001,'Per Line'!$D$2:$D$1001,$B181,'Per Line'!$AO$2:$AO$1001,1,'Per Line'!$AP$2:$AP$1001,0))</f>
        <v/>
      </c>
      <c r="T181" s="7">
        <f>IF($Y181="","",S181*R181)</f>
        <v/>
      </c>
      <c r="U181" s="7">
        <f>IF($Y181="","",T181+Q181)</f>
        <v/>
      </c>
      <c r="V181" s="7">
        <f>IF($Y181="","",W181-U181)</f>
        <v/>
      </c>
      <c r="W181" s="7">
        <f>IF($Y181="","",P181+S181+N181)</f>
        <v/>
      </c>
      <c r="X181" s="7">
        <f>IF($Y181="","",W181-U181-J181)</f>
        <v/>
      </c>
      <c r="Y181" s="13">
        <f>IF(ROWS($Y$2:$Y181)&lt;=MAX('Per Line'!$AN$2:$AN$1001),MATCH(ROWS($Y$2:$Y181),'Per Line'!$AN$2:$AN$1001,0),"")</f>
        <v/>
      </c>
      <c r="Z181" s="14">
        <f>IF($Y181="","",J181-I181*W181/100)</f>
        <v/>
      </c>
    </row>
    <row r="182">
      <c r="A182" s="12" t="n"/>
      <c r="B182">
        <f>IF($Y182="","",INDEX('Per Line'!$D$2:$D$1001,$Y182)&amp;"")</f>
        <v/>
      </c>
      <c r="C182">
        <f>IF($Y182="","",INDEX('Per Line'!$C$2:$C$1001,$Y182)&amp;"")</f>
        <v/>
      </c>
      <c r="D182" s="11">
        <f>IF($Y182="","",INDEX('Per Line'!$F$2:$F$1001,$Y182))</f>
        <v/>
      </c>
      <c r="E182">
        <f>IF($Y182="","",INDEX('Per Line'!$G$2:$G$1001,$Y182)&amp;"")</f>
        <v/>
      </c>
      <c r="F182">
        <f>IF($Y182="","",INDEX('Per Line'!$I$2:$I$1001,$Y182)&amp;"")</f>
        <v/>
      </c>
      <c r="G182">
        <f>IF($Y182="","",INDEX('Per Line'!$J$2:$J$1001,$Y182)&amp;"")</f>
        <v/>
      </c>
      <c r="H182">
        <f>IF($Y182="","",INDEX('Per Line'!$K$2:$K$1001,$Y182)&amp;"")</f>
        <v/>
      </c>
      <c r="I182">
        <f>IF($Y182="","",INDEX('Per Line'!$O$2:$O$1001,$Y182))</f>
        <v/>
      </c>
      <c r="J182" s="7">
        <f>IF($Y182="","",IF(AND(ISNUMBER(L182),L182&gt;0,W182&gt;L182),I182*L182/100+(W182-L182),I182*W182/100))</f>
        <v/>
      </c>
      <c r="K182">
        <f>IF($Y182="","",INDEX('Per Line'!$Y$2:$Y$1001,$Y182)&amp;"")</f>
        <v/>
      </c>
      <c r="L182">
        <f>IF($Y182="","",INDEX('Per Line'!$AF$2:$AF$1001,$Y182))</f>
        <v/>
      </c>
      <c r="M182">
        <f>IF($Y182="","",IF(AND(ISNUMBER(L182),L182&gt;0),W182&gt;L182,FALSE))</f>
        <v/>
      </c>
      <c r="N182" s="7">
        <f>IF($Y182="","",SUMIFS('Per Line'!$X$2:$X$1001,'Per Line'!$D$2:$D$1001,$B182,'Per Line'!$AP$2:$AP$1001,1))</f>
        <v/>
      </c>
      <c r="O182">
        <f>IF($Y182="","",Settings!$C$7)</f>
        <v/>
      </c>
      <c r="P182" s="7">
        <f>IF($Y182="","",SUMIFS('Per Line'!$X$2:$X$1001,'Per Line'!$D$2:$D$1001,$B182,'Per Line'!$AO$2:$AO$1001,0,'Per Line'!$AP$2:$AP$1001,0))</f>
        <v/>
      </c>
      <c r="Q182" s="7">
        <f>IF($Y182="","",P182*O182)</f>
        <v/>
      </c>
      <c r="R182">
        <f>IF($Y182="","",Settings!$C$6)</f>
        <v/>
      </c>
      <c r="S182" s="7">
        <f>IF($Y182="","",SUMIFS('Per Line'!$X$2:$X$1001,'Per Line'!$D$2:$D$1001,$B182,'Per Line'!$AO$2:$AO$1001,1,'Per Line'!$AP$2:$AP$1001,0))</f>
        <v/>
      </c>
      <c r="T182" s="7">
        <f>IF($Y182="","",S182*R182)</f>
        <v/>
      </c>
      <c r="U182" s="7">
        <f>IF($Y182="","",T182+Q182)</f>
        <v/>
      </c>
      <c r="V182" s="7">
        <f>IF($Y182="","",W182-U182)</f>
        <v/>
      </c>
      <c r="W182" s="7">
        <f>IF($Y182="","",P182+S182+N182)</f>
        <v/>
      </c>
      <c r="X182" s="7">
        <f>IF($Y182="","",W182-U182-J182)</f>
        <v/>
      </c>
      <c r="Y182" s="13">
        <f>IF(ROWS($Y$2:$Y182)&lt;=MAX('Per Line'!$AN$2:$AN$1001),MATCH(ROWS($Y$2:$Y182),'Per Line'!$AN$2:$AN$1001,0),"")</f>
        <v/>
      </c>
      <c r="Z182" s="14">
        <f>IF($Y182="","",J182-I182*W182/100)</f>
        <v/>
      </c>
    </row>
    <row r="183">
      <c r="A183" s="12" t="n"/>
      <c r="B183">
        <f>IF($Y183="","",INDEX('Per Line'!$D$2:$D$1001,$Y183)&amp;"")</f>
        <v/>
      </c>
      <c r="C183">
        <f>IF($Y183="","",INDEX('Per Line'!$C$2:$C$1001,$Y183)&amp;"")</f>
        <v/>
      </c>
      <c r="D183" s="11">
        <f>IF($Y183="","",INDEX('Per Line'!$F$2:$F$1001,$Y183))</f>
        <v/>
      </c>
      <c r="E183">
        <f>IF($Y183="","",INDEX('Per Line'!$G$2:$G$1001,$Y183)&amp;"")</f>
        <v/>
      </c>
      <c r="F183">
        <f>IF($Y183="","",INDEX('Per Line'!$I$2:$I$1001,$Y183)&amp;"")</f>
        <v/>
      </c>
      <c r="G183">
        <f>IF($Y183="","",INDEX('Per Line'!$J$2:$J$1001,$Y183)&amp;"")</f>
        <v/>
      </c>
      <c r="H183">
        <f>IF($Y183="","",INDEX('Per Line'!$K$2:$K$1001,$Y183)&amp;"")</f>
        <v/>
      </c>
      <c r="I183">
        <f>IF($Y183="","",INDEX('Per Line'!$O$2:$O$1001,$Y183))</f>
        <v/>
      </c>
      <c r="J183" s="7">
        <f>IF($Y183="","",IF(AND(ISNUMBER(L183),L183&gt;0,W183&gt;L183),I183*L183/100+(W183-L183),I183*W183/100))</f>
        <v/>
      </c>
      <c r="K183">
        <f>IF($Y183="","",INDEX('Per Line'!$Y$2:$Y$1001,$Y183)&amp;"")</f>
        <v/>
      </c>
      <c r="L183">
        <f>IF($Y183="","",INDEX('Per Line'!$AF$2:$AF$1001,$Y183))</f>
        <v/>
      </c>
      <c r="M183">
        <f>IF($Y183="","",IF(AND(ISNUMBER(L183),L183&gt;0),W183&gt;L183,FALSE))</f>
        <v/>
      </c>
      <c r="N183" s="7">
        <f>IF($Y183="","",SUMIFS('Per Line'!$X$2:$X$1001,'Per Line'!$D$2:$D$1001,$B183,'Per Line'!$AP$2:$AP$1001,1))</f>
        <v/>
      </c>
      <c r="O183">
        <f>IF($Y183="","",Settings!$C$7)</f>
        <v/>
      </c>
      <c r="P183" s="7">
        <f>IF($Y183="","",SUMIFS('Per Line'!$X$2:$X$1001,'Per Line'!$D$2:$D$1001,$B183,'Per Line'!$AO$2:$AO$1001,0,'Per Line'!$AP$2:$AP$1001,0))</f>
        <v/>
      </c>
      <c r="Q183" s="7">
        <f>IF($Y183="","",P183*O183)</f>
        <v/>
      </c>
      <c r="R183">
        <f>IF($Y183="","",Settings!$C$6)</f>
        <v/>
      </c>
      <c r="S183" s="7">
        <f>IF($Y183="","",SUMIFS('Per Line'!$X$2:$X$1001,'Per Line'!$D$2:$D$1001,$B183,'Per Line'!$AO$2:$AO$1001,1,'Per Line'!$AP$2:$AP$1001,0))</f>
        <v/>
      </c>
      <c r="T183" s="7">
        <f>IF($Y183="","",S183*R183)</f>
        <v/>
      </c>
      <c r="U183" s="7">
        <f>IF($Y183="","",T183+Q183)</f>
        <v/>
      </c>
      <c r="V183" s="7">
        <f>IF($Y183="","",W183-U183)</f>
        <v/>
      </c>
      <c r="W183" s="7">
        <f>IF($Y183="","",P183+S183+N183)</f>
        <v/>
      </c>
      <c r="X183" s="7">
        <f>IF($Y183="","",W183-U183-J183)</f>
        <v/>
      </c>
      <c r="Y183" s="13">
        <f>IF(ROWS($Y$2:$Y183)&lt;=MAX('Per Line'!$AN$2:$AN$1001),MATCH(ROWS($Y$2:$Y183),'Per Line'!$AN$2:$AN$1001,0),"")</f>
        <v/>
      </c>
      <c r="Z183" s="14">
        <f>IF($Y183="","",J183-I183*W183/100)</f>
        <v/>
      </c>
    </row>
    <row r="184">
      <c r="A184" s="12" t="n"/>
      <c r="B184">
        <f>IF($Y184="","",INDEX('Per Line'!$D$2:$D$1001,$Y184)&amp;"")</f>
        <v/>
      </c>
      <c r="C184">
        <f>IF($Y184="","",INDEX('Per Line'!$C$2:$C$1001,$Y184)&amp;"")</f>
        <v/>
      </c>
      <c r="D184" s="11">
        <f>IF($Y184="","",INDEX('Per Line'!$F$2:$F$1001,$Y184))</f>
        <v/>
      </c>
      <c r="E184">
        <f>IF($Y184="","",INDEX('Per Line'!$G$2:$G$1001,$Y184)&amp;"")</f>
        <v/>
      </c>
      <c r="F184">
        <f>IF($Y184="","",INDEX('Per Line'!$I$2:$I$1001,$Y184)&amp;"")</f>
        <v/>
      </c>
      <c r="G184">
        <f>IF($Y184="","",INDEX('Per Line'!$J$2:$J$1001,$Y184)&amp;"")</f>
        <v/>
      </c>
      <c r="H184">
        <f>IF($Y184="","",INDEX('Per Line'!$K$2:$K$1001,$Y184)&amp;"")</f>
        <v/>
      </c>
      <c r="I184">
        <f>IF($Y184="","",INDEX('Per Line'!$O$2:$O$1001,$Y184))</f>
        <v/>
      </c>
      <c r="J184" s="7">
        <f>IF($Y184="","",IF(AND(ISNUMBER(L184),L184&gt;0,W184&gt;L184),I184*L184/100+(W184-L184),I184*W184/100))</f>
        <v/>
      </c>
      <c r="K184">
        <f>IF($Y184="","",INDEX('Per Line'!$Y$2:$Y$1001,$Y184)&amp;"")</f>
        <v/>
      </c>
      <c r="L184">
        <f>IF($Y184="","",INDEX('Per Line'!$AF$2:$AF$1001,$Y184))</f>
        <v/>
      </c>
      <c r="M184">
        <f>IF($Y184="","",IF(AND(ISNUMBER(L184),L184&gt;0),W184&gt;L184,FALSE))</f>
        <v/>
      </c>
      <c r="N184" s="7">
        <f>IF($Y184="","",SUMIFS('Per Line'!$X$2:$X$1001,'Per Line'!$D$2:$D$1001,$B184,'Per Line'!$AP$2:$AP$1001,1))</f>
        <v/>
      </c>
      <c r="O184">
        <f>IF($Y184="","",Settings!$C$7)</f>
        <v/>
      </c>
      <c r="P184" s="7">
        <f>IF($Y184="","",SUMIFS('Per Line'!$X$2:$X$1001,'Per Line'!$D$2:$D$1001,$B184,'Per Line'!$AO$2:$AO$1001,0,'Per Line'!$AP$2:$AP$1001,0))</f>
        <v/>
      </c>
      <c r="Q184" s="7">
        <f>IF($Y184="","",P184*O184)</f>
        <v/>
      </c>
      <c r="R184">
        <f>IF($Y184="","",Settings!$C$6)</f>
        <v/>
      </c>
      <c r="S184" s="7">
        <f>IF($Y184="","",SUMIFS('Per Line'!$X$2:$X$1001,'Per Line'!$D$2:$D$1001,$B184,'Per Line'!$AO$2:$AO$1001,1,'Per Line'!$AP$2:$AP$1001,0))</f>
        <v/>
      </c>
      <c r="T184" s="7">
        <f>IF($Y184="","",S184*R184)</f>
        <v/>
      </c>
      <c r="U184" s="7">
        <f>IF($Y184="","",T184+Q184)</f>
        <v/>
      </c>
      <c r="V184" s="7">
        <f>IF($Y184="","",W184-U184)</f>
        <v/>
      </c>
      <c r="W184" s="7">
        <f>IF($Y184="","",P184+S184+N184)</f>
        <v/>
      </c>
      <c r="X184" s="7">
        <f>IF($Y184="","",W184-U184-J184)</f>
        <v/>
      </c>
      <c r="Y184" s="13">
        <f>IF(ROWS($Y$2:$Y184)&lt;=MAX('Per Line'!$AN$2:$AN$1001),MATCH(ROWS($Y$2:$Y184),'Per Line'!$AN$2:$AN$1001,0),"")</f>
        <v/>
      </c>
      <c r="Z184" s="14">
        <f>IF($Y184="","",J184-I184*W184/100)</f>
        <v/>
      </c>
    </row>
    <row r="185">
      <c r="A185" s="12" t="n"/>
      <c r="B185">
        <f>IF($Y185="","",INDEX('Per Line'!$D$2:$D$1001,$Y185)&amp;"")</f>
        <v/>
      </c>
      <c r="C185">
        <f>IF($Y185="","",INDEX('Per Line'!$C$2:$C$1001,$Y185)&amp;"")</f>
        <v/>
      </c>
      <c r="D185" s="11">
        <f>IF($Y185="","",INDEX('Per Line'!$F$2:$F$1001,$Y185))</f>
        <v/>
      </c>
      <c r="E185">
        <f>IF($Y185="","",INDEX('Per Line'!$G$2:$G$1001,$Y185)&amp;"")</f>
        <v/>
      </c>
      <c r="F185">
        <f>IF($Y185="","",INDEX('Per Line'!$I$2:$I$1001,$Y185)&amp;"")</f>
        <v/>
      </c>
      <c r="G185">
        <f>IF($Y185="","",INDEX('Per Line'!$J$2:$J$1001,$Y185)&amp;"")</f>
        <v/>
      </c>
      <c r="H185">
        <f>IF($Y185="","",INDEX('Per Line'!$K$2:$K$1001,$Y185)&amp;"")</f>
        <v/>
      </c>
      <c r="I185">
        <f>IF($Y185="","",INDEX('Per Line'!$O$2:$O$1001,$Y185))</f>
        <v/>
      </c>
      <c r="J185" s="7">
        <f>IF($Y185="","",IF(AND(ISNUMBER(L185),L185&gt;0,W185&gt;L185),I185*L185/100+(W185-L185),I185*W185/100))</f>
        <v/>
      </c>
      <c r="K185">
        <f>IF($Y185="","",INDEX('Per Line'!$Y$2:$Y$1001,$Y185)&amp;"")</f>
        <v/>
      </c>
      <c r="L185">
        <f>IF($Y185="","",INDEX('Per Line'!$AF$2:$AF$1001,$Y185))</f>
        <v/>
      </c>
      <c r="M185">
        <f>IF($Y185="","",IF(AND(ISNUMBER(L185),L185&gt;0),W185&gt;L185,FALSE))</f>
        <v/>
      </c>
      <c r="N185" s="7">
        <f>IF($Y185="","",SUMIFS('Per Line'!$X$2:$X$1001,'Per Line'!$D$2:$D$1001,$B185,'Per Line'!$AP$2:$AP$1001,1))</f>
        <v/>
      </c>
      <c r="O185">
        <f>IF($Y185="","",Settings!$C$7)</f>
        <v/>
      </c>
      <c r="P185" s="7">
        <f>IF($Y185="","",SUMIFS('Per Line'!$X$2:$X$1001,'Per Line'!$D$2:$D$1001,$B185,'Per Line'!$AO$2:$AO$1001,0,'Per Line'!$AP$2:$AP$1001,0))</f>
        <v/>
      </c>
      <c r="Q185" s="7">
        <f>IF($Y185="","",P185*O185)</f>
        <v/>
      </c>
      <c r="R185">
        <f>IF($Y185="","",Settings!$C$6)</f>
        <v/>
      </c>
      <c r="S185" s="7">
        <f>IF($Y185="","",SUMIFS('Per Line'!$X$2:$X$1001,'Per Line'!$D$2:$D$1001,$B185,'Per Line'!$AO$2:$AO$1001,1,'Per Line'!$AP$2:$AP$1001,0))</f>
        <v/>
      </c>
      <c r="T185" s="7">
        <f>IF($Y185="","",S185*R185)</f>
        <v/>
      </c>
      <c r="U185" s="7">
        <f>IF($Y185="","",T185+Q185)</f>
        <v/>
      </c>
      <c r="V185" s="7">
        <f>IF($Y185="","",W185-U185)</f>
        <v/>
      </c>
      <c r="W185" s="7">
        <f>IF($Y185="","",P185+S185+N185)</f>
        <v/>
      </c>
      <c r="X185" s="7">
        <f>IF($Y185="","",W185-U185-J185)</f>
        <v/>
      </c>
      <c r="Y185" s="13">
        <f>IF(ROWS($Y$2:$Y185)&lt;=MAX('Per Line'!$AN$2:$AN$1001),MATCH(ROWS($Y$2:$Y185),'Per Line'!$AN$2:$AN$1001,0),"")</f>
        <v/>
      </c>
      <c r="Z185" s="14">
        <f>IF($Y185="","",J185-I185*W185/100)</f>
        <v/>
      </c>
    </row>
    <row r="186">
      <c r="A186" s="12" t="n"/>
      <c r="B186">
        <f>IF($Y186="","",INDEX('Per Line'!$D$2:$D$1001,$Y186)&amp;"")</f>
        <v/>
      </c>
      <c r="C186">
        <f>IF($Y186="","",INDEX('Per Line'!$C$2:$C$1001,$Y186)&amp;"")</f>
        <v/>
      </c>
      <c r="D186" s="11">
        <f>IF($Y186="","",INDEX('Per Line'!$F$2:$F$1001,$Y186))</f>
        <v/>
      </c>
      <c r="E186">
        <f>IF($Y186="","",INDEX('Per Line'!$G$2:$G$1001,$Y186)&amp;"")</f>
        <v/>
      </c>
      <c r="F186">
        <f>IF($Y186="","",INDEX('Per Line'!$I$2:$I$1001,$Y186)&amp;"")</f>
        <v/>
      </c>
      <c r="G186">
        <f>IF($Y186="","",INDEX('Per Line'!$J$2:$J$1001,$Y186)&amp;"")</f>
        <v/>
      </c>
      <c r="H186">
        <f>IF($Y186="","",INDEX('Per Line'!$K$2:$K$1001,$Y186)&amp;"")</f>
        <v/>
      </c>
      <c r="I186">
        <f>IF($Y186="","",INDEX('Per Line'!$O$2:$O$1001,$Y186))</f>
        <v/>
      </c>
      <c r="J186" s="7">
        <f>IF($Y186="","",IF(AND(ISNUMBER(L186),L186&gt;0,W186&gt;L186),I186*L186/100+(W186-L186),I186*W186/100))</f>
        <v/>
      </c>
      <c r="K186">
        <f>IF($Y186="","",INDEX('Per Line'!$Y$2:$Y$1001,$Y186)&amp;"")</f>
        <v/>
      </c>
      <c r="L186">
        <f>IF($Y186="","",INDEX('Per Line'!$AF$2:$AF$1001,$Y186))</f>
        <v/>
      </c>
      <c r="M186">
        <f>IF($Y186="","",IF(AND(ISNUMBER(L186),L186&gt;0),W186&gt;L186,FALSE))</f>
        <v/>
      </c>
      <c r="N186" s="7">
        <f>IF($Y186="","",SUMIFS('Per Line'!$X$2:$X$1001,'Per Line'!$D$2:$D$1001,$B186,'Per Line'!$AP$2:$AP$1001,1))</f>
        <v/>
      </c>
      <c r="O186">
        <f>IF($Y186="","",Settings!$C$7)</f>
        <v/>
      </c>
      <c r="P186" s="7">
        <f>IF($Y186="","",SUMIFS('Per Line'!$X$2:$X$1001,'Per Line'!$D$2:$D$1001,$B186,'Per Line'!$AO$2:$AO$1001,0,'Per Line'!$AP$2:$AP$1001,0))</f>
        <v/>
      </c>
      <c r="Q186" s="7">
        <f>IF($Y186="","",P186*O186)</f>
        <v/>
      </c>
      <c r="R186">
        <f>IF($Y186="","",Settings!$C$6)</f>
        <v/>
      </c>
      <c r="S186" s="7">
        <f>IF($Y186="","",SUMIFS('Per Line'!$X$2:$X$1001,'Per Line'!$D$2:$D$1001,$B186,'Per Line'!$AO$2:$AO$1001,1,'Per Line'!$AP$2:$AP$1001,0))</f>
        <v/>
      </c>
      <c r="T186" s="7">
        <f>IF($Y186="","",S186*R186)</f>
        <v/>
      </c>
      <c r="U186" s="7">
        <f>IF($Y186="","",T186+Q186)</f>
        <v/>
      </c>
      <c r="V186" s="7">
        <f>IF($Y186="","",W186-U186)</f>
        <v/>
      </c>
      <c r="W186" s="7">
        <f>IF($Y186="","",P186+S186+N186)</f>
        <v/>
      </c>
      <c r="X186" s="7">
        <f>IF($Y186="","",W186-U186-J186)</f>
        <v/>
      </c>
      <c r="Y186" s="13">
        <f>IF(ROWS($Y$2:$Y186)&lt;=MAX('Per Line'!$AN$2:$AN$1001),MATCH(ROWS($Y$2:$Y186),'Per Line'!$AN$2:$AN$1001,0),"")</f>
        <v/>
      </c>
      <c r="Z186" s="14">
        <f>IF($Y186="","",J186-I186*W186/100)</f>
        <v/>
      </c>
    </row>
    <row r="187">
      <c r="A187" s="12" t="n"/>
      <c r="B187">
        <f>IF($Y187="","",INDEX('Per Line'!$D$2:$D$1001,$Y187)&amp;"")</f>
        <v/>
      </c>
      <c r="C187">
        <f>IF($Y187="","",INDEX('Per Line'!$C$2:$C$1001,$Y187)&amp;"")</f>
        <v/>
      </c>
      <c r="D187" s="11">
        <f>IF($Y187="","",INDEX('Per Line'!$F$2:$F$1001,$Y187))</f>
        <v/>
      </c>
      <c r="E187">
        <f>IF($Y187="","",INDEX('Per Line'!$G$2:$G$1001,$Y187)&amp;"")</f>
        <v/>
      </c>
      <c r="F187">
        <f>IF($Y187="","",INDEX('Per Line'!$I$2:$I$1001,$Y187)&amp;"")</f>
        <v/>
      </c>
      <c r="G187">
        <f>IF($Y187="","",INDEX('Per Line'!$J$2:$J$1001,$Y187)&amp;"")</f>
        <v/>
      </c>
      <c r="H187">
        <f>IF($Y187="","",INDEX('Per Line'!$K$2:$K$1001,$Y187)&amp;"")</f>
        <v/>
      </c>
      <c r="I187">
        <f>IF($Y187="","",INDEX('Per Line'!$O$2:$O$1001,$Y187))</f>
        <v/>
      </c>
      <c r="J187" s="7">
        <f>IF($Y187="","",IF(AND(ISNUMBER(L187),L187&gt;0,W187&gt;L187),I187*L187/100+(W187-L187),I187*W187/100))</f>
        <v/>
      </c>
      <c r="K187">
        <f>IF($Y187="","",INDEX('Per Line'!$Y$2:$Y$1001,$Y187)&amp;"")</f>
        <v/>
      </c>
      <c r="L187">
        <f>IF($Y187="","",INDEX('Per Line'!$AF$2:$AF$1001,$Y187))</f>
        <v/>
      </c>
      <c r="M187">
        <f>IF($Y187="","",IF(AND(ISNUMBER(L187),L187&gt;0),W187&gt;L187,FALSE))</f>
        <v/>
      </c>
      <c r="N187" s="7">
        <f>IF($Y187="","",SUMIFS('Per Line'!$X$2:$X$1001,'Per Line'!$D$2:$D$1001,$B187,'Per Line'!$AP$2:$AP$1001,1))</f>
        <v/>
      </c>
      <c r="O187">
        <f>IF($Y187="","",Settings!$C$7)</f>
        <v/>
      </c>
      <c r="P187" s="7">
        <f>IF($Y187="","",SUMIFS('Per Line'!$X$2:$X$1001,'Per Line'!$D$2:$D$1001,$B187,'Per Line'!$AO$2:$AO$1001,0,'Per Line'!$AP$2:$AP$1001,0))</f>
        <v/>
      </c>
      <c r="Q187" s="7">
        <f>IF($Y187="","",P187*O187)</f>
        <v/>
      </c>
      <c r="R187">
        <f>IF($Y187="","",Settings!$C$6)</f>
        <v/>
      </c>
      <c r="S187" s="7">
        <f>IF($Y187="","",SUMIFS('Per Line'!$X$2:$X$1001,'Per Line'!$D$2:$D$1001,$B187,'Per Line'!$AO$2:$AO$1001,1,'Per Line'!$AP$2:$AP$1001,0))</f>
        <v/>
      </c>
      <c r="T187" s="7">
        <f>IF($Y187="","",S187*R187)</f>
        <v/>
      </c>
      <c r="U187" s="7">
        <f>IF($Y187="","",T187+Q187)</f>
        <v/>
      </c>
      <c r="V187" s="7">
        <f>IF($Y187="","",W187-U187)</f>
        <v/>
      </c>
      <c r="W187" s="7">
        <f>IF($Y187="","",P187+S187+N187)</f>
        <v/>
      </c>
      <c r="X187" s="7">
        <f>IF($Y187="","",W187-U187-J187)</f>
        <v/>
      </c>
      <c r="Y187" s="13">
        <f>IF(ROWS($Y$2:$Y187)&lt;=MAX('Per Line'!$AN$2:$AN$1001),MATCH(ROWS($Y$2:$Y187),'Per Line'!$AN$2:$AN$1001,0),"")</f>
        <v/>
      </c>
      <c r="Z187" s="14">
        <f>IF($Y187="","",J187-I187*W187/100)</f>
        <v/>
      </c>
    </row>
    <row r="188">
      <c r="A188" s="12" t="n"/>
      <c r="B188">
        <f>IF($Y188="","",INDEX('Per Line'!$D$2:$D$1001,$Y188)&amp;"")</f>
        <v/>
      </c>
      <c r="C188">
        <f>IF($Y188="","",INDEX('Per Line'!$C$2:$C$1001,$Y188)&amp;"")</f>
        <v/>
      </c>
      <c r="D188" s="11">
        <f>IF($Y188="","",INDEX('Per Line'!$F$2:$F$1001,$Y188))</f>
        <v/>
      </c>
      <c r="E188">
        <f>IF($Y188="","",INDEX('Per Line'!$G$2:$G$1001,$Y188)&amp;"")</f>
        <v/>
      </c>
      <c r="F188">
        <f>IF($Y188="","",INDEX('Per Line'!$I$2:$I$1001,$Y188)&amp;"")</f>
        <v/>
      </c>
      <c r="G188">
        <f>IF($Y188="","",INDEX('Per Line'!$J$2:$J$1001,$Y188)&amp;"")</f>
        <v/>
      </c>
      <c r="H188">
        <f>IF($Y188="","",INDEX('Per Line'!$K$2:$K$1001,$Y188)&amp;"")</f>
        <v/>
      </c>
      <c r="I188">
        <f>IF($Y188="","",INDEX('Per Line'!$O$2:$O$1001,$Y188))</f>
        <v/>
      </c>
      <c r="J188" s="7">
        <f>IF($Y188="","",IF(AND(ISNUMBER(L188),L188&gt;0,W188&gt;L188),I188*L188/100+(W188-L188),I188*W188/100))</f>
        <v/>
      </c>
      <c r="K188">
        <f>IF($Y188="","",INDEX('Per Line'!$Y$2:$Y$1001,$Y188)&amp;"")</f>
        <v/>
      </c>
      <c r="L188">
        <f>IF($Y188="","",INDEX('Per Line'!$AF$2:$AF$1001,$Y188))</f>
        <v/>
      </c>
      <c r="M188">
        <f>IF($Y188="","",IF(AND(ISNUMBER(L188),L188&gt;0),W188&gt;L188,FALSE))</f>
        <v/>
      </c>
      <c r="N188" s="7">
        <f>IF($Y188="","",SUMIFS('Per Line'!$X$2:$X$1001,'Per Line'!$D$2:$D$1001,$B188,'Per Line'!$AP$2:$AP$1001,1))</f>
        <v/>
      </c>
      <c r="O188">
        <f>IF($Y188="","",Settings!$C$7)</f>
        <v/>
      </c>
      <c r="P188" s="7">
        <f>IF($Y188="","",SUMIFS('Per Line'!$X$2:$X$1001,'Per Line'!$D$2:$D$1001,$B188,'Per Line'!$AO$2:$AO$1001,0,'Per Line'!$AP$2:$AP$1001,0))</f>
        <v/>
      </c>
      <c r="Q188" s="7">
        <f>IF($Y188="","",P188*O188)</f>
        <v/>
      </c>
      <c r="R188">
        <f>IF($Y188="","",Settings!$C$6)</f>
        <v/>
      </c>
      <c r="S188" s="7">
        <f>IF($Y188="","",SUMIFS('Per Line'!$X$2:$X$1001,'Per Line'!$D$2:$D$1001,$B188,'Per Line'!$AO$2:$AO$1001,1,'Per Line'!$AP$2:$AP$1001,0))</f>
        <v/>
      </c>
      <c r="T188" s="7">
        <f>IF($Y188="","",S188*R188)</f>
        <v/>
      </c>
      <c r="U188" s="7">
        <f>IF($Y188="","",T188+Q188)</f>
        <v/>
      </c>
      <c r="V188" s="7">
        <f>IF($Y188="","",W188-U188)</f>
        <v/>
      </c>
      <c r="W188" s="7">
        <f>IF($Y188="","",P188+S188+N188)</f>
        <v/>
      </c>
      <c r="X188" s="7">
        <f>IF($Y188="","",W188-U188-J188)</f>
        <v/>
      </c>
      <c r="Y188" s="13">
        <f>IF(ROWS($Y$2:$Y188)&lt;=MAX('Per Line'!$AN$2:$AN$1001),MATCH(ROWS($Y$2:$Y188),'Per Line'!$AN$2:$AN$1001,0),"")</f>
        <v/>
      </c>
      <c r="Z188" s="14">
        <f>IF($Y188="","",J188-I188*W188/100)</f>
        <v/>
      </c>
    </row>
    <row r="189">
      <c r="A189" s="12" t="n"/>
      <c r="B189">
        <f>IF($Y189="","",INDEX('Per Line'!$D$2:$D$1001,$Y189)&amp;"")</f>
        <v/>
      </c>
      <c r="C189">
        <f>IF($Y189="","",INDEX('Per Line'!$C$2:$C$1001,$Y189)&amp;"")</f>
        <v/>
      </c>
      <c r="D189" s="11">
        <f>IF($Y189="","",INDEX('Per Line'!$F$2:$F$1001,$Y189))</f>
        <v/>
      </c>
      <c r="E189">
        <f>IF($Y189="","",INDEX('Per Line'!$G$2:$G$1001,$Y189)&amp;"")</f>
        <v/>
      </c>
      <c r="F189">
        <f>IF($Y189="","",INDEX('Per Line'!$I$2:$I$1001,$Y189)&amp;"")</f>
        <v/>
      </c>
      <c r="G189">
        <f>IF($Y189="","",INDEX('Per Line'!$J$2:$J$1001,$Y189)&amp;"")</f>
        <v/>
      </c>
      <c r="H189">
        <f>IF($Y189="","",INDEX('Per Line'!$K$2:$K$1001,$Y189)&amp;"")</f>
        <v/>
      </c>
      <c r="I189">
        <f>IF($Y189="","",INDEX('Per Line'!$O$2:$O$1001,$Y189))</f>
        <v/>
      </c>
      <c r="J189" s="7">
        <f>IF($Y189="","",IF(AND(ISNUMBER(L189),L189&gt;0,W189&gt;L189),I189*L189/100+(W189-L189),I189*W189/100))</f>
        <v/>
      </c>
      <c r="K189">
        <f>IF($Y189="","",INDEX('Per Line'!$Y$2:$Y$1001,$Y189)&amp;"")</f>
        <v/>
      </c>
      <c r="L189">
        <f>IF($Y189="","",INDEX('Per Line'!$AF$2:$AF$1001,$Y189))</f>
        <v/>
      </c>
      <c r="M189">
        <f>IF($Y189="","",IF(AND(ISNUMBER(L189),L189&gt;0),W189&gt;L189,FALSE))</f>
        <v/>
      </c>
      <c r="N189" s="7">
        <f>IF($Y189="","",SUMIFS('Per Line'!$X$2:$X$1001,'Per Line'!$D$2:$D$1001,$B189,'Per Line'!$AP$2:$AP$1001,1))</f>
        <v/>
      </c>
      <c r="O189">
        <f>IF($Y189="","",Settings!$C$7)</f>
        <v/>
      </c>
      <c r="P189" s="7">
        <f>IF($Y189="","",SUMIFS('Per Line'!$X$2:$X$1001,'Per Line'!$D$2:$D$1001,$B189,'Per Line'!$AO$2:$AO$1001,0,'Per Line'!$AP$2:$AP$1001,0))</f>
        <v/>
      </c>
      <c r="Q189" s="7">
        <f>IF($Y189="","",P189*O189)</f>
        <v/>
      </c>
      <c r="R189">
        <f>IF($Y189="","",Settings!$C$6)</f>
        <v/>
      </c>
      <c r="S189" s="7">
        <f>IF($Y189="","",SUMIFS('Per Line'!$X$2:$X$1001,'Per Line'!$D$2:$D$1001,$B189,'Per Line'!$AO$2:$AO$1001,1,'Per Line'!$AP$2:$AP$1001,0))</f>
        <v/>
      </c>
      <c r="T189" s="7">
        <f>IF($Y189="","",S189*R189)</f>
        <v/>
      </c>
      <c r="U189" s="7">
        <f>IF($Y189="","",T189+Q189)</f>
        <v/>
      </c>
      <c r="V189" s="7">
        <f>IF($Y189="","",W189-U189)</f>
        <v/>
      </c>
      <c r="W189" s="7">
        <f>IF($Y189="","",P189+S189+N189)</f>
        <v/>
      </c>
      <c r="X189" s="7">
        <f>IF($Y189="","",W189-U189-J189)</f>
        <v/>
      </c>
      <c r="Y189" s="13">
        <f>IF(ROWS($Y$2:$Y189)&lt;=MAX('Per Line'!$AN$2:$AN$1001),MATCH(ROWS($Y$2:$Y189),'Per Line'!$AN$2:$AN$1001,0),"")</f>
        <v/>
      </c>
      <c r="Z189" s="14">
        <f>IF($Y189="","",J189-I189*W189/100)</f>
        <v/>
      </c>
    </row>
    <row r="190">
      <c r="A190" s="12" t="n"/>
      <c r="B190">
        <f>IF($Y190="","",INDEX('Per Line'!$D$2:$D$1001,$Y190)&amp;"")</f>
        <v/>
      </c>
      <c r="C190">
        <f>IF($Y190="","",INDEX('Per Line'!$C$2:$C$1001,$Y190)&amp;"")</f>
        <v/>
      </c>
      <c r="D190" s="11">
        <f>IF($Y190="","",INDEX('Per Line'!$F$2:$F$1001,$Y190))</f>
        <v/>
      </c>
      <c r="E190">
        <f>IF($Y190="","",INDEX('Per Line'!$G$2:$G$1001,$Y190)&amp;"")</f>
        <v/>
      </c>
      <c r="F190">
        <f>IF($Y190="","",INDEX('Per Line'!$I$2:$I$1001,$Y190)&amp;"")</f>
        <v/>
      </c>
      <c r="G190">
        <f>IF($Y190="","",INDEX('Per Line'!$J$2:$J$1001,$Y190)&amp;"")</f>
        <v/>
      </c>
      <c r="H190">
        <f>IF($Y190="","",INDEX('Per Line'!$K$2:$K$1001,$Y190)&amp;"")</f>
        <v/>
      </c>
      <c r="I190">
        <f>IF($Y190="","",INDEX('Per Line'!$O$2:$O$1001,$Y190))</f>
        <v/>
      </c>
      <c r="J190" s="7">
        <f>IF($Y190="","",IF(AND(ISNUMBER(L190),L190&gt;0,W190&gt;L190),I190*L190/100+(W190-L190),I190*W190/100))</f>
        <v/>
      </c>
      <c r="K190">
        <f>IF($Y190="","",INDEX('Per Line'!$Y$2:$Y$1001,$Y190)&amp;"")</f>
        <v/>
      </c>
      <c r="L190">
        <f>IF($Y190="","",INDEX('Per Line'!$AF$2:$AF$1001,$Y190))</f>
        <v/>
      </c>
      <c r="M190">
        <f>IF($Y190="","",IF(AND(ISNUMBER(L190),L190&gt;0),W190&gt;L190,FALSE))</f>
        <v/>
      </c>
      <c r="N190" s="7">
        <f>IF($Y190="","",SUMIFS('Per Line'!$X$2:$X$1001,'Per Line'!$D$2:$D$1001,$B190,'Per Line'!$AP$2:$AP$1001,1))</f>
        <v/>
      </c>
      <c r="O190">
        <f>IF($Y190="","",Settings!$C$7)</f>
        <v/>
      </c>
      <c r="P190" s="7">
        <f>IF($Y190="","",SUMIFS('Per Line'!$X$2:$X$1001,'Per Line'!$D$2:$D$1001,$B190,'Per Line'!$AO$2:$AO$1001,0,'Per Line'!$AP$2:$AP$1001,0))</f>
        <v/>
      </c>
      <c r="Q190" s="7">
        <f>IF($Y190="","",P190*O190)</f>
        <v/>
      </c>
      <c r="R190">
        <f>IF($Y190="","",Settings!$C$6)</f>
        <v/>
      </c>
      <c r="S190" s="7">
        <f>IF($Y190="","",SUMIFS('Per Line'!$X$2:$X$1001,'Per Line'!$D$2:$D$1001,$B190,'Per Line'!$AO$2:$AO$1001,1,'Per Line'!$AP$2:$AP$1001,0))</f>
        <v/>
      </c>
      <c r="T190" s="7">
        <f>IF($Y190="","",S190*R190)</f>
        <v/>
      </c>
      <c r="U190" s="7">
        <f>IF($Y190="","",T190+Q190)</f>
        <v/>
      </c>
      <c r="V190" s="7">
        <f>IF($Y190="","",W190-U190)</f>
        <v/>
      </c>
      <c r="W190" s="7">
        <f>IF($Y190="","",P190+S190+N190)</f>
        <v/>
      </c>
      <c r="X190" s="7">
        <f>IF($Y190="","",W190-U190-J190)</f>
        <v/>
      </c>
      <c r="Y190" s="13">
        <f>IF(ROWS($Y$2:$Y190)&lt;=MAX('Per Line'!$AN$2:$AN$1001),MATCH(ROWS($Y$2:$Y190),'Per Line'!$AN$2:$AN$1001,0),"")</f>
        <v/>
      </c>
      <c r="Z190" s="14">
        <f>IF($Y190="","",J190-I190*W190/100)</f>
        <v/>
      </c>
    </row>
    <row r="191">
      <c r="A191" s="12" t="n"/>
      <c r="B191">
        <f>IF($Y191="","",INDEX('Per Line'!$D$2:$D$1001,$Y191)&amp;"")</f>
        <v/>
      </c>
      <c r="C191">
        <f>IF($Y191="","",INDEX('Per Line'!$C$2:$C$1001,$Y191)&amp;"")</f>
        <v/>
      </c>
      <c r="D191" s="11">
        <f>IF($Y191="","",INDEX('Per Line'!$F$2:$F$1001,$Y191))</f>
        <v/>
      </c>
      <c r="E191">
        <f>IF($Y191="","",INDEX('Per Line'!$G$2:$G$1001,$Y191)&amp;"")</f>
        <v/>
      </c>
      <c r="F191">
        <f>IF($Y191="","",INDEX('Per Line'!$I$2:$I$1001,$Y191)&amp;"")</f>
        <v/>
      </c>
      <c r="G191">
        <f>IF($Y191="","",INDEX('Per Line'!$J$2:$J$1001,$Y191)&amp;"")</f>
        <v/>
      </c>
      <c r="H191">
        <f>IF($Y191="","",INDEX('Per Line'!$K$2:$K$1001,$Y191)&amp;"")</f>
        <v/>
      </c>
      <c r="I191">
        <f>IF($Y191="","",INDEX('Per Line'!$O$2:$O$1001,$Y191))</f>
        <v/>
      </c>
      <c r="J191" s="7">
        <f>IF($Y191="","",IF(AND(ISNUMBER(L191),L191&gt;0,W191&gt;L191),I191*L191/100+(W191-L191),I191*W191/100))</f>
        <v/>
      </c>
      <c r="K191">
        <f>IF($Y191="","",INDEX('Per Line'!$Y$2:$Y$1001,$Y191)&amp;"")</f>
        <v/>
      </c>
      <c r="L191">
        <f>IF($Y191="","",INDEX('Per Line'!$AF$2:$AF$1001,$Y191))</f>
        <v/>
      </c>
      <c r="M191">
        <f>IF($Y191="","",IF(AND(ISNUMBER(L191),L191&gt;0),W191&gt;L191,FALSE))</f>
        <v/>
      </c>
      <c r="N191" s="7">
        <f>IF($Y191="","",SUMIFS('Per Line'!$X$2:$X$1001,'Per Line'!$D$2:$D$1001,$B191,'Per Line'!$AP$2:$AP$1001,1))</f>
        <v/>
      </c>
      <c r="O191">
        <f>IF($Y191="","",Settings!$C$7)</f>
        <v/>
      </c>
      <c r="P191" s="7">
        <f>IF($Y191="","",SUMIFS('Per Line'!$X$2:$X$1001,'Per Line'!$D$2:$D$1001,$B191,'Per Line'!$AO$2:$AO$1001,0,'Per Line'!$AP$2:$AP$1001,0))</f>
        <v/>
      </c>
      <c r="Q191" s="7">
        <f>IF($Y191="","",P191*O191)</f>
        <v/>
      </c>
      <c r="R191">
        <f>IF($Y191="","",Settings!$C$6)</f>
        <v/>
      </c>
      <c r="S191" s="7">
        <f>IF($Y191="","",SUMIFS('Per Line'!$X$2:$X$1001,'Per Line'!$D$2:$D$1001,$B191,'Per Line'!$AO$2:$AO$1001,1,'Per Line'!$AP$2:$AP$1001,0))</f>
        <v/>
      </c>
      <c r="T191" s="7">
        <f>IF($Y191="","",S191*R191)</f>
        <v/>
      </c>
      <c r="U191" s="7">
        <f>IF($Y191="","",T191+Q191)</f>
        <v/>
      </c>
      <c r="V191" s="7">
        <f>IF($Y191="","",W191-U191)</f>
        <v/>
      </c>
      <c r="W191" s="7">
        <f>IF($Y191="","",P191+S191+N191)</f>
        <v/>
      </c>
      <c r="X191" s="7">
        <f>IF($Y191="","",W191-U191-J191)</f>
        <v/>
      </c>
      <c r="Y191" s="13">
        <f>IF(ROWS($Y$2:$Y191)&lt;=MAX('Per Line'!$AN$2:$AN$1001),MATCH(ROWS($Y$2:$Y191),'Per Line'!$AN$2:$AN$1001,0),"")</f>
        <v/>
      </c>
      <c r="Z191" s="14">
        <f>IF($Y191="","",J191-I191*W191/100)</f>
        <v/>
      </c>
    </row>
    <row r="192">
      <c r="A192" s="12" t="n"/>
      <c r="B192">
        <f>IF($Y192="","",INDEX('Per Line'!$D$2:$D$1001,$Y192)&amp;"")</f>
        <v/>
      </c>
      <c r="C192">
        <f>IF($Y192="","",INDEX('Per Line'!$C$2:$C$1001,$Y192)&amp;"")</f>
        <v/>
      </c>
      <c r="D192" s="11">
        <f>IF($Y192="","",INDEX('Per Line'!$F$2:$F$1001,$Y192))</f>
        <v/>
      </c>
      <c r="E192">
        <f>IF($Y192="","",INDEX('Per Line'!$G$2:$G$1001,$Y192)&amp;"")</f>
        <v/>
      </c>
      <c r="F192">
        <f>IF($Y192="","",INDEX('Per Line'!$I$2:$I$1001,$Y192)&amp;"")</f>
        <v/>
      </c>
      <c r="G192">
        <f>IF($Y192="","",INDEX('Per Line'!$J$2:$J$1001,$Y192)&amp;"")</f>
        <v/>
      </c>
      <c r="H192">
        <f>IF($Y192="","",INDEX('Per Line'!$K$2:$K$1001,$Y192)&amp;"")</f>
        <v/>
      </c>
      <c r="I192">
        <f>IF($Y192="","",INDEX('Per Line'!$O$2:$O$1001,$Y192))</f>
        <v/>
      </c>
      <c r="J192" s="7">
        <f>IF($Y192="","",IF(AND(ISNUMBER(L192),L192&gt;0,W192&gt;L192),I192*L192/100+(W192-L192),I192*W192/100))</f>
        <v/>
      </c>
      <c r="K192">
        <f>IF($Y192="","",INDEX('Per Line'!$Y$2:$Y$1001,$Y192)&amp;"")</f>
        <v/>
      </c>
      <c r="L192">
        <f>IF($Y192="","",INDEX('Per Line'!$AF$2:$AF$1001,$Y192))</f>
        <v/>
      </c>
      <c r="M192">
        <f>IF($Y192="","",IF(AND(ISNUMBER(L192),L192&gt;0),W192&gt;L192,FALSE))</f>
        <v/>
      </c>
      <c r="N192" s="7">
        <f>IF($Y192="","",SUMIFS('Per Line'!$X$2:$X$1001,'Per Line'!$D$2:$D$1001,$B192,'Per Line'!$AP$2:$AP$1001,1))</f>
        <v/>
      </c>
      <c r="O192">
        <f>IF($Y192="","",Settings!$C$7)</f>
        <v/>
      </c>
      <c r="P192" s="7">
        <f>IF($Y192="","",SUMIFS('Per Line'!$X$2:$X$1001,'Per Line'!$D$2:$D$1001,$B192,'Per Line'!$AO$2:$AO$1001,0,'Per Line'!$AP$2:$AP$1001,0))</f>
        <v/>
      </c>
      <c r="Q192" s="7">
        <f>IF($Y192="","",P192*O192)</f>
        <v/>
      </c>
      <c r="R192">
        <f>IF($Y192="","",Settings!$C$6)</f>
        <v/>
      </c>
      <c r="S192" s="7">
        <f>IF($Y192="","",SUMIFS('Per Line'!$X$2:$X$1001,'Per Line'!$D$2:$D$1001,$B192,'Per Line'!$AO$2:$AO$1001,1,'Per Line'!$AP$2:$AP$1001,0))</f>
        <v/>
      </c>
      <c r="T192" s="7">
        <f>IF($Y192="","",S192*R192)</f>
        <v/>
      </c>
      <c r="U192" s="7">
        <f>IF($Y192="","",T192+Q192)</f>
        <v/>
      </c>
      <c r="V192" s="7">
        <f>IF($Y192="","",W192-U192)</f>
        <v/>
      </c>
      <c r="W192" s="7">
        <f>IF($Y192="","",P192+S192+N192)</f>
        <v/>
      </c>
      <c r="X192" s="7">
        <f>IF($Y192="","",W192-U192-J192)</f>
        <v/>
      </c>
      <c r="Y192" s="13">
        <f>IF(ROWS($Y$2:$Y192)&lt;=MAX('Per Line'!$AN$2:$AN$1001),MATCH(ROWS($Y$2:$Y192),'Per Line'!$AN$2:$AN$1001,0),"")</f>
        <v/>
      </c>
      <c r="Z192" s="14">
        <f>IF($Y192="","",J192-I192*W192/100)</f>
        <v/>
      </c>
    </row>
    <row r="193">
      <c r="A193" s="12" t="n"/>
      <c r="B193">
        <f>IF($Y193="","",INDEX('Per Line'!$D$2:$D$1001,$Y193)&amp;"")</f>
        <v/>
      </c>
      <c r="C193">
        <f>IF($Y193="","",INDEX('Per Line'!$C$2:$C$1001,$Y193)&amp;"")</f>
        <v/>
      </c>
      <c r="D193" s="11">
        <f>IF($Y193="","",INDEX('Per Line'!$F$2:$F$1001,$Y193))</f>
        <v/>
      </c>
      <c r="E193">
        <f>IF($Y193="","",INDEX('Per Line'!$G$2:$G$1001,$Y193)&amp;"")</f>
        <v/>
      </c>
      <c r="F193">
        <f>IF($Y193="","",INDEX('Per Line'!$I$2:$I$1001,$Y193)&amp;"")</f>
        <v/>
      </c>
      <c r="G193">
        <f>IF($Y193="","",INDEX('Per Line'!$J$2:$J$1001,$Y193)&amp;"")</f>
        <v/>
      </c>
      <c r="H193">
        <f>IF($Y193="","",INDEX('Per Line'!$K$2:$K$1001,$Y193)&amp;"")</f>
        <v/>
      </c>
      <c r="I193">
        <f>IF($Y193="","",INDEX('Per Line'!$O$2:$O$1001,$Y193))</f>
        <v/>
      </c>
      <c r="J193" s="7">
        <f>IF($Y193="","",IF(AND(ISNUMBER(L193),L193&gt;0,W193&gt;L193),I193*L193/100+(W193-L193),I193*W193/100))</f>
        <v/>
      </c>
      <c r="K193">
        <f>IF($Y193="","",INDEX('Per Line'!$Y$2:$Y$1001,$Y193)&amp;"")</f>
        <v/>
      </c>
      <c r="L193">
        <f>IF($Y193="","",INDEX('Per Line'!$AF$2:$AF$1001,$Y193))</f>
        <v/>
      </c>
      <c r="M193">
        <f>IF($Y193="","",IF(AND(ISNUMBER(L193),L193&gt;0),W193&gt;L193,FALSE))</f>
        <v/>
      </c>
      <c r="N193" s="7">
        <f>IF($Y193="","",SUMIFS('Per Line'!$X$2:$X$1001,'Per Line'!$D$2:$D$1001,$B193,'Per Line'!$AP$2:$AP$1001,1))</f>
        <v/>
      </c>
      <c r="O193">
        <f>IF($Y193="","",Settings!$C$7)</f>
        <v/>
      </c>
      <c r="P193" s="7">
        <f>IF($Y193="","",SUMIFS('Per Line'!$X$2:$X$1001,'Per Line'!$D$2:$D$1001,$B193,'Per Line'!$AO$2:$AO$1001,0,'Per Line'!$AP$2:$AP$1001,0))</f>
        <v/>
      </c>
      <c r="Q193" s="7">
        <f>IF($Y193="","",P193*O193)</f>
        <v/>
      </c>
      <c r="R193">
        <f>IF($Y193="","",Settings!$C$6)</f>
        <v/>
      </c>
      <c r="S193" s="7">
        <f>IF($Y193="","",SUMIFS('Per Line'!$X$2:$X$1001,'Per Line'!$D$2:$D$1001,$B193,'Per Line'!$AO$2:$AO$1001,1,'Per Line'!$AP$2:$AP$1001,0))</f>
        <v/>
      </c>
      <c r="T193" s="7">
        <f>IF($Y193="","",S193*R193)</f>
        <v/>
      </c>
      <c r="U193" s="7">
        <f>IF($Y193="","",T193+Q193)</f>
        <v/>
      </c>
      <c r="V193" s="7">
        <f>IF($Y193="","",W193-U193)</f>
        <v/>
      </c>
      <c r="W193" s="7">
        <f>IF($Y193="","",P193+S193+N193)</f>
        <v/>
      </c>
      <c r="X193" s="7">
        <f>IF($Y193="","",W193-U193-J193)</f>
        <v/>
      </c>
      <c r="Y193" s="13">
        <f>IF(ROWS($Y$2:$Y193)&lt;=MAX('Per Line'!$AN$2:$AN$1001),MATCH(ROWS($Y$2:$Y193),'Per Line'!$AN$2:$AN$1001,0),"")</f>
        <v/>
      </c>
      <c r="Z193" s="14">
        <f>IF($Y193="","",J193-I193*W193/100)</f>
        <v/>
      </c>
    </row>
    <row r="194">
      <c r="A194" s="12" t="n"/>
      <c r="B194">
        <f>IF($Y194="","",INDEX('Per Line'!$D$2:$D$1001,$Y194)&amp;"")</f>
        <v/>
      </c>
      <c r="C194">
        <f>IF($Y194="","",INDEX('Per Line'!$C$2:$C$1001,$Y194)&amp;"")</f>
        <v/>
      </c>
      <c r="D194" s="11">
        <f>IF($Y194="","",INDEX('Per Line'!$F$2:$F$1001,$Y194))</f>
        <v/>
      </c>
      <c r="E194">
        <f>IF($Y194="","",INDEX('Per Line'!$G$2:$G$1001,$Y194)&amp;"")</f>
        <v/>
      </c>
      <c r="F194">
        <f>IF($Y194="","",INDEX('Per Line'!$I$2:$I$1001,$Y194)&amp;"")</f>
        <v/>
      </c>
      <c r="G194">
        <f>IF($Y194="","",INDEX('Per Line'!$J$2:$J$1001,$Y194)&amp;"")</f>
        <v/>
      </c>
      <c r="H194">
        <f>IF($Y194="","",INDEX('Per Line'!$K$2:$K$1001,$Y194)&amp;"")</f>
        <v/>
      </c>
      <c r="I194">
        <f>IF($Y194="","",INDEX('Per Line'!$O$2:$O$1001,$Y194))</f>
        <v/>
      </c>
      <c r="J194" s="7">
        <f>IF($Y194="","",IF(AND(ISNUMBER(L194),L194&gt;0,W194&gt;L194),I194*L194/100+(W194-L194),I194*W194/100))</f>
        <v/>
      </c>
      <c r="K194">
        <f>IF($Y194="","",INDEX('Per Line'!$Y$2:$Y$1001,$Y194)&amp;"")</f>
        <v/>
      </c>
      <c r="L194">
        <f>IF($Y194="","",INDEX('Per Line'!$AF$2:$AF$1001,$Y194))</f>
        <v/>
      </c>
      <c r="M194">
        <f>IF($Y194="","",IF(AND(ISNUMBER(L194),L194&gt;0),W194&gt;L194,FALSE))</f>
        <v/>
      </c>
      <c r="N194" s="7">
        <f>IF($Y194="","",SUMIFS('Per Line'!$X$2:$X$1001,'Per Line'!$D$2:$D$1001,$B194,'Per Line'!$AP$2:$AP$1001,1))</f>
        <v/>
      </c>
      <c r="O194">
        <f>IF($Y194="","",Settings!$C$7)</f>
        <v/>
      </c>
      <c r="P194" s="7">
        <f>IF($Y194="","",SUMIFS('Per Line'!$X$2:$X$1001,'Per Line'!$D$2:$D$1001,$B194,'Per Line'!$AO$2:$AO$1001,0,'Per Line'!$AP$2:$AP$1001,0))</f>
        <v/>
      </c>
      <c r="Q194" s="7">
        <f>IF($Y194="","",P194*O194)</f>
        <v/>
      </c>
      <c r="R194">
        <f>IF($Y194="","",Settings!$C$6)</f>
        <v/>
      </c>
      <c r="S194" s="7">
        <f>IF($Y194="","",SUMIFS('Per Line'!$X$2:$X$1001,'Per Line'!$D$2:$D$1001,$B194,'Per Line'!$AO$2:$AO$1001,1,'Per Line'!$AP$2:$AP$1001,0))</f>
        <v/>
      </c>
      <c r="T194" s="7">
        <f>IF($Y194="","",S194*R194)</f>
        <v/>
      </c>
      <c r="U194" s="7">
        <f>IF($Y194="","",T194+Q194)</f>
        <v/>
      </c>
      <c r="V194" s="7">
        <f>IF($Y194="","",W194-U194)</f>
        <v/>
      </c>
      <c r="W194" s="7">
        <f>IF($Y194="","",P194+S194+N194)</f>
        <v/>
      </c>
      <c r="X194" s="7">
        <f>IF($Y194="","",W194-U194-J194)</f>
        <v/>
      </c>
      <c r="Y194" s="13">
        <f>IF(ROWS($Y$2:$Y194)&lt;=MAX('Per Line'!$AN$2:$AN$1001),MATCH(ROWS($Y$2:$Y194),'Per Line'!$AN$2:$AN$1001,0),"")</f>
        <v/>
      </c>
      <c r="Z194" s="14">
        <f>IF($Y194="","",J194-I194*W194/100)</f>
        <v/>
      </c>
    </row>
    <row r="195">
      <c r="A195" s="12" t="n"/>
      <c r="B195">
        <f>IF($Y195="","",INDEX('Per Line'!$D$2:$D$1001,$Y195)&amp;"")</f>
        <v/>
      </c>
      <c r="C195">
        <f>IF($Y195="","",INDEX('Per Line'!$C$2:$C$1001,$Y195)&amp;"")</f>
        <v/>
      </c>
      <c r="D195" s="11">
        <f>IF($Y195="","",INDEX('Per Line'!$F$2:$F$1001,$Y195))</f>
        <v/>
      </c>
      <c r="E195">
        <f>IF($Y195="","",INDEX('Per Line'!$G$2:$G$1001,$Y195)&amp;"")</f>
        <v/>
      </c>
      <c r="F195">
        <f>IF($Y195="","",INDEX('Per Line'!$I$2:$I$1001,$Y195)&amp;"")</f>
        <v/>
      </c>
      <c r="G195">
        <f>IF($Y195="","",INDEX('Per Line'!$J$2:$J$1001,$Y195)&amp;"")</f>
        <v/>
      </c>
      <c r="H195">
        <f>IF($Y195="","",INDEX('Per Line'!$K$2:$K$1001,$Y195)&amp;"")</f>
        <v/>
      </c>
      <c r="I195">
        <f>IF($Y195="","",INDEX('Per Line'!$O$2:$O$1001,$Y195))</f>
        <v/>
      </c>
      <c r="J195" s="7">
        <f>IF($Y195="","",IF(AND(ISNUMBER(L195),L195&gt;0,W195&gt;L195),I195*L195/100+(W195-L195),I195*W195/100))</f>
        <v/>
      </c>
      <c r="K195">
        <f>IF($Y195="","",INDEX('Per Line'!$Y$2:$Y$1001,$Y195)&amp;"")</f>
        <v/>
      </c>
      <c r="L195">
        <f>IF($Y195="","",INDEX('Per Line'!$AF$2:$AF$1001,$Y195))</f>
        <v/>
      </c>
      <c r="M195">
        <f>IF($Y195="","",IF(AND(ISNUMBER(L195),L195&gt;0),W195&gt;L195,FALSE))</f>
        <v/>
      </c>
      <c r="N195" s="7">
        <f>IF($Y195="","",SUMIFS('Per Line'!$X$2:$X$1001,'Per Line'!$D$2:$D$1001,$B195,'Per Line'!$AP$2:$AP$1001,1))</f>
        <v/>
      </c>
      <c r="O195">
        <f>IF($Y195="","",Settings!$C$7)</f>
        <v/>
      </c>
      <c r="P195" s="7">
        <f>IF($Y195="","",SUMIFS('Per Line'!$X$2:$X$1001,'Per Line'!$D$2:$D$1001,$B195,'Per Line'!$AO$2:$AO$1001,0,'Per Line'!$AP$2:$AP$1001,0))</f>
        <v/>
      </c>
      <c r="Q195" s="7">
        <f>IF($Y195="","",P195*O195)</f>
        <v/>
      </c>
      <c r="R195">
        <f>IF($Y195="","",Settings!$C$6)</f>
        <v/>
      </c>
      <c r="S195" s="7">
        <f>IF($Y195="","",SUMIFS('Per Line'!$X$2:$X$1001,'Per Line'!$D$2:$D$1001,$B195,'Per Line'!$AO$2:$AO$1001,1,'Per Line'!$AP$2:$AP$1001,0))</f>
        <v/>
      </c>
      <c r="T195" s="7">
        <f>IF($Y195="","",S195*R195)</f>
        <v/>
      </c>
      <c r="U195" s="7">
        <f>IF($Y195="","",T195+Q195)</f>
        <v/>
      </c>
      <c r="V195" s="7">
        <f>IF($Y195="","",W195-U195)</f>
        <v/>
      </c>
      <c r="W195" s="7">
        <f>IF($Y195="","",P195+S195+N195)</f>
        <v/>
      </c>
      <c r="X195" s="7">
        <f>IF($Y195="","",W195-U195-J195)</f>
        <v/>
      </c>
      <c r="Y195" s="13">
        <f>IF(ROWS($Y$2:$Y195)&lt;=MAX('Per Line'!$AN$2:$AN$1001),MATCH(ROWS($Y$2:$Y195),'Per Line'!$AN$2:$AN$1001,0),"")</f>
        <v/>
      </c>
      <c r="Z195" s="14">
        <f>IF($Y195="","",J195-I195*W195/100)</f>
        <v/>
      </c>
    </row>
    <row r="196">
      <c r="A196" s="12" t="n"/>
      <c r="B196">
        <f>IF($Y196="","",INDEX('Per Line'!$D$2:$D$1001,$Y196)&amp;"")</f>
        <v/>
      </c>
      <c r="C196">
        <f>IF($Y196="","",INDEX('Per Line'!$C$2:$C$1001,$Y196)&amp;"")</f>
        <v/>
      </c>
      <c r="D196" s="11">
        <f>IF($Y196="","",INDEX('Per Line'!$F$2:$F$1001,$Y196))</f>
        <v/>
      </c>
      <c r="E196">
        <f>IF($Y196="","",INDEX('Per Line'!$G$2:$G$1001,$Y196)&amp;"")</f>
        <v/>
      </c>
      <c r="F196">
        <f>IF($Y196="","",INDEX('Per Line'!$I$2:$I$1001,$Y196)&amp;"")</f>
        <v/>
      </c>
      <c r="G196">
        <f>IF($Y196="","",INDEX('Per Line'!$J$2:$J$1001,$Y196)&amp;"")</f>
        <v/>
      </c>
      <c r="H196">
        <f>IF($Y196="","",INDEX('Per Line'!$K$2:$K$1001,$Y196)&amp;"")</f>
        <v/>
      </c>
      <c r="I196">
        <f>IF($Y196="","",INDEX('Per Line'!$O$2:$O$1001,$Y196))</f>
        <v/>
      </c>
      <c r="J196" s="7">
        <f>IF($Y196="","",IF(AND(ISNUMBER(L196),L196&gt;0,W196&gt;L196),I196*L196/100+(W196-L196),I196*W196/100))</f>
        <v/>
      </c>
      <c r="K196">
        <f>IF($Y196="","",INDEX('Per Line'!$Y$2:$Y$1001,$Y196)&amp;"")</f>
        <v/>
      </c>
      <c r="L196">
        <f>IF($Y196="","",INDEX('Per Line'!$AF$2:$AF$1001,$Y196))</f>
        <v/>
      </c>
      <c r="M196">
        <f>IF($Y196="","",IF(AND(ISNUMBER(L196),L196&gt;0),W196&gt;L196,FALSE))</f>
        <v/>
      </c>
      <c r="N196" s="7">
        <f>IF($Y196="","",SUMIFS('Per Line'!$X$2:$X$1001,'Per Line'!$D$2:$D$1001,$B196,'Per Line'!$AP$2:$AP$1001,1))</f>
        <v/>
      </c>
      <c r="O196">
        <f>IF($Y196="","",Settings!$C$7)</f>
        <v/>
      </c>
      <c r="P196" s="7">
        <f>IF($Y196="","",SUMIFS('Per Line'!$X$2:$X$1001,'Per Line'!$D$2:$D$1001,$B196,'Per Line'!$AO$2:$AO$1001,0,'Per Line'!$AP$2:$AP$1001,0))</f>
        <v/>
      </c>
      <c r="Q196" s="7">
        <f>IF($Y196="","",P196*O196)</f>
        <v/>
      </c>
      <c r="R196">
        <f>IF($Y196="","",Settings!$C$6)</f>
        <v/>
      </c>
      <c r="S196" s="7">
        <f>IF($Y196="","",SUMIFS('Per Line'!$X$2:$X$1001,'Per Line'!$D$2:$D$1001,$B196,'Per Line'!$AO$2:$AO$1001,1,'Per Line'!$AP$2:$AP$1001,0))</f>
        <v/>
      </c>
      <c r="T196" s="7">
        <f>IF($Y196="","",S196*R196)</f>
        <v/>
      </c>
      <c r="U196" s="7">
        <f>IF($Y196="","",T196+Q196)</f>
        <v/>
      </c>
      <c r="V196" s="7">
        <f>IF($Y196="","",W196-U196)</f>
        <v/>
      </c>
      <c r="W196" s="7">
        <f>IF($Y196="","",P196+S196+N196)</f>
        <v/>
      </c>
      <c r="X196" s="7">
        <f>IF($Y196="","",W196-U196-J196)</f>
        <v/>
      </c>
      <c r="Y196" s="13">
        <f>IF(ROWS($Y$2:$Y196)&lt;=MAX('Per Line'!$AN$2:$AN$1001),MATCH(ROWS($Y$2:$Y196),'Per Line'!$AN$2:$AN$1001,0),"")</f>
        <v/>
      </c>
      <c r="Z196" s="14">
        <f>IF($Y196="","",J196-I196*W196/100)</f>
        <v/>
      </c>
    </row>
    <row r="197">
      <c r="A197" s="12" t="n"/>
      <c r="B197">
        <f>IF($Y197="","",INDEX('Per Line'!$D$2:$D$1001,$Y197)&amp;"")</f>
        <v/>
      </c>
      <c r="C197">
        <f>IF($Y197="","",INDEX('Per Line'!$C$2:$C$1001,$Y197)&amp;"")</f>
        <v/>
      </c>
      <c r="D197" s="11">
        <f>IF($Y197="","",INDEX('Per Line'!$F$2:$F$1001,$Y197))</f>
        <v/>
      </c>
      <c r="E197">
        <f>IF($Y197="","",INDEX('Per Line'!$G$2:$G$1001,$Y197)&amp;"")</f>
        <v/>
      </c>
      <c r="F197">
        <f>IF($Y197="","",INDEX('Per Line'!$I$2:$I$1001,$Y197)&amp;"")</f>
        <v/>
      </c>
      <c r="G197">
        <f>IF($Y197="","",INDEX('Per Line'!$J$2:$J$1001,$Y197)&amp;"")</f>
        <v/>
      </c>
      <c r="H197">
        <f>IF($Y197="","",INDEX('Per Line'!$K$2:$K$1001,$Y197)&amp;"")</f>
        <v/>
      </c>
      <c r="I197">
        <f>IF($Y197="","",INDEX('Per Line'!$O$2:$O$1001,$Y197))</f>
        <v/>
      </c>
      <c r="J197" s="7">
        <f>IF($Y197="","",IF(AND(ISNUMBER(L197),L197&gt;0,W197&gt;L197),I197*L197/100+(W197-L197),I197*W197/100))</f>
        <v/>
      </c>
      <c r="K197">
        <f>IF($Y197="","",INDEX('Per Line'!$Y$2:$Y$1001,$Y197)&amp;"")</f>
        <v/>
      </c>
      <c r="L197">
        <f>IF($Y197="","",INDEX('Per Line'!$AF$2:$AF$1001,$Y197))</f>
        <v/>
      </c>
      <c r="M197">
        <f>IF($Y197="","",IF(AND(ISNUMBER(L197),L197&gt;0),W197&gt;L197,FALSE))</f>
        <v/>
      </c>
      <c r="N197" s="7">
        <f>IF($Y197="","",SUMIFS('Per Line'!$X$2:$X$1001,'Per Line'!$D$2:$D$1001,$B197,'Per Line'!$AP$2:$AP$1001,1))</f>
        <v/>
      </c>
      <c r="O197">
        <f>IF($Y197="","",Settings!$C$7)</f>
        <v/>
      </c>
      <c r="P197" s="7">
        <f>IF($Y197="","",SUMIFS('Per Line'!$X$2:$X$1001,'Per Line'!$D$2:$D$1001,$B197,'Per Line'!$AO$2:$AO$1001,0,'Per Line'!$AP$2:$AP$1001,0))</f>
        <v/>
      </c>
      <c r="Q197" s="7">
        <f>IF($Y197="","",P197*O197)</f>
        <v/>
      </c>
      <c r="R197">
        <f>IF($Y197="","",Settings!$C$6)</f>
        <v/>
      </c>
      <c r="S197" s="7">
        <f>IF($Y197="","",SUMIFS('Per Line'!$X$2:$X$1001,'Per Line'!$D$2:$D$1001,$B197,'Per Line'!$AO$2:$AO$1001,1,'Per Line'!$AP$2:$AP$1001,0))</f>
        <v/>
      </c>
      <c r="T197" s="7">
        <f>IF($Y197="","",S197*R197)</f>
        <v/>
      </c>
      <c r="U197" s="7">
        <f>IF($Y197="","",T197+Q197)</f>
        <v/>
      </c>
      <c r="V197" s="7">
        <f>IF($Y197="","",W197-U197)</f>
        <v/>
      </c>
      <c r="W197" s="7">
        <f>IF($Y197="","",P197+S197+N197)</f>
        <v/>
      </c>
      <c r="X197" s="7">
        <f>IF($Y197="","",W197-U197-J197)</f>
        <v/>
      </c>
      <c r="Y197" s="13">
        <f>IF(ROWS($Y$2:$Y197)&lt;=MAX('Per Line'!$AN$2:$AN$1001),MATCH(ROWS($Y$2:$Y197),'Per Line'!$AN$2:$AN$1001,0),"")</f>
        <v/>
      </c>
      <c r="Z197" s="14">
        <f>IF($Y197="","",J197-I197*W197/100)</f>
        <v/>
      </c>
    </row>
    <row r="198">
      <c r="A198" s="12" t="n"/>
      <c r="B198">
        <f>IF($Y198="","",INDEX('Per Line'!$D$2:$D$1001,$Y198)&amp;"")</f>
        <v/>
      </c>
      <c r="C198">
        <f>IF($Y198="","",INDEX('Per Line'!$C$2:$C$1001,$Y198)&amp;"")</f>
        <v/>
      </c>
      <c r="D198" s="11">
        <f>IF($Y198="","",INDEX('Per Line'!$F$2:$F$1001,$Y198))</f>
        <v/>
      </c>
      <c r="E198">
        <f>IF($Y198="","",INDEX('Per Line'!$G$2:$G$1001,$Y198)&amp;"")</f>
        <v/>
      </c>
      <c r="F198">
        <f>IF($Y198="","",INDEX('Per Line'!$I$2:$I$1001,$Y198)&amp;"")</f>
        <v/>
      </c>
      <c r="G198">
        <f>IF($Y198="","",INDEX('Per Line'!$J$2:$J$1001,$Y198)&amp;"")</f>
        <v/>
      </c>
      <c r="H198">
        <f>IF($Y198="","",INDEX('Per Line'!$K$2:$K$1001,$Y198)&amp;"")</f>
        <v/>
      </c>
      <c r="I198">
        <f>IF($Y198="","",INDEX('Per Line'!$O$2:$O$1001,$Y198))</f>
        <v/>
      </c>
      <c r="J198" s="7">
        <f>IF($Y198="","",IF(AND(ISNUMBER(L198),L198&gt;0,W198&gt;L198),I198*L198/100+(W198-L198),I198*W198/100))</f>
        <v/>
      </c>
      <c r="K198">
        <f>IF($Y198="","",INDEX('Per Line'!$Y$2:$Y$1001,$Y198)&amp;"")</f>
        <v/>
      </c>
      <c r="L198">
        <f>IF($Y198="","",INDEX('Per Line'!$AF$2:$AF$1001,$Y198))</f>
        <v/>
      </c>
      <c r="M198">
        <f>IF($Y198="","",IF(AND(ISNUMBER(L198),L198&gt;0),W198&gt;L198,FALSE))</f>
        <v/>
      </c>
      <c r="N198" s="7">
        <f>IF($Y198="","",SUMIFS('Per Line'!$X$2:$X$1001,'Per Line'!$D$2:$D$1001,$B198,'Per Line'!$AP$2:$AP$1001,1))</f>
        <v/>
      </c>
      <c r="O198">
        <f>IF($Y198="","",Settings!$C$7)</f>
        <v/>
      </c>
      <c r="P198" s="7">
        <f>IF($Y198="","",SUMIFS('Per Line'!$X$2:$X$1001,'Per Line'!$D$2:$D$1001,$B198,'Per Line'!$AO$2:$AO$1001,0,'Per Line'!$AP$2:$AP$1001,0))</f>
        <v/>
      </c>
      <c r="Q198" s="7">
        <f>IF($Y198="","",P198*O198)</f>
        <v/>
      </c>
      <c r="R198">
        <f>IF($Y198="","",Settings!$C$6)</f>
        <v/>
      </c>
      <c r="S198" s="7">
        <f>IF($Y198="","",SUMIFS('Per Line'!$X$2:$X$1001,'Per Line'!$D$2:$D$1001,$B198,'Per Line'!$AO$2:$AO$1001,1,'Per Line'!$AP$2:$AP$1001,0))</f>
        <v/>
      </c>
      <c r="T198" s="7">
        <f>IF($Y198="","",S198*R198)</f>
        <v/>
      </c>
      <c r="U198" s="7">
        <f>IF($Y198="","",T198+Q198)</f>
        <v/>
      </c>
      <c r="V198" s="7">
        <f>IF($Y198="","",W198-U198)</f>
        <v/>
      </c>
      <c r="W198" s="7">
        <f>IF($Y198="","",P198+S198+N198)</f>
        <v/>
      </c>
      <c r="X198" s="7">
        <f>IF($Y198="","",W198-U198-J198)</f>
        <v/>
      </c>
      <c r="Y198" s="13">
        <f>IF(ROWS($Y$2:$Y198)&lt;=MAX('Per Line'!$AN$2:$AN$1001),MATCH(ROWS($Y$2:$Y198),'Per Line'!$AN$2:$AN$1001,0),"")</f>
        <v/>
      </c>
      <c r="Z198" s="14">
        <f>IF($Y198="","",J198-I198*W198/100)</f>
        <v/>
      </c>
    </row>
    <row r="199">
      <c r="A199" s="12" t="n"/>
      <c r="B199">
        <f>IF($Y199="","",INDEX('Per Line'!$D$2:$D$1001,$Y199)&amp;"")</f>
        <v/>
      </c>
      <c r="C199">
        <f>IF($Y199="","",INDEX('Per Line'!$C$2:$C$1001,$Y199)&amp;"")</f>
        <v/>
      </c>
      <c r="D199" s="11">
        <f>IF($Y199="","",INDEX('Per Line'!$F$2:$F$1001,$Y199))</f>
        <v/>
      </c>
      <c r="E199">
        <f>IF($Y199="","",INDEX('Per Line'!$G$2:$G$1001,$Y199)&amp;"")</f>
        <v/>
      </c>
      <c r="F199">
        <f>IF($Y199="","",INDEX('Per Line'!$I$2:$I$1001,$Y199)&amp;"")</f>
        <v/>
      </c>
      <c r="G199">
        <f>IF($Y199="","",INDEX('Per Line'!$J$2:$J$1001,$Y199)&amp;"")</f>
        <v/>
      </c>
      <c r="H199">
        <f>IF($Y199="","",INDEX('Per Line'!$K$2:$K$1001,$Y199)&amp;"")</f>
        <v/>
      </c>
      <c r="I199">
        <f>IF($Y199="","",INDEX('Per Line'!$O$2:$O$1001,$Y199))</f>
        <v/>
      </c>
      <c r="J199" s="7">
        <f>IF($Y199="","",IF(AND(ISNUMBER(L199),L199&gt;0,W199&gt;L199),I199*L199/100+(W199-L199),I199*W199/100))</f>
        <v/>
      </c>
      <c r="K199">
        <f>IF($Y199="","",INDEX('Per Line'!$Y$2:$Y$1001,$Y199)&amp;"")</f>
        <v/>
      </c>
      <c r="L199">
        <f>IF($Y199="","",INDEX('Per Line'!$AF$2:$AF$1001,$Y199))</f>
        <v/>
      </c>
      <c r="M199">
        <f>IF($Y199="","",IF(AND(ISNUMBER(L199),L199&gt;0),W199&gt;L199,FALSE))</f>
        <v/>
      </c>
      <c r="N199" s="7">
        <f>IF($Y199="","",SUMIFS('Per Line'!$X$2:$X$1001,'Per Line'!$D$2:$D$1001,$B199,'Per Line'!$AP$2:$AP$1001,1))</f>
        <v/>
      </c>
      <c r="O199">
        <f>IF($Y199="","",Settings!$C$7)</f>
        <v/>
      </c>
      <c r="P199" s="7">
        <f>IF($Y199="","",SUMIFS('Per Line'!$X$2:$X$1001,'Per Line'!$D$2:$D$1001,$B199,'Per Line'!$AO$2:$AO$1001,0,'Per Line'!$AP$2:$AP$1001,0))</f>
        <v/>
      </c>
      <c r="Q199" s="7">
        <f>IF($Y199="","",P199*O199)</f>
        <v/>
      </c>
      <c r="R199">
        <f>IF($Y199="","",Settings!$C$6)</f>
        <v/>
      </c>
      <c r="S199" s="7">
        <f>IF($Y199="","",SUMIFS('Per Line'!$X$2:$X$1001,'Per Line'!$D$2:$D$1001,$B199,'Per Line'!$AO$2:$AO$1001,1,'Per Line'!$AP$2:$AP$1001,0))</f>
        <v/>
      </c>
      <c r="T199" s="7">
        <f>IF($Y199="","",S199*R199)</f>
        <v/>
      </c>
      <c r="U199" s="7">
        <f>IF($Y199="","",T199+Q199)</f>
        <v/>
      </c>
      <c r="V199" s="7">
        <f>IF($Y199="","",W199-U199)</f>
        <v/>
      </c>
      <c r="W199" s="7">
        <f>IF($Y199="","",P199+S199+N199)</f>
        <v/>
      </c>
      <c r="X199" s="7">
        <f>IF($Y199="","",W199-U199-J199)</f>
        <v/>
      </c>
      <c r="Y199" s="13">
        <f>IF(ROWS($Y$2:$Y199)&lt;=MAX('Per Line'!$AN$2:$AN$1001),MATCH(ROWS($Y$2:$Y199),'Per Line'!$AN$2:$AN$1001,0),"")</f>
        <v/>
      </c>
      <c r="Z199" s="14">
        <f>IF($Y199="","",J199-I199*W199/100)</f>
        <v/>
      </c>
    </row>
    <row r="200">
      <c r="A200" s="12" t="n"/>
      <c r="B200">
        <f>IF($Y200="","",INDEX('Per Line'!$D$2:$D$1001,$Y200)&amp;"")</f>
        <v/>
      </c>
      <c r="C200">
        <f>IF($Y200="","",INDEX('Per Line'!$C$2:$C$1001,$Y200)&amp;"")</f>
        <v/>
      </c>
      <c r="D200" s="11">
        <f>IF($Y200="","",INDEX('Per Line'!$F$2:$F$1001,$Y200))</f>
        <v/>
      </c>
      <c r="E200">
        <f>IF($Y200="","",INDEX('Per Line'!$G$2:$G$1001,$Y200)&amp;"")</f>
        <v/>
      </c>
      <c r="F200">
        <f>IF($Y200="","",INDEX('Per Line'!$I$2:$I$1001,$Y200)&amp;"")</f>
        <v/>
      </c>
      <c r="G200">
        <f>IF($Y200="","",INDEX('Per Line'!$J$2:$J$1001,$Y200)&amp;"")</f>
        <v/>
      </c>
      <c r="H200">
        <f>IF($Y200="","",INDEX('Per Line'!$K$2:$K$1001,$Y200)&amp;"")</f>
        <v/>
      </c>
      <c r="I200">
        <f>IF($Y200="","",INDEX('Per Line'!$O$2:$O$1001,$Y200))</f>
        <v/>
      </c>
      <c r="J200" s="7">
        <f>IF($Y200="","",IF(AND(ISNUMBER(L200),L200&gt;0,W200&gt;L200),I200*L200/100+(W200-L200),I200*W200/100))</f>
        <v/>
      </c>
      <c r="K200">
        <f>IF($Y200="","",INDEX('Per Line'!$Y$2:$Y$1001,$Y200)&amp;"")</f>
        <v/>
      </c>
      <c r="L200">
        <f>IF($Y200="","",INDEX('Per Line'!$AF$2:$AF$1001,$Y200))</f>
        <v/>
      </c>
      <c r="M200">
        <f>IF($Y200="","",IF(AND(ISNUMBER(L200),L200&gt;0),W200&gt;L200,FALSE))</f>
        <v/>
      </c>
      <c r="N200" s="7">
        <f>IF($Y200="","",SUMIFS('Per Line'!$X$2:$X$1001,'Per Line'!$D$2:$D$1001,$B200,'Per Line'!$AP$2:$AP$1001,1))</f>
        <v/>
      </c>
      <c r="O200">
        <f>IF($Y200="","",Settings!$C$7)</f>
        <v/>
      </c>
      <c r="P200" s="7">
        <f>IF($Y200="","",SUMIFS('Per Line'!$X$2:$X$1001,'Per Line'!$D$2:$D$1001,$B200,'Per Line'!$AO$2:$AO$1001,0,'Per Line'!$AP$2:$AP$1001,0))</f>
        <v/>
      </c>
      <c r="Q200" s="7">
        <f>IF($Y200="","",P200*O200)</f>
        <v/>
      </c>
      <c r="R200">
        <f>IF($Y200="","",Settings!$C$6)</f>
        <v/>
      </c>
      <c r="S200" s="7">
        <f>IF($Y200="","",SUMIFS('Per Line'!$X$2:$X$1001,'Per Line'!$D$2:$D$1001,$B200,'Per Line'!$AO$2:$AO$1001,1,'Per Line'!$AP$2:$AP$1001,0))</f>
        <v/>
      </c>
      <c r="T200" s="7">
        <f>IF($Y200="","",S200*R200)</f>
        <v/>
      </c>
      <c r="U200" s="7">
        <f>IF($Y200="","",T200+Q200)</f>
        <v/>
      </c>
      <c r="V200" s="7">
        <f>IF($Y200="","",W200-U200)</f>
        <v/>
      </c>
      <c r="W200" s="7">
        <f>IF($Y200="","",P200+S200+N200)</f>
        <v/>
      </c>
      <c r="X200" s="7">
        <f>IF($Y200="","",W200-U200-J200)</f>
        <v/>
      </c>
      <c r="Y200" s="13">
        <f>IF(ROWS($Y$2:$Y200)&lt;=MAX('Per Line'!$AN$2:$AN$1001),MATCH(ROWS($Y$2:$Y200),'Per Line'!$AN$2:$AN$1001,0),"")</f>
        <v/>
      </c>
      <c r="Z200" s="14">
        <f>IF($Y200="","",J200-I200*W200/100)</f>
        <v/>
      </c>
    </row>
    <row r="201">
      <c r="A201" s="12" t="n"/>
      <c r="B201">
        <f>IF($Y201="","",INDEX('Per Line'!$D$2:$D$1001,$Y201)&amp;"")</f>
        <v/>
      </c>
      <c r="C201">
        <f>IF($Y201="","",INDEX('Per Line'!$C$2:$C$1001,$Y201)&amp;"")</f>
        <v/>
      </c>
      <c r="D201" s="11">
        <f>IF($Y201="","",INDEX('Per Line'!$F$2:$F$1001,$Y201))</f>
        <v/>
      </c>
      <c r="E201">
        <f>IF($Y201="","",INDEX('Per Line'!$G$2:$G$1001,$Y201)&amp;"")</f>
        <v/>
      </c>
      <c r="F201">
        <f>IF($Y201="","",INDEX('Per Line'!$I$2:$I$1001,$Y201)&amp;"")</f>
        <v/>
      </c>
      <c r="G201">
        <f>IF($Y201="","",INDEX('Per Line'!$J$2:$J$1001,$Y201)&amp;"")</f>
        <v/>
      </c>
      <c r="H201">
        <f>IF($Y201="","",INDEX('Per Line'!$K$2:$K$1001,$Y201)&amp;"")</f>
        <v/>
      </c>
      <c r="I201">
        <f>IF($Y201="","",INDEX('Per Line'!$O$2:$O$1001,$Y201))</f>
        <v/>
      </c>
      <c r="J201" s="7">
        <f>IF($Y201="","",IF(AND(ISNUMBER(L201),L201&gt;0,W201&gt;L201),I201*L201/100+(W201-L201),I201*W201/100))</f>
        <v/>
      </c>
      <c r="K201">
        <f>IF($Y201="","",INDEX('Per Line'!$Y$2:$Y$1001,$Y201)&amp;"")</f>
        <v/>
      </c>
      <c r="L201">
        <f>IF($Y201="","",INDEX('Per Line'!$AF$2:$AF$1001,$Y201))</f>
        <v/>
      </c>
      <c r="M201">
        <f>IF($Y201="","",IF(AND(ISNUMBER(L201),L201&gt;0),W201&gt;L201,FALSE))</f>
        <v/>
      </c>
      <c r="N201" s="7">
        <f>IF($Y201="","",SUMIFS('Per Line'!$X$2:$X$1001,'Per Line'!$D$2:$D$1001,$B201,'Per Line'!$AP$2:$AP$1001,1))</f>
        <v/>
      </c>
      <c r="O201">
        <f>IF($Y201="","",Settings!$C$7)</f>
        <v/>
      </c>
      <c r="P201" s="7">
        <f>IF($Y201="","",SUMIFS('Per Line'!$X$2:$X$1001,'Per Line'!$D$2:$D$1001,$B201,'Per Line'!$AO$2:$AO$1001,0,'Per Line'!$AP$2:$AP$1001,0))</f>
        <v/>
      </c>
      <c r="Q201" s="7">
        <f>IF($Y201="","",P201*O201)</f>
        <v/>
      </c>
      <c r="R201">
        <f>IF($Y201="","",Settings!$C$6)</f>
        <v/>
      </c>
      <c r="S201" s="7">
        <f>IF($Y201="","",SUMIFS('Per Line'!$X$2:$X$1001,'Per Line'!$D$2:$D$1001,$B201,'Per Line'!$AO$2:$AO$1001,1,'Per Line'!$AP$2:$AP$1001,0))</f>
        <v/>
      </c>
      <c r="T201" s="7">
        <f>IF($Y201="","",S201*R201)</f>
        <v/>
      </c>
      <c r="U201" s="7">
        <f>IF($Y201="","",T201+Q201)</f>
        <v/>
      </c>
      <c r="V201" s="7">
        <f>IF($Y201="","",W201-U201)</f>
        <v/>
      </c>
      <c r="W201" s="7">
        <f>IF($Y201="","",P201+S201+N201)</f>
        <v/>
      </c>
      <c r="X201" s="7">
        <f>IF($Y201="","",W201-U201-J201)</f>
        <v/>
      </c>
      <c r="Y201" s="13">
        <f>IF(ROWS($Y$2:$Y201)&lt;=MAX('Per Line'!$AN$2:$AN$1001),MATCH(ROWS($Y$2:$Y201),'Per Line'!$AN$2:$AN$1001,0),"")</f>
        <v/>
      </c>
      <c r="Z201" s="14">
        <f>IF($Y201="","",J201-I201*W201/100)</f>
        <v/>
      </c>
    </row>
    <row r="202">
      <c r="A202" s="12" t="n"/>
      <c r="B202">
        <f>IF($Y202="","",INDEX('Per Line'!$D$2:$D$1001,$Y202)&amp;"")</f>
        <v/>
      </c>
      <c r="C202">
        <f>IF($Y202="","",INDEX('Per Line'!$C$2:$C$1001,$Y202)&amp;"")</f>
        <v/>
      </c>
      <c r="D202" s="11">
        <f>IF($Y202="","",INDEX('Per Line'!$F$2:$F$1001,$Y202))</f>
        <v/>
      </c>
      <c r="E202">
        <f>IF($Y202="","",INDEX('Per Line'!$G$2:$G$1001,$Y202)&amp;"")</f>
        <v/>
      </c>
      <c r="F202">
        <f>IF($Y202="","",INDEX('Per Line'!$I$2:$I$1001,$Y202)&amp;"")</f>
        <v/>
      </c>
      <c r="G202">
        <f>IF($Y202="","",INDEX('Per Line'!$J$2:$J$1001,$Y202)&amp;"")</f>
        <v/>
      </c>
      <c r="H202">
        <f>IF($Y202="","",INDEX('Per Line'!$K$2:$K$1001,$Y202)&amp;"")</f>
        <v/>
      </c>
      <c r="I202">
        <f>IF($Y202="","",INDEX('Per Line'!$O$2:$O$1001,$Y202))</f>
        <v/>
      </c>
      <c r="J202" s="7">
        <f>IF($Y202="","",IF(AND(ISNUMBER(L202),L202&gt;0,W202&gt;L202),I202*L202/100+(W202-L202),I202*W202/100))</f>
        <v/>
      </c>
      <c r="K202">
        <f>IF($Y202="","",INDEX('Per Line'!$Y$2:$Y$1001,$Y202)&amp;"")</f>
        <v/>
      </c>
      <c r="L202">
        <f>IF($Y202="","",INDEX('Per Line'!$AF$2:$AF$1001,$Y202))</f>
        <v/>
      </c>
      <c r="M202">
        <f>IF($Y202="","",IF(AND(ISNUMBER(L202),L202&gt;0),W202&gt;L202,FALSE))</f>
        <v/>
      </c>
      <c r="N202" s="7">
        <f>IF($Y202="","",SUMIFS('Per Line'!$X$2:$X$1001,'Per Line'!$D$2:$D$1001,$B202,'Per Line'!$AP$2:$AP$1001,1))</f>
        <v/>
      </c>
      <c r="O202">
        <f>IF($Y202="","",Settings!$C$7)</f>
        <v/>
      </c>
      <c r="P202" s="7">
        <f>IF($Y202="","",SUMIFS('Per Line'!$X$2:$X$1001,'Per Line'!$D$2:$D$1001,$B202,'Per Line'!$AO$2:$AO$1001,0,'Per Line'!$AP$2:$AP$1001,0))</f>
        <v/>
      </c>
      <c r="Q202" s="7">
        <f>IF($Y202="","",P202*O202)</f>
        <v/>
      </c>
      <c r="R202">
        <f>IF($Y202="","",Settings!$C$6)</f>
        <v/>
      </c>
      <c r="S202" s="7">
        <f>IF($Y202="","",SUMIFS('Per Line'!$X$2:$X$1001,'Per Line'!$D$2:$D$1001,$B202,'Per Line'!$AO$2:$AO$1001,1,'Per Line'!$AP$2:$AP$1001,0))</f>
        <v/>
      </c>
      <c r="T202" s="7">
        <f>IF($Y202="","",S202*R202)</f>
        <v/>
      </c>
      <c r="U202" s="7">
        <f>IF($Y202="","",T202+Q202)</f>
        <v/>
      </c>
      <c r="V202" s="7">
        <f>IF($Y202="","",W202-U202)</f>
        <v/>
      </c>
      <c r="W202" s="7">
        <f>IF($Y202="","",P202+S202+N202)</f>
        <v/>
      </c>
      <c r="X202" s="7">
        <f>IF($Y202="","",W202-U202-J202)</f>
        <v/>
      </c>
      <c r="Y202" s="13">
        <f>IF(ROWS($Y$2:$Y202)&lt;=MAX('Per Line'!$AN$2:$AN$1001),MATCH(ROWS($Y$2:$Y202),'Per Line'!$AN$2:$AN$1001,0),"")</f>
        <v/>
      </c>
      <c r="Z202" s="14">
        <f>IF($Y202="","",J202-I202*W202/100)</f>
        <v/>
      </c>
    </row>
    <row r="203">
      <c r="A203" s="12" t="n"/>
      <c r="B203">
        <f>IF($Y203="","",INDEX('Per Line'!$D$2:$D$1001,$Y203)&amp;"")</f>
        <v/>
      </c>
      <c r="C203">
        <f>IF($Y203="","",INDEX('Per Line'!$C$2:$C$1001,$Y203)&amp;"")</f>
        <v/>
      </c>
      <c r="D203" s="11">
        <f>IF($Y203="","",INDEX('Per Line'!$F$2:$F$1001,$Y203))</f>
        <v/>
      </c>
      <c r="E203">
        <f>IF($Y203="","",INDEX('Per Line'!$G$2:$G$1001,$Y203)&amp;"")</f>
        <v/>
      </c>
      <c r="F203">
        <f>IF($Y203="","",INDEX('Per Line'!$I$2:$I$1001,$Y203)&amp;"")</f>
        <v/>
      </c>
      <c r="G203">
        <f>IF($Y203="","",INDEX('Per Line'!$J$2:$J$1001,$Y203)&amp;"")</f>
        <v/>
      </c>
      <c r="H203">
        <f>IF($Y203="","",INDEX('Per Line'!$K$2:$K$1001,$Y203)&amp;"")</f>
        <v/>
      </c>
      <c r="I203">
        <f>IF($Y203="","",INDEX('Per Line'!$O$2:$O$1001,$Y203))</f>
        <v/>
      </c>
      <c r="J203" s="7">
        <f>IF($Y203="","",IF(AND(ISNUMBER(L203),L203&gt;0,W203&gt;L203),I203*L203/100+(W203-L203),I203*W203/100))</f>
        <v/>
      </c>
      <c r="K203">
        <f>IF($Y203="","",INDEX('Per Line'!$Y$2:$Y$1001,$Y203)&amp;"")</f>
        <v/>
      </c>
      <c r="L203">
        <f>IF($Y203="","",INDEX('Per Line'!$AF$2:$AF$1001,$Y203))</f>
        <v/>
      </c>
      <c r="M203">
        <f>IF($Y203="","",IF(AND(ISNUMBER(L203),L203&gt;0),W203&gt;L203,FALSE))</f>
        <v/>
      </c>
      <c r="N203" s="7">
        <f>IF($Y203="","",SUMIFS('Per Line'!$X$2:$X$1001,'Per Line'!$D$2:$D$1001,$B203,'Per Line'!$AP$2:$AP$1001,1))</f>
        <v/>
      </c>
      <c r="O203">
        <f>IF($Y203="","",Settings!$C$7)</f>
        <v/>
      </c>
      <c r="P203" s="7">
        <f>IF($Y203="","",SUMIFS('Per Line'!$X$2:$X$1001,'Per Line'!$D$2:$D$1001,$B203,'Per Line'!$AO$2:$AO$1001,0,'Per Line'!$AP$2:$AP$1001,0))</f>
        <v/>
      </c>
      <c r="Q203" s="7">
        <f>IF($Y203="","",P203*O203)</f>
        <v/>
      </c>
      <c r="R203">
        <f>IF($Y203="","",Settings!$C$6)</f>
        <v/>
      </c>
      <c r="S203" s="7">
        <f>IF($Y203="","",SUMIFS('Per Line'!$X$2:$X$1001,'Per Line'!$D$2:$D$1001,$B203,'Per Line'!$AO$2:$AO$1001,1,'Per Line'!$AP$2:$AP$1001,0))</f>
        <v/>
      </c>
      <c r="T203" s="7">
        <f>IF($Y203="","",S203*R203)</f>
        <v/>
      </c>
      <c r="U203" s="7">
        <f>IF($Y203="","",T203+Q203)</f>
        <v/>
      </c>
      <c r="V203" s="7">
        <f>IF($Y203="","",W203-U203)</f>
        <v/>
      </c>
      <c r="W203" s="7">
        <f>IF($Y203="","",P203+S203+N203)</f>
        <v/>
      </c>
      <c r="X203" s="7">
        <f>IF($Y203="","",W203-U203-J203)</f>
        <v/>
      </c>
      <c r="Y203" s="13">
        <f>IF(ROWS($Y$2:$Y203)&lt;=MAX('Per Line'!$AN$2:$AN$1001),MATCH(ROWS($Y$2:$Y203),'Per Line'!$AN$2:$AN$1001,0),"")</f>
        <v/>
      </c>
      <c r="Z203" s="14">
        <f>IF($Y203="","",J203-I203*W203/100)</f>
        <v/>
      </c>
    </row>
    <row r="204">
      <c r="A204" s="12" t="n"/>
      <c r="B204">
        <f>IF($Y204="","",INDEX('Per Line'!$D$2:$D$1001,$Y204)&amp;"")</f>
        <v/>
      </c>
      <c r="C204">
        <f>IF($Y204="","",INDEX('Per Line'!$C$2:$C$1001,$Y204)&amp;"")</f>
        <v/>
      </c>
      <c r="D204" s="11">
        <f>IF($Y204="","",INDEX('Per Line'!$F$2:$F$1001,$Y204))</f>
        <v/>
      </c>
      <c r="E204">
        <f>IF($Y204="","",INDEX('Per Line'!$G$2:$G$1001,$Y204)&amp;"")</f>
        <v/>
      </c>
      <c r="F204">
        <f>IF($Y204="","",INDEX('Per Line'!$I$2:$I$1001,$Y204)&amp;"")</f>
        <v/>
      </c>
      <c r="G204">
        <f>IF($Y204="","",INDEX('Per Line'!$J$2:$J$1001,$Y204)&amp;"")</f>
        <v/>
      </c>
      <c r="H204">
        <f>IF($Y204="","",INDEX('Per Line'!$K$2:$K$1001,$Y204)&amp;"")</f>
        <v/>
      </c>
      <c r="I204">
        <f>IF($Y204="","",INDEX('Per Line'!$O$2:$O$1001,$Y204))</f>
        <v/>
      </c>
      <c r="J204" s="7">
        <f>IF($Y204="","",IF(AND(ISNUMBER(L204),L204&gt;0,W204&gt;L204),I204*L204/100+(W204-L204),I204*W204/100))</f>
        <v/>
      </c>
      <c r="K204">
        <f>IF($Y204="","",INDEX('Per Line'!$Y$2:$Y$1001,$Y204)&amp;"")</f>
        <v/>
      </c>
      <c r="L204">
        <f>IF($Y204="","",INDEX('Per Line'!$AF$2:$AF$1001,$Y204))</f>
        <v/>
      </c>
      <c r="M204">
        <f>IF($Y204="","",IF(AND(ISNUMBER(L204),L204&gt;0),W204&gt;L204,FALSE))</f>
        <v/>
      </c>
      <c r="N204" s="7">
        <f>IF($Y204="","",SUMIFS('Per Line'!$X$2:$X$1001,'Per Line'!$D$2:$D$1001,$B204,'Per Line'!$AP$2:$AP$1001,1))</f>
        <v/>
      </c>
      <c r="O204">
        <f>IF($Y204="","",Settings!$C$7)</f>
        <v/>
      </c>
      <c r="P204" s="7">
        <f>IF($Y204="","",SUMIFS('Per Line'!$X$2:$X$1001,'Per Line'!$D$2:$D$1001,$B204,'Per Line'!$AO$2:$AO$1001,0,'Per Line'!$AP$2:$AP$1001,0))</f>
        <v/>
      </c>
      <c r="Q204" s="7">
        <f>IF($Y204="","",P204*O204)</f>
        <v/>
      </c>
      <c r="R204">
        <f>IF($Y204="","",Settings!$C$6)</f>
        <v/>
      </c>
      <c r="S204" s="7">
        <f>IF($Y204="","",SUMIFS('Per Line'!$X$2:$X$1001,'Per Line'!$D$2:$D$1001,$B204,'Per Line'!$AO$2:$AO$1001,1,'Per Line'!$AP$2:$AP$1001,0))</f>
        <v/>
      </c>
      <c r="T204" s="7">
        <f>IF($Y204="","",S204*R204)</f>
        <v/>
      </c>
      <c r="U204" s="7">
        <f>IF($Y204="","",T204+Q204)</f>
        <v/>
      </c>
      <c r="V204" s="7">
        <f>IF($Y204="","",W204-U204)</f>
        <v/>
      </c>
      <c r="W204" s="7">
        <f>IF($Y204="","",P204+S204+N204)</f>
        <v/>
      </c>
      <c r="X204" s="7">
        <f>IF($Y204="","",W204-U204-J204)</f>
        <v/>
      </c>
      <c r="Y204" s="13">
        <f>IF(ROWS($Y$2:$Y204)&lt;=MAX('Per Line'!$AN$2:$AN$1001),MATCH(ROWS($Y$2:$Y204),'Per Line'!$AN$2:$AN$1001,0),"")</f>
        <v/>
      </c>
      <c r="Z204" s="14">
        <f>IF($Y204="","",J204-I204*W204/100)</f>
        <v/>
      </c>
    </row>
    <row r="205">
      <c r="A205" s="12" t="n"/>
      <c r="B205">
        <f>IF($Y205="","",INDEX('Per Line'!$D$2:$D$1001,$Y205)&amp;"")</f>
        <v/>
      </c>
      <c r="C205">
        <f>IF($Y205="","",INDEX('Per Line'!$C$2:$C$1001,$Y205)&amp;"")</f>
        <v/>
      </c>
      <c r="D205" s="11">
        <f>IF($Y205="","",INDEX('Per Line'!$F$2:$F$1001,$Y205))</f>
        <v/>
      </c>
      <c r="E205">
        <f>IF($Y205="","",INDEX('Per Line'!$G$2:$G$1001,$Y205)&amp;"")</f>
        <v/>
      </c>
      <c r="F205">
        <f>IF($Y205="","",INDEX('Per Line'!$I$2:$I$1001,$Y205)&amp;"")</f>
        <v/>
      </c>
      <c r="G205">
        <f>IF($Y205="","",INDEX('Per Line'!$J$2:$J$1001,$Y205)&amp;"")</f>
        <v/>
      </c>
      <c r="H205">
        <f>IF($Y205="","",INDEX('Per Line'!$K$2:$K$1001,$Y205)&amp;"")</f>
        <v/>
      </c>
      <c r="I205">
        <f>IF($Y205="","",INDEX('Per Line'!$O$2:$O$1001,$Y205))</f>
        <v/>
      </c>
      <c r="J205" s="7">
        <f>IF($Y205="","",IF(AND(ISNUMBER(L205),L205&gt;0,W205&gt;L205),I205*L205/100+(W205-L205),I205*W205/100))</f>
        <v/>
      </c>
      <c r="K205">
        <f>IF($Y205="","",INDEX('Per Line'!$Y$2:$Y$1001,$Y205)&amp;"")</f>
        <v/>
      </c>
      <c r="L205">
        <f>IF($Y205="","",INDEX('Per Line'!$AF$2:$AF$1001,$Y205))</f>
        <v/>
      </c>
      <c r="M205">
        <f>IF($Y205="","",IF(AND(ISNUMBER(L205),L205&gt;0),W205&gt;L205,FALSE))</f>
        <v/>
      </c>
      <c r="N205" s="7">
        <f>IF($Y205="","",SUMIFS('Per Line'!$X$2:$X$1001,'Per Line'!$D$2:$D$1001,$B205,'Per Line'!$AP$2:$AP$1001,1))</f>
        <v/>
      </c>
      <c r="O205">
        <f>IF($Y205="","",Settings!$C$7)</f>
        <v/>
      </c>
      <c r="P205" s="7">
        <f>IF($Y205="","",SUMIFS('Per Line'!$X$2:$X$1001,'Per Line'!$D$2:$D$1001,$B205,'Per Line'!$AO$2:$AO$1001,0,'Per Line'!$AP$2:$AP$1001,0))</f>
        <v/>
      </c>
      <c r="Q205" s="7">
        <f>IF($Y205="","",P205*O205)</f>
        <v/>
      </c>
      <c r="R205">
        <f>IF($Y205="","",Settings!$C$6)</f>
        <v/>
      </c>
      <c r="S205" s="7">
        <f>IF($Y205="","",SUMIFS('Per Line'!$X$2:$X$1001,'Per Line'!$D$2:$D$1001,$B205,'Per Line'!$AO$2:$AO$1001,1,'Per Line'!$AP$2:$AP$1001,0))</f>
        <v/>
      </c>
      <c r="T205" s="7">
        <f>IF($Y205="","",S205*R205)</f>
        <v/>
      </c>
      <c r="U205" s="7">
        <f>IF($Y205="","",T205+Q205)</f>
        <v/>
      </c>
      <c r="V205" s="7">
        <f>IF($Y205="","",W205-U205)</f>
        <v/>
      </c>
      <c r="W205" s="7">
        <f>IF($Y205="","",P205+S205+N205)</f>
        <v/>
      </c>
      <c r="X205" s="7">
        <f>IF($Y205="","",W205-U205-J205)</f>
        <v/>
      </c>
      <c r="Y205" s="13">
        <f>IF(ROWS($Y$2:$Y205)&lt;=MAX('Per Line'!$AN$2:$AN$1001),MATCH(ROWS($Y$2:$Y205),'Per Line'!$AN$2:$AN$1001,0),"")</f>
        <v/>
      </c>
      <c r="Z205" s="14">
        <f>IF($Y205="","",J205-I205*W205/100)</f>
        <v/>
      </c>
    </row>
    <row r="206">
      <c r="A206" s="12" t="n"/>
      <c r="B206">
        <f>IF($Y206="","",INDEX('Per Line'!$D$2:$D$1001,$Y206)&amp;"")</f>
        <v/>
      </c>
      <c r="C206">
        <f>IF($Y206="","",INDEX('Per Line'!$C$2:$C$1001,$Y206)&amp;"")</f>
        <v/>
      </c>
      <c r="D206" s="11">
        <f>IF($Y206="","",INDEX('Per Line'!$F$2:$F$1001,$Y206))</f>
        <v/>
      </c>
      <c r="E206">
        <f>IF($Y206="","",INDEX('Per Line'!$G$2:$G$1001,$Y206)&amp;"")</f>
        <v/>
      </c>
      <c r="F206">
        <f>IF($Y206="","",INDEX('Per Line'!$I$2:$I$1001,$Y206)&amp;"")</f>
        <v/>
      </c>
      <c r="G206">
        <f>IF($Y206="","",INDEX('Per Line'!$J$2:$J$1001,$Y206)&amp;"")</f>
        <v/>
      </c>
      <c r="H206">
        <f>IF($Y206="","",INDEX('Per Line'!$K$2:$K$1001,$Y206)&amp;"")</f>
        <v/>
      </c>
      <c r="I206">
        <f>IF($Y206="","",INDEX('Per Line'!$O$2:$O$1001,$Y206))</f>
        <v/>
      </c>
      <c r="J206" s="7">
        <f>IF($Y206="","",IF(AND(ISNUMBER(L206),L206&gt;0,W206&gt;L206),I206*L206/100+(W206-L206),I206*W206/100))</f>
        <v/>
      </c>
      <c r="K206">
        <f>IF($Y206="","",INDEX('Per Line'!$Y$2:$Y$1001,$Y206)&amp;"")</f>
        <v/>
      </c>
      <c r="L206">
        <f>IF($Y206="","",INDEX('Per Line'!$AF$2:$AF$1001,$Y206))</f>
        <v/>
      </c>
      <c r="M206">
        <f>IF($Y206="","",IF(AND(ISNUMBER(L206),L206&gt;0),W206&gt;L206,FALSE))</f>
        <v/>
      </c>
      <c r="N206" s="7">
        <f>IF($Y206="","",SUMIFS('Per Line'!$X$2:$X$1001,'Per Line'!$D$2:$D$1001,$B206,'Per Line'!$AP$2:$AP$1001,1))</f>
        <v/>
      </c>
      <c r="O206">
        <f>IF($Y206="","",Settings!$C$7)</f>
        <v/>
      </c>
      <c r="P206" s="7">
        <f>IF($Y206="","",SUMIFS('Per Line'!$X$2:$X$1001,'Per Line'!$D$2:$D$1001,$B206,'Per Line'!$AO$2:$AO$1001,0,'Per Line'!$AP$2:$AP$1001,0))</f>
        <v/>
      </c>
      <c r="Q206" s="7">
        <f>IF($Y206="","",P206*O206)</f>
        <v/>
      </c>
      <c r="R206">
        <f>IF($Y206="","",Settings!$C$6)</f>
        <v/>
      </c>
      <c r="S206" s="7">
        <f>IF($Y206="","",SUMIFS('Per Line'!$X$2:$X$1001,'Per Line'!$D$2:$D$1001,$B206,'Per Line'!$AO$2:$AO$1001,1,'Per Line'!$AP$2:$AP$1001,0))</f>
        <v/>
      </c>
      <c r="T206" s="7">
        <f>IF($Y206="","",S206*R206)</f>
        <v/>
      </c>
      <c r="U206" s="7">
        <f>IF($Y206="","",T206+Q206)</f>
        <v/>
      </c>
      <c r="V206" s="7">
        <f>IF($Y206="","",W206-U206)</f>
        <v/>
      </c>
      <c r="W206" s="7">
        <f>IF($Y206="","",P206+S206+N206)</f>
        <v/>
      </c>
      <c r="X206" s="7">
        <f>IF($Y206="","",W206-U206-J206)</f>
        <v/>
      </c>
      <c r="Y206" s="13">
        <f>IF(ROWS($Y$2:$Y206)&lt;=MAX('Per Line'!$AN$2:$AN$1001),MATCH(ROWS($Y$2:$Y206),'Per Line'!$AN$2:$AN$1001,0),"")</f>
        <v/>
      </c>
      <c r="Z206" s="14">
        <f>IF($Y206="","",J206-I206*W206/100)</f>
        <v/>
      </c>
    </row>
    <row r="207">
      <c r="A207" s="12" t="n"/>
      <c r="B207">
        <f>IF($Y207="","",INDEX('Per Line'!$D$2:$D$1001,$Y207)&amp;"")</f>
        <v/>
      </c>
      <c r="C207">
        <f>IF($Y207="","",INDEX('Per Line'!$C$2:$C$1001,$Y207)&amp;"")</f>
        <v/>
      </c>
      <c r="D207" s="11">
        <f>IF($Y207="","",INDEX('Per Line'!$F$2:$F$1001,$Y207))</f>
        <v/>
      </c>
      <c r="E207">
        <f>IF($Y207="","",INDEX('Per Line'!$G$2:$G$1001,$Y207)&amp;"")</f>
        <v/>
      </c>
      <c r="F207">
        <f>IF($Y207="","",INDEX('Per Line'!$I$2:$I$1001,$Y207)&amp;"")</f>
        <v/>
      </c>
      <c r="G207">
        <f>IF($Y207="","",INDEX('Per Line'!$J$2:$J$1001,$Y207)&amp;"")</f>
        <v/>
      </c>
      <c r="H207">
        <f>IF($Y207="","",INDEX('Per Line'!$K$2:$K$1001,$Y207)&amp;"")</f>
        <v/>
      </c>
      <c r="I207">
        <f>IF($Y207="","",INDEX('Per Line'!$O$2:$O$1001,$Y207))</f>
        <v/>
      </c>
      <c r="J207" s="7">
        <f>IF($Y207="","",IF(AND(ISNUMBER(L207),L207&gt;0,W207&gt;L207),I207*L207/100+(W207-L207),I207*W207/100))</f>
        <v/>
      </c>
      <c r="K207">
        <f>IF($Y207="","",INDEX('Per Line'!$Y$2:$Y$1001,$Y207)&amp;"")</f>
        <v/>
      </c>
      <c r="L207">
        <f>IF($Y207="","",INDEX('Per Line'!$AF$2:$AF$1001,$Y207))</f>
        <v/>
      </c>
      <c r="M207">
        <f>IF($Y207="","",IF(AND(ISNUMBER(L207),L207&gt;0),W207&gt;L207,FALSE))</f>
        <v/>
      </c>
      <c r="N207" s="7">
        <f>IF($Y207="","",SUMIFS('Per Line'!$X$2:$X$1001,'Per Line'!$D$2:$D$1001,$B207,'Per Line'!$AP$2:$AP$1001,1))</f>
        <v/>
      </c>
      <c r="O207">
        <f>IF($Y207="","",Settings!$C$7)</f>
        <v/>
      </c>
      <c r="P207" s="7">
        <f>IF($Y207="","",SUMIFS('Per Line'!$X$2:$X$1001,'Per Line'!$D$2:$D$1001,$B207,'Per Line'!$AO$2:$AO$1001,0,'Per Line'!$AP$2:$AP$1001,0))</f>
        <v/>
      </c>
      <c r="Q207" s="7">
        <f>IF($Y207="","",P207*O207)</f>
        <v/>
      </c>
      <c r="R207">
        <f>IF($Y207="","",Settings!$C$6)</f>
        <v/>
      </c>
      <c r="S207" s="7">
        <f>IF($Y207="","",SUMIFS('Per Line'!$X$2:$X$1001,'Per Line'!$D$2:$D$1001,$B207,'Per Line'!$AO$2:$AO$1001,1,'Per Line'!$AP$2:$AP$1001,0))</f>
        <v/>
      </c>
      <c r="T207" s="7">
        <f>IF($Y207="","",S207*R207)</f>
        <v/>
      </c>
      <c r="U207" s="7">
        <f>IF($Y207="","",T207+Q207)</f>
        <v/>
      </c>
      <c r="V207" s="7">
        <f>IF($Y207="","",W207-U207)</f>
        <v/>
      </c>
      <c r="W207" s="7">
        <f>IF($Y207="","",P207+S207+N207)</f>
        <v/>
      </c>
      <c r="X207" s="7">
        <f>IF($Y207="","",W207-U207-J207)</f>
        <v/>
      </c>
      <c r="Y207" s="13">
        <f>IF(ROWS($Y$2:$Y207)&lt;=MAX('Per Line'!$AN$2:$AN$1001),MATCH(ROWS($Y$2:$Y207),'Per Line'!$AN$2:$AN$1001,0),"")</f>
        <v/>
      </c>
      <c r="Z207" s="14">
        <f>IF($Y207="","",J207-I207*W207/100)</f>
        <v/>
      </c>
    </row>
    <row r="208">
      <c r="A208" s="12" t="n"/>
      <c r="B208">
        <f>IF($Y208="","",INDEX('Per Line'!$D$2:$D$1001,$Y208)&amp;"")</f>
        <v/>
      </c>
      <c r="C208">
        <f>IF($Y208="","",INDEX('Per Line'!$C$2:$C$1001,$Y208)&amp;"")</f>
        <v/>
      </c>
      <c r="D208" s="11">
        <f>IF($Y208="","",INDEX('Per Line'!$F$2:$F$1001,$Y208))</f>
        <v/>
      </c>
      <c r="E208">
        <f>IF($Y208="","",INDEX('Per Line'!$G$2:$G$1001,$Y208)&amp;"")</f>
        <v/>
      </c>
      <c r="F208">
        <f>IF($Y208="","",INDEX('Per Line'!$I$2:$I$1001,$Y208)&amp;"")</f>
        <v/>
      </c>
      <c r="G208">
        <f>IF($Y208="","",INDEX('Per Line'!$J$2:$J$1001,$Y208)&amp;"")</f>
        <v/>
      </c>
      <c r="H208">
        <f>IF($Y208="","",INDEX('Per Line'!$K$2:$K$1001,$Y208)&amp;"")</f>
        <v/>
      </c>
      <c r="I208">
        <f>IF($Y208="","",INDEX('Per Line'!$O$2:$O$1001,$Y208))</f>
        <v/>
      </c>
      <c r="J208" s="7">
        <f>IF($Y208="","",IF(AND(ISNUMBER(L208),L208&gt;0,W208&gt;L208),I208*L208/100+(W208-L208),I208*W208/100))</f>
        <v/>
      </c>
      <c r="K208">
        <f>IF($Y208="","",INDEX('Per Line'!$Y$2:$Y$1001,$Y208)&amp;"")</f>
        <v/>
      </c>
      <c r="L208">
        <f>IF($Y208="","",INDEX('Per Line'!$AF$2:$AF$1001,$Y208))</f>
        <v/>
      </c>
      <c r="M208">
        <f>IF($Y208="","",IF(AND(ISNUMBER(L208),L208&gt;0),W208&gt;L208,FALSE))</f>
        <v/>
      </c>
      <c r="N208" s="7">
        <f>IF($Y208="","",SUMIFS('Per Line'!$X$2:$X$1001,'Per Line'!$D$2:$D$1001,$B208,'Per Line'!$AP$2:$AP$1001,1))</f>
        <v/>
      </c>
      <c r="O208">
        <f>IF($Y208="","",Settings!$C$7)</f>
        <v/>
      </c>
      <c r="P208" s="7">
        <f>IF($Y208="","",SUMIFS('Per Line'!$X$2:$X$1001,'Per Line'!$D$2:$D$1001,$B208,'Per Line'!$AO$2:$AO$1001,0,'Per Line'!$AP$2:$AP$1001,0))</f>
        <v/>
      </c>
      <c r="Q208" s="7">
        <f>IF($Y208="","",P208*O208)</f>
        <v/>
      </c>
      <c r="R208">
        <f>IF($Y208="","",Settings!$C$6)</f>
        <v/>
      </c>
      <c r="S208" s="7">
        <f>IF($Y208="","",SUMIFS('Per Line'!$X$2:$X$1001,'Per Line'!$D$2:$D$1001,$B208,'Per Line'!$AO$2:$AO$1001,1,'Per Line'!$AP$2:$AP$1001,0))</f>
        <v/>
      </c>
      <c r="T208" s="7">
        <f>IF($Y208="","",S208*R208)</f>
        <v/>
      </c>
      <c r="U208" s="7">
        <f>IF($Y208="","",T208+Q208)</f>
        <v/>
      </c>
      <c r="V208" s="7">
        <f>IF($Y208="","",W208-U208)</f>
        <v/>
      </c>
      <c r="W208" s="7">
        <f>IF($Y208="","",P208+S208+N208)</f>
        <v/>
      </c>
      <c r="X208" s="7">
        <f>IF($Y208="","",W208-U208-J208)</f>
        <v/>
      </c>
      <c r="Y208" s="13">
        <f>IF(ROWS($Y$2:$Y208)&lt;=MAX('Per Line'!$AN$2:$AN$1001),MATCH(ROWS($Y$2:$Y208),'Per Line'!$AN$2:$AN$1001,0),"")</f>
        <v/>
      </c>
      <c r="Z208" s="14">
        <f>IF($Y208="","",J208-I208*W208/100)</f>
        <v/>
      </c>
    </row>
    <row r="209">
      <c r="A209" s="12" t="n"/>
      <c r="B209">
        <f>IF($Y209="","",INDEX('Per Line'!$D$2:$D$1001,$Y209)&amp;"")</f>
        <v/>
      </c>
      <c r="C209">
        <f>IF($Y209="","",INDEX('Per Line'!$C$2:$C$1001,$Y209)&amp;"")</f>
        <v/>
      </c>
      <c r="D209" s="11">
        <f>IF($Y209="","",INDEX('Per Line'!$F$2:$F$1001,$Y209))</f>
        <v/>
      </c>
      <c r="E209">
        <f>IF($Y209="","",INDEX('Per Line'!$G$2:$G$1001,$Y209)&amp;"")</f>
        <v/>
      </c>
      <c r="F209">
        <f>IF($Y209="","",INDEX('Per Line'!$I$2:$I$1001,$Y209)&amp;"")</f>
        <v/>
      </c>
      <c r="G209">
        <f>IF($Y209="","",INDEX('Per Line'!$J$2:$J$1001,$Y209)&amp;"")</f>
        <v/>
      </c>
      <c r="H209">
        <f>IF($Y209="","",INDEX('Per Line'!$K$2:$K$1001,$Y209)&amp;"")</f>
        <v/>
      </c>
      <c r="I209">
        <f>IF($Y209="","",INDEX('Per Line'!$O$2:$O$1001,$Y209))</f>
        <v/>
      </c>
      <c r="J209" s="7">
        <f>IF($Y209="","",IF(AND(ISNUMBER(L209),L209&gt;0,W209&gt;L209),I209*L209/100+(W209-L209),I209*W209/100))</f>
        <v/>
      </c>
      <c r="K209">
        <f>IF($Y209="","",INDEX('Per Line'!$Y$2:$Y$1001,$Y209)&amp;"")</f>
        <v/>
      </c>
      <c r="L209">
        <f>IF($Y209="","",INDEX('Per Line'!$AF$2:$AF$1001,$Y209))</f>
        <v/>
      </c>
      <c r="M209">
        <f>IF($Y209="","",IF(AND(ISNUMBER(L209),L209&gt;0),W209&gt;L209,FALSE))</f>
        <v/>
      </c>
      <c r="N209" s="7">
        <f>IF($Y209="","",SUMIFS('Per Line'!$X$2:$X$1001,'Per Line'!$D$2:$D$1001,$B209,'Per Line'!$AP$2:$AP$1001,1))</f>
        <v/>
      </c>
      <c r="O209">
        <f>IF($Y209="","",Settings!$C$7)</f>
        <v/>
      </c>
      <c r="P209" s="7">
        <f>IF($Y209="","",SUMIFS('Per Line'!$X$2:$X$1001,'Per Line'!$D$2:$D$1001,$B209,'Per Line'!$AO$2:$AO$1001,0,'Per Line'!$AP$2:$AP$1001,0))</f>
        <v/>
      </c>
      <c r="Q209" s="7">
        <f>IF($Y209="","",P209*O209)</f>
        <v/>
      </c>
      <c r="R209">
        <f>IF($Y209="","",Settings!$C$6)</f>
        <v/>
      </c>
      <c r="S209" s="7">
        <f>IF($Y209="","",SUMIFS('Per Line'!$X$2:$X$1001,'Per Line'!$D$2:$D$1001,$B209,'Per Line'!$AO$2:$AO$1001,1,'Per Line'!$AP$2:$AP$1001,0))</f>
        <v/>
      </c>
      <c r="T209" s="7">
        <f>IF($Y209="","",S209*R209)</f>
        <v/>
      </c>
      <c r="U209" s="7">
        <f>IF($Y209="","",T209+Q209)</f>
        <v/>
      </c>
      <c r="V209" s="7">
        <f>IF($Y209="","",W209-U209)</f>
        <v/>
      </c>
      <c r="W209" s="7">
        <f>IF($Y209="","",P209+S209+N209)</f>
        <v/>
      </c>
      <c r="X209" s="7">
        <f>IF($Y209="","",W209-U209-J209)</f>
        <v/>
      </c>
      <c r="Y209" s="13">
        <f>IF(ROWS($Y$2:$Y209)&lt;=MAX('Per Line'!$AN$2:$AN$1001),MATCH(ROWS($Y$2:$Y209),'Per Line'!$AN$2:$AN$1001,0),"")</f>
        <v/>
      </c>
      <c r="Z209" s="14">
        <f>IF($Y209="","",J209-I209*W209/100)</f>
        <v/>
      </c>
    </row>
    <row r="210">
      <c r="A210" s="12" t="n"/>
      <c r="B210">
        <f>IF($Y210="","",INDEX('Per Line'!$D$2:$D$1001,$Y210)&amp;"")</f>
        <v/>
      </c>
      <c r="C210">
        <f>IF($Y210="","",INDEX('Per Line'!$C$2:$C$1001,$Y210)&amp;"")</f>
        <v/>
      </c>
      <c r="D210" s="11">
        <f>IF($Y210="","",INDEX('Per Line'!$F$2:$F$1001,$Y210))</f>
        <v/>
      </c>
      <c r="E210">
        <f>IF($Y210="","",INDEX('Per Line'!$G$2:$G$1001,$Y210)&amp;"")</f>
        <v/>
      </c>
      <c r="F210">
        <f>IF($Y210="","",INDEX('Per Line'!$I$2:$I$1001,$Y210)&amp;"")</f>
        <v/>
      </c>
      <c r="G210">
        <f>IF($Y210="","",INDEX('Per Line'!$J$2:$J$1001,$Y210)&amp;"")</f>
        <v/>
      </c>
      <c r="H210">
        <f>IF($Y210="","",INDEX('Per Line'!$K$2:$K$1001,$Y210)&amp;"")</f>
        <v/>
      </c>
      <c r="I210">
        <f>IF($Y210="","",INDEX('Per Line'!$O$2:$O$1001,$Y210))</f>
        <v/>
      </c>
      <c r="J210" s="7">
        <f>IF($Y210="","",IF(AND(ISNUMBER(L210),L210&gt;0,W210&gt;L210),I210*L210/100+(W210-L210),I210*W210/100))</f>
        <v/>
      </c>
      <c r="K210">
        <f>IF($Y210="","",INDEX('Per Line'!$Y$2:$Y$1001,$Y210)&amp;"")</f>
        <v/>
      </c>
      <c r="L210">
        <f>IF($Y210="","",INDEX('Per Line'!$AF$2:$AF$1001,$Y210))</f>
        <v/>
      </c>
      <c r="M210">
        <f>IF($Y210="","",IF(AND(ISNUMBER(L210),L210&gt;0),W210&gt;L210,FALSE))</f>
        <v/>
      </c>
      <c r="N210" s="7">
        <f>IF($Y210="","",SUMIFS('Per Line'!$X$2:$X$1001,'Per Line'!$D$2:$D$1001,$B210,'Per Line'!$AP$2:$AP$1001,1))</f>
        <v/>
      </c>
      <c r="O210">
        <f>IF($Y210="","",Settings!$C$7)</f>
        <v/>
      </c>
      <c r="P210" s="7">
        <f>IF($Y210="","",SUMIFS('Per Line'!$X$2:$X$1001,'Per Line'!$D$2:$D$1001,$B210,'Per Line'!$AO$2:$AO$1001,0,'Per Line'!$AP$2:$AP$1001,0))</f>
        <v/>
      </c>
      <c r="Q210" s="7">
        <f>IF($Y210="","",P210*O210)</f>
        <v/>
      </c>
      <c r="R210">
        <f>IF($Y210="","",Settings!$C$6)</f>
        <v/>
      </c>
      <c r="S210" s="7">
        <f>IF($Y210="","",SUMIFS('Per Line'!$X$2:$X$1001,'Per Line'!$D$2:$D$1001,$B210,'Per Line'!$AO$2:$AO$1001,1,'Per Line'!$AP$2:$AP$1001,0))</f>
        <v/>
      </c>
      <c r="T210" s="7">
        <f>IF($Y210="","",S210*R210)</f>
        <v/>
      </c>
      <c r="U210" s="7">
        <f>IF($Y210="","",T210+Q210)</f>
        <v/>
      </c>
      <c r="V210" s="7">
        <f>IF($Y210="","",W210-U210)</f>
        <v/>
      </c>
      <c r="W210" s="7">
        <f>IF($Y210="","",P210+S210+N210)</f>
        <v/>
      </c>
      <c r="X210" s="7">
        <f>IF($Y210="","",W210-U210-J210)</f>
        <v/>
      </c>
      <c r="Y210" s="13">
        <f>IF(ROWS($Y$2:$Y210)&lt;=MAX('Per Line'!$AN$2:$AN$1001),MATCH(ROWS($Y$2:$Y210),'Per Line'!$AN$2:$AN$1001,0),"")</f>
        <v/>
      </c>
      <c r="Z210" s="14">
        <f>IF($Y210="","",J210-I210*W210/100)</f>
        <v/>
      </c>
    </row>
    <row r="211">
      <c r="A211" s="12" t="n"/>
      <c r="B211">
        <f>IF($Y211="","",INDEX('Per Line'!$D$2:$D$1001,$Y211)&amp;"")</f>
        <v/>
      </c>
      <c r="C211">
        <f>IF($Y211="","",INDEX('Per Line'!$C$2:$C$1001,$Y211)&amp;"")</f>
        <v/>
      </c>
      <c r="D211" s="11">
        <f>IF($Y211="","",INDEX('Per Line'!$F$2:$F$1001,$Y211))</f>
        <v/>
      </c>
      <c r="E211">
        <f>IF($Y211="","",INDEX('Per Line'!$G$2:$G$1001,$Y211)&amp;"")</f>
        <v/>
      </c>
      <c r="F211">
        <f>IF($Y211="","",INDEX('Per Line'!$I$2:$I$1001,$Y211)&amp;"")</f>
        <v/>
      </c>
      <c r="G211">
        <f>IF($Y211="","",INDEX('Per Line'!$J$2:$J$1001,$Y211)&amp;"")</f>
        <v/>
      </c>
      <c r="H211">
        <f>IF($Y211="","",INDEX('Per Line'!$K$2:$K$1001,$Y211)&amp;"")</f>
        <v/>
      </c>
      <c r="I211">
        <f>IF($Y211="","",INDEX('Per Line'!$O$2:$O$1001,$Y211))</f>
        <v/>
      </c>
      <c r="J211" s="7">
        <f>IF($Y211="","",IF(AND(ISNUMBER(L211),L211&gt;0,W211&gt;L211),I211*L211/100+(W211-L211),I211*W211/100))</f>
        <v/>
      </c>
      <c r="K211">
        <f>IF($Y211="","",INDEX('Per Line'!$Y$2:$Y$1001,$Y211)&amp;"")</f>
        <v/>
      </c>
      <c r="L211">
        <f>IF($Y211="","",INDEX('Per Line'!$AF$2:$AF$1001,$Y211))</f>
        <v/>
      </c>
      <c r="M211">
        <f>IF($Y211="","",IF(AND(ISNUMBER(L211),L211&gt;0),W211&gt;L211,FALSE))</f>
        <v/>
      </c>
      <c r="N211" s="7">
        <f>IF($Y211="","",SUMIFS('Per Line'!$X$2:$X$1001,'Per Line'!$D$2:$D$1001,$B211,'Per Line'!$AP$2:$AP$1001,1))</f>
        <v/>
      </c>
      <c r="O211">
        <f>IF($Y211="","",Settings!$C$7)</f>
        <v/>
      </c>
      <c r="P211" s="7">
        <f>IF($Y211="","",SUMIFS('Per Line'!$X$2:$X$1001,'Per Line'!$D$2:$D$1001,$B211,'Per Line'!$AO$2:$AO$1001,0,'Per Line'!$AP$2:$AP$1001,0))</f>
        <v/>
      </c>
      <c r="Q211" s="7">
        <f>IF($Y211="","",P211*O211)</f>
        <v/>
      </c>
      <c r="R211">
        <f>IF($Y211="","",Settings!$C$6)</f>
        <v/>
      </c>
      <c r="S211" s="7">
        <f>IF($Y211="","",SUMIFS('Per Line'!$X$2:$X$1001,'Per Line'!$D$2:$D$1001,$B211,'Per Line'!$AO$2:$AO$1001,1,'Per Line'!$AP$2:$AP$1001,0))</f>
        <v/>
      </c>
      <c r="T211" s="7">
        <f>IF($Y211="","",S211*R211)</f>
        <v/>
      </c>
      <c r="U211" s="7">
        <f>IF($Y211="","",T211+Q211)</f>
        <v/>
      </c>
      <c r="V211" s="7">
        <f>IF($Y211="","",W211-U211)</f>
        <v/>
      </c>
      <c r="W211" s="7">
        <f>IF($Y211="","",P211+S211+N211)</f>
        <v/>
      </c>
      <c r="X211" s="7">
        <f>IF($Y211="","",W211-U211-J211)</f>
        <v/>
      </c>
      <c r="Y211" s="13">
        <f>IF(ROWS($Y$2:$Y211)&lt;=MAX('Per Line'!$AN$2:$AN$1001),MATCH(ROWS($Y$2:$Y211),'Per Line'!$AN$2:$AN$1001,0),"")</f>
        <v/>
      </c>
      <c r="Z211" s="14">
        <f>IF($Y211="","",J211-I211*W211/100)</f>
        <v/>
      </c>
    </row>
    <row r="212">
      <c r="A212" s="12" t="n"/>
      <c r="B212">
        <f>IF($Y212="","",INDEX('Per Line'!$D$2:$D$1001,$Y212)&amp;"")</f>
        <v/>
      </c>
      <c r="C212">
        <f>IF($Y212="","",INDEX('Per Line'!$C$2:$C$1001,$Y212)&amp;"")</f>
        <v/>
      </c>
      <c r="D212" s="11">
        <f>IF($Y212="","",INDEX('Per Line'!$F$2:$F$1001,$Y212))</f>
        <v/>
      </c>
      <c r="E212">
        <f>IF($Y212="","",INDEX('Per Line'!$G$2:$G$1001,$Y212)&amp;"")</f>
        <v/>
      </c>
      <c r="F212">
        <f>IF($Y212="","",INDEX('Per Line'!$I$2:$I$1001,$Y212)&amp;"")</f>
        <v/>
      </c>
      <c r="G212">
        <f>IF($Y212="","",INDEX('Per Line'!$J$2:$J$1001,$Y212)&amp;"")</f>
        <v/>
      </c>
      <c r="H212">
        <f>IF($Y212="","",INDEX('Per Line'!$K$2:$K$1001,$Y212)&amp;"")</f>
        <v/>
      </c>
      <c r="I212">
        <f>IF($Y212="","",INDEX('Per Line'!$O$2:$O$1001,$Y212))</f>
        <v/>
      </c>
      <c r="J212" s="7">
        <f>IF($Y212="","",IF(AND(ISNUMBER(L212),L212&gt;0,W212&gt;L212),I212*L212/100+(W212-L212),I212*W212/100))</f>
        <v/>
      </c>
      <c r="K212">
        <f>IF($Y212="","",INDEX('Per Line'!$Y$2:$Y$1001,$Y212)&amp;"")</f>
        <v/>
      </c>
      <c r="L212">
        <f>IF($Y212="","",INDEX('Per Line'!$AF$2:$AF$1001,$Y212))</f>
        <v/>
      </c>
      <c r="M212">
        <f>IF($Y212="","",IF(AND(ISNUMBER(L212),L212&gt;0),W212&gt;L212,FALSE))</f>
        <v/>
      </c>
      <c r="N212" s="7">
        <f>IF($Y212="","",SUMIFS('Per Line'!$X$2:$X$1001,'Per Line'!$D$2:$D$1001,$B212,'Per Line'!$AP$2:$AP$1001,1))</f>
        <v/>
      </c>
      <c r="O212">
        <f>IF($Y212="","",Settings!$C$7)</f>
        <v/>
      </c>
      <c r="P212" s="7">
        <f>IF($Y212="","",SUMIFS('Per Line'!$X$2:$X$1001,'Per Line'!$D$2:$D$1001,$B212,'Per Line'!$AO$2:$AO$1001,0,'Per Line'!$AP$2:$AP$1001,0))</f>
        <v/>
      </c>
      <c r="Q212" s="7">
        <f>IF($Y212="","",P212*O212)</f>
        <v/>
      </c>
      <c r="R212">
        <f>IF($Y212="","",Settings!$C$6)</f>
        <v/>
      </c>
      <c r="S212" s="7">
        <f>IF($Y212="","",SUMIFS('Per Line'!$X$2:$X$1001,'Per Line'!$D$2:$D$1001,$B212,'Per Line'!$AO$2:$AO$1001,1,'Per Line'!$AP$2:$AP$1001,0))</f>
        <v/>
      </c>
      <c r="T212" s="7">
        <f>IF($Y212="","",S212*R212)</f>
        <v/>
      </c>
      <c r="U212" s="7">
        <f>IF($Y212="","",T212+Q212)</f>
        <v/>
      </c>
      <c r="V212" s="7">
        <f>IF($Y212="","",W212-U212)</f>
        <v/>
      </c>
      <c r="W212" s="7">
        <f>IF($Y212="","",P212+S212+N212)</f>
        <v/>
      </c>
      <c r="X212" s="7">
        <f>IF($Y212="","",W212-U212-J212)</f>
        <v/>
      </c>
      <c r="Y212" s="13">
        <f>IF(ROWS($Y$2:$Y212)&lt;=MAX('Per Line'!$AN$2:$AN$1001),MATCH(ROWS($Y$2:$Y212),'Per Line'!$AN$2:$AN$1001,0),"")</f>
        <v/>
      </c>
      <c r="Z212" s="14">
        <f>IF($Y212="","",J212-I212*W212/100)</f>
        <v/>
      </c>
    </row>
    <row r="213">
      <c r="A213" s="12" t="n"/>
      <c r="B213">
        <f>IF($Y213="","",INDEX('Per Line'!$D$2:$D$1001,$Y213)&amp;"")</f>
        <v/>
      </c>
      <c r="C213">
        <f>IF($Y213="","",INDEX('Per Line'!$C$2:$C$1001,$Y213)&amp;"")</f>
        <v/>
      </c>
      <c r="D213" s="11">
        <f>IF($Y213="","",INDEX('Per Line'!$F$2:$F$1001,$Y213))</f>
        <v/>
      </c>
      <c r="E213">
        <f>IF($Y213="","",INDEX('Per Line'!$G$2:$G$1001,$Y213)&amp;"")</f>
        <v/>
      </c>
      <c r="F213">
        <f>IF($Y213="","",INDEX('Per Line'!$I$2:$I$1001,$Y213)&amp;"")</f>
        <v/>
      </c>
      <c r="G213">
        <f>IF($Y213="","",INDEX('Per Line'!$J$2:$J$1001,$Y213)&amp;"")</f>
        <v/>
      </c>
      <c r="H213">
        <f>IF($Y213="","",INDEX('Per Line'!$K$2:$K$1001,$Y213)&amp;"")</f>
        <v/>
      </c>
      <c r="I213">
        <f>IF($Y213="","",INDEX('Per Line'!$O$2:$O$1001,$Y213))</f>
        <v/>
      </c>
      <c r="J213" s="7">
        <f>IF($Y213="","",IF(AND(ISNUMBER(L213),L213&gt;0,W213&gt;L213),I213*L213/100+(W213-L213),I213*W213/100))</f>
        <v/>
      </c>
      <c r="K213">
        <f>IF($Y213="","",INDEX('Per Line'!$Y$2:$Y$1001,$Y213)&amp;"")</f>
        <v/>
      </c>
      <c r="L213">
        <f>IF($Y213="","",INDEX('Per Line'!$AF$2:$AF$1001,$Y213))</f>
        <v/>
      </c>
      <c r="M213">
        <f>IF($Y213="","",IF(AND(ISNUMBER(L213),L213&gt;0),W213&gt;L213,FALSE))</f>
        <v/>
      </c>
      <c r="N213" s="7">
        <f>IF($Y213="","",SUMIFS('Per Line'!$X$2:$X$1001,'Per Line'!$D$2:$D$1001,$B213,'Per Line'!$AP$2:$AP$1001,1))</f>
        <v/>
      </c>
      <c r="O213">
        <f>IF($Y213="","",Settings!$C$7)</f>
        <v/>
      </c>
      <c r="P213" s="7">
        <f>IF($Y213="","",SUMIFS('Per Line'!$X$2:$X$1001,'Per Line'!$D$2:$D$1001,$B213,'Per Line'!$AO$2:$AO$1001,0,'Per Line'!$AP$2:$AP$1001,0))</f>
        <v/>
      </c>
      <c r="Q213" s="7">
        <f>IF($Y213="","",P213*O213)</f>
        <v/>
      </c>
      <c r="R213">
        <f>IF($Y213="","",Settings!$C$6)</f>
        <v/>
      </c>
      <c r="S213" s="7">
        <f>IF($Y213="","",SUMIFS('Per Line'!$X$2:$X$1001,'Per Line'!$D$2:$D$1001,$B213,'Per Line'!$AO$2:$AO$1001,1,'Per Line'!$AP$2:$AP$1001,0))</f>
        <v/>
      </c>
      <c r="T213" s="7">
        <f>IF($Y213="","",S213*R213)</f>
        <v/>
      </c>
      <c r="U213" s="7">
        <f>IF($Y213="","",T213+Q213)</f>
        <v/>
      </c>
      <c r="V213" s="7">
        <f>IF($Y213="","",W213-U213)</f>
        <v/>
      </c>
      <c r="W213" s="7">
        <f>IF($Y213="","",P213+S213+N213)</f>
        <v/>
      </c>
      <c r="X213" s="7">
        <f>IF($Y213="","",W213-U213-J213)</f>
        <v/>
      </c>
      <c r="Y213" s="13">
        <f>IF(ROWS($Y$2:$Y213)&lt;=MAX('Per Line'!$AN$2:$AN$1001),MATCH(ROWS($Y$2:$Y213),'Per Line'!$AN$2:$AN$1001,0),"")</f>
        <v/>
      </c>
      <c r="Z213" s="14">
        <f>IF($Y213="","",J213-I213*W213/100)</f>
        <v/>
      </c>
    </row>
    <row r="214">
      <c r="A214" s="12" t="n"/>
      <c r="B214">
        <f>IF($Y214="","",INDEX('Per Line'!$D$2:$D$1001,$Y214)&amp;"")</f>
        <v/>
      </c>
      <c r="C214">
        <f>IF($Y214="","",INDEX('Per Line'!$C$2:$C$1001,$Y214)&amp;"")</f>
        <v/>
      </c>
      <c r="D214" s="11">
        <f>IF($Y214="","",INDEX('Per Line'!$F$2:$F$1001,$Y214))</f>
        <v/>
      </c>
      <c r="E214">
        <f>IF($Y214="","",INDEX('Per Line'!$G$2:$G$1001,$Y214)&amp;"")</f>
        <v/>
      </c>
      <c r="F214">
        <f>IF($Y214="","",INDEX('Per Line'!$I$2:$I$1001,$Y214)&amp;"")</f>
        <v/>
      </c>
      <c r="G214">
        <f>IF($Y214="","",INDEX('Per Line'!$J$2:$J$1001,$Y214)&amp;"")</f>
        <v/>
      </c>
      <c r="H214">
        <f>IF($Y214="","",INDEX('Per Line'!$K$2:$K$1001,$Y214)&amp;"")</f>
        <v/>
      </c>
      <c r="I214">
        <f>IF($Y214="","",INDEX('Per Line'!$O$2:$O$1001,$Y214))</f>
        <v/>
      </c>
      <c r="J214" s="7">
        <f>IF($Y214="","",IF(AND(ISNUMBER(L214),L214&gt;0,W214&gt;L214),I214*L214/100+(W214-L214),I214*W214/100))</f>
        <v/>
      </c>
      <c r="K214">
        <f>IF($Y214="","",INDEX('Per Line'!$Y$2:$Y$1001,$Y214)&amp;"")</f>
        <v/>
      </c>
      <c r="L214">
        <f>IF($Y214="","",INDEX('Per Line'!$AF$2:$AF$1001,$Y214))</f>
        <v/>
      </c>
      <c r="M214">
        <f>IF($Y214="","",IF(AND(ISNUMBER(L214),L214&gt;0),W214&gt;L214,FALSE))</f>
        <v/>
      </c>
      <c r="N214" s="7">
        <f>IF($Y214="","",SUMIFS('Per Line'!$X$2:$X$1001,'Per Line'!$D$2:$D$1001,$B214,'Per Line'!$AP$2:$AP$1001,1))</f>
        <v/>
      </c>
      <c r="O214">
        <f>IF($Y214="","",Settings!$C$7)</f>
        <v/>
      </c>
      <c r="P214" s="7">
        <f>IF($Y214="","",SUMIFS('Per Line'!$X$2:$X$1001,'Per Line'!$D$2:$D$1001,$B214,'Per Line'!$AO$2:$AO$1001,0,'Per Line'!$AP$2:$AP$1001,0))</f>
        <v/>
      </c>
      <c r="Q214" s="7">
        <f>IF($Y214="","",P214*O214)</f>
        <v/>
      </c>
      <c r="R214">
        <f>IF($Y214="","",Settings!$C$6)</f>
        <v/>
      </c>
      <c r="S214" s="7">
        <f>IF($Y214="","",SUMIFS('Per Line'!$X$2:$X$1001,'Per Line'!$D$2:$D$1001,$B214,'Per Line'!$AO$2:$AO$1001,1,'Per Line'!$AP$2:$AP$1001,0))</f>
        <v/>
      </c>
      <c r="T214" s="7">
        <f>IF($Y214="","",S214*R214)</f>
        <v/>
      </c>
      <c r="U214" s="7">
        <f>IF($Y214="","",T214+Q214)</f>
        <v/>
      </c>
      <c r="V214" s="7">
        <f>IF($Y214="","",W214-U214)</f>
        <v/>
      </c>
      <c r="W214" s="7">
        <f>IF($Y214="","",P214+S214+N214)</f>
        <v/>
      </c>
      <c r="X214" s="7">
        <f>IF($Y214="","",W214-U214-J214)</f>
        <v/>
      </c>
      <c r="Y214" s="13">
        <f>IF(ROWS($Y$2:$Y214)&lt;=MAX('Per Line'!$AN$2:$AN$1001),MATCH(ROWS($Y$2:$Y214),'Per Line'!$AN$2:$AN$1001,0),"")</f>
        <v/>
      </c>
      <c r="Z214" s="14">
        <f>IF($Y214="","",J214-I214*W214/100)</f>
        <v/>
      </c>
    </row>
    <row r="215">
      <c r="A215" s="12" t="n"/>
      <c r="B215">
        <f>IF($Y215="","",INDEX('Per Line'!$D$2:$D$1001,$Y215)&amp;"")</f>
        <v/>
      </c>
      <c r="C215">
        <f>IF($Y215="","",INDEX('Per Line'!$C$2:$C$1001,$Y215)&amp;"")</f>
        <v/>
      </c>
      <c r="D215" s="11">
        <f>IF($Y215="","",INDEX('Per Line'!$F$2:$F$1001,$Y215))</f>
        <v/>
      </c>
      <c r="E215">
        <f>IF($Y215="","",INDEX('Per Line'!$G$2:$G$1001,$Y215)&amp;"")</f>
        <v/>
      </c>
      <c r="F215">
        <f>IF($Y215="","",INDEX('Per Line'!$I$2:$I$1001,$Y215)&amp;"")</f>
        <v/>
      </c>
      <c r="G215">
        <f>IF($Y215="","",INDEX('Per Line'!$J$2:$J$1001,$Y215)&amp;"")</f>
        <v/>
      </c>
      <c r="H215">
        <f>IF($Y215="","",INDEX('Per Line'!$K$2:$K$1001,$Y215)&amp;"")</f>
        <v/>
      </c>
      <c r="I215">
        <f>IF($Y215="","",INDEX('Per Line'!$O$2:$O$1001,$Y215))</f>
        <v/>
      </c>
      <c r="J215" s="7">
        <f>IF($Y215="","",IF(AND(ISNUMBER(L215),L215&gt;0,W215&gt;L215),I215*L215/100+(W215-L215),I215*W215/100))</f>
        <v/>
      </c>
      <c r="K215">
        <f>IF($Y215="","",INDEX('Per Line'!$Y$2:$Y$1001,$Y215)&amp;"")</f>
        <v/>
      </c>
      <c r="L215">
        <f>IF($Y215="","",INDEX('Per Line'!$AF$2:$AF$1001,$Y215))</f>
        <v/>
      </c>
      <c r="M215">
        <f>IF($Y215="","",IF(AND(ISNUMBER(L215),L215&gt;0),W215&gt;L215,FALSE))</f>
        <v/>
      </c>
      <c r="N215" s="7">
        <f>IF($Y215="","",SUMIFS('Per Line'!$X$2:$X$1001,'Per Line'!$D$2:$D$1001,$B215,'Per Line'!$AP$2:$AP$1001,1))</f>
        <v/>
      </c>
      <c r="O215">
        <f>IF($Y215="","",Settings!$C$7)</f>
        <v/>
      </c>
      <c r="P215" s="7">
        <f>IF($Y215="","",SUMIFS('Per Line'!$X$2:$X$1001,'Per Line'!$D$2:$D$1001,$B215,'Per Line'!$AO$2:$AO$1001,0,'Per Line'!$AP$2:$AP$1001,0))</f>
        <v/>
      </c>
      <c r="Q215" s="7">
        <f>IF($Y215="","",P215*O215)</f>
        <v/>
      </c>
      <c r="R215">
        <f>IF($Y215="","",Settings!$C$6)</f>
        <v/>
      </c>
      <c r="S215" s="7">
        <f>IF($Y215="","",SUMIFS('Per Line'!$X$2:$X$1001,'Per Line'!$D$2:$D$1001,$B215,'Per Line'!$AO$2:$AO$1001,1,'Per Line'!$AP$2:$AP$1001,0))</f>
        <v/>
      </c>
      <c r="T215" s="7">
        <f>IF($Y215="","",S215*R215)</f>
        <v/>
      </c>
      <c r="U215" s="7">
        <f>IF($Y215="","",T215+Q215)</f>
        <v/>
      </c>
      <c r="V215" s="7">
        <f>IF($Y215="","",W215-U215)</f>
        <v/>
      </c>
      <c r="W215" s="7">
        <f>IF($Y215="","",P215+S215+N215)</f>
        <v/>
      </c>
      <c r="X215" s="7">
        <f>IF($Y215="","",W215-U215-J215)</f>
        <v/>
      </c>
      <c r="Y215" s="13">
        <f>IF(ROWS($Y$2:$Y215)&lt;=MAX('Per Line'!$AN$2:$AN$1001),MATCH(ROWS($Y$2:$Y215),'Per Line'!$AN$2:$AN$1001,0),"")</f>
        <v/>
      </c>
      <c r="Z215" s="14">
        <f>IF($Y215="","",J215-I215*W215/100)</f>
        <v/>
      </c>
    </row>
    <row r="216">
      <c r="A216" s="12" t="n"/>
      <c r="B216">
        <f>IF($Y216="","",INDEX('Per Line'!$D$2:$D$1001,$Y216)&amp;"")</f>
        <v/>
      </c>
      <c r="C216">
        <f>IF($Y216="","",INDEX('Per Line'!$C$2:$C$1001,$Y216)&amp;"")</f>
        <v/>
      </c>
      <c r="D216" s="11">
        <f>IF($Y216="","",INDEX('Per Line'!$F$2:$F$1001,$Y216))</f>
        <v/>
      </c>
      <c r="E216">
        <f>IF($Y216="","",INDEX('Per Line'!$G$2:$G$1001,$Y216)&amp;"")</f>
        <v/>
      </c>
      <c r="F216">
        <f>IF($Y216="","",INDEX('Per Line'!$I$2:$I$1001,$Y216)&amp;"")</f>
        <v/>
      </c>
      <c r="G216">
        <f>IF($Y216="","",INDEX('Per Line'!$J$2:$J$1001,$Y216)&amp;"")</f>
        <v/>
      </c>
      <c r="H216">
        <f>IF($Y216="","",INDEX('Per Line'!$K$2:$K$1001,$Y216)&amp;"")</f>
        <v/>
      </c>
      <c r="I216">
        <f>IF($Y216="","",INDEX('Per Line'!$O$2:$O$1001,$Y216))</f>
        <v/>
      </c>
      <c r="J216" s="7">
        <f>IF($Y216="","",IF(AND(ISNUMBER(L216),L216&gt;0,W216&gt;L216),I216*L216/100+(W216-L216),I216*W216/100))</f>
        <v/>
      </c>
      <c r="K216">
        <f>IF($Y216="","",INDEX('Per Line'!$Y$2:$Y$1001,$Y216)&amp;"")</f>
        <v/>
      </c>
      <c r="L216">
        <f>IF($Y216="","",INDEX('Per Line'!$AF$2:$AF$1001,$Y216))</f>
        <v/>
      </c>
      <c r="M216">
        <f>IF($Y216="","",IF(AND(ISNUMBER(L216),L216&gt;0),W216&gt;L216,FALSE))</f>
        <v/>
      </c>
      <c r="N216" s="7">
        <f>IF($Y216="","",SUMIFS('Per Line'!$X$2:$X$1001,'Per Line'!$D$2:$D$1001,$B216,'Per Line'!$AP$2:$AP$1001,1))</f>
        <v/>
      </c>
      <c r="O216">
        <f>IF($Y216="","",Settings!$C$7)</f>
        <v/>
      </c>
      <c r="P216" s="7">
        <f>IF($Y216="","",SUMIFS('Per Line'!$X$2:$X$1001,'Per Line'!$D$2:$D$1001,$B216,'Per Line'!$AO$2:$AO$1001,0,'Per Line'!$AP$2:$AP$1001,0))</f>
        <v/>
      </c>
      <c r="Q216" s="7">
        <f>IF($Y216="","",P216*O216)</f>
        <v/>
      </c>
      <c r="R216">
        <f>IF($Y216="","",Settings!$C$6)</f>
        <v/>
      </c>
      <c r="S216" s="7">
        <f>IF($Y216="","",SUMIFS('Per Line'!$X$2:$X$1001,'Per Line'!$D$2:$D$1001,$B216,'Per Line'!$AO$2:$AO$1001,1,'Per Line'!$AP$2:$AP$1001,0))</f>
        <v/>
      </c>
      <c r="T216" s="7">
        <f>IF($Y216="","",S216*R216)</f>
        <v/>
      </c>
      <c r="U216" s="7">
        <f>IF($Y216="","",T216+Q216)</f>
        <v/>
      </c>
      <c r="V216" s="7">
        <f>IF($Y216="","",W216-U216)</f>
        <v/>
      </c>
      <c r="W216" s="7">
        <f>IF($Y216="","",P216+S216+N216)</f>
        <v/>
      </c>
      <c r="X216" s="7">
        <f>IF($Y216="","",W216-U216-J216)</f>
        <v/>
      </c>
      <c r="Y216" s="13">
        <f>IF(ROWS($Y$2:$Y216)&lt;=MAX('Per Line'!$AN$2:$AN$1001),MATCH(ROWS($Y$2:$Y216),'Per Line'!$AN$2:$AN$1001,0),"")</f>
        <v/>
      </c>
      <c r="Z216" s="14">
        <f>IF($Y216="","",J216-I216*W216/100)</f>
        <v/>
      </c>
    </row>
    <row r="217">
      <c r="A217" s="12" t="n"/>
      <c r="B217">
        <f>IF($Y217="","",INDEX('Per Line'!$D$2:$D$1001,$Y217)&amp;"")</f>
        <v/>
      </c>
      <c r="C217">
        <f>IF($Y217="","",INDEX('Per Line'!$C$2:$C$1001,$Y217)&amp;"")</f>
        <v/>
      </c>
      <c r="D217" s="11">
        <f>IF($Y217="","",INDEX('Per Line'!$F$2:$F$1001,$Y217))</f>
        <v/>
      </c>
      <c r="E217">
        <f>IF($Y217="","",INDEX('Per Line'!$G$2:$G$1001,$Y217)&amp;"")</f>
        <v/>
      </c>
      <c r="F217">
        <f>IF($Y217="","",INDEX('Per Line'!$I$2:$I$1001,$Y217)&amp;"")</f>
        <v/>
      </c>
      <c r="G217">
        <f>IF($Y217="","",INDEX('Per Line'!$J$2:$J$1001,$Y217)&amp;"")</f>
        <v/>
      </c>
      <c r="H217">
        <f>IF($Y217="","",INDEX('Per Line'!$K$2:$K$1001,$Y217)&amp;"")</f>
        <v/>
      </c>
      <c r="I217">
        <f>IF($Y217="","",INDEX('Per Line'!$O$2:$O$1001,$Y217))</f>
        <v/>
      </c>
      <c r="J217" s="7">
        <f>IF($Y217="","",IF(AND(ISNUMBER(L217),L217&gt;0,W217&gt;L217),I217*L217/100+(W217-L217),I217*W217/100))</f>
        <v/>
      </c>
      <c r="K217">
        <f>IF($Y217="","",INDEX('Per Line'!$Y$2:$Y$1001,$Y217)&amp;"")</f>
        <v/>
      </c>
      <c r="L217">
        <f>IF($Y217="","",INDEX('Per Line'!$AF$2:$AF$1001,$Y217))</f>
        <v/>
      </c>
      <c r="M217">
        <f>IF($Y217="","",IF(AND(ISNUMBER(L217),L217&gt;0),W217&gt;L217,FALSE))</f>
        <v/>
      </c>
      <c r="N217" s="7">
        <f>IF($Y217="","",SUMIFS('Per Line'!$X$2:$X$1001,'Per Line'!$D$2:$D$1001,$B217,'Per Line'!$AP$2:$AP$1001,1))</f>
        <v/>
      </c>
      <c r="O217">
        <f>IF($Y217="","",Settings!$C$7)</f>
        <v/>
      </c>
      <c r="P217" s="7">
        <f>IF($Y217="","",SUMIFS('Per Line'!$X$2:$X$1001,'Per Line'!$D$2:$D$1001,$B217,'Per Line'!$AO$2:$AO$1001,0,'Per Line'!$AP$2:$AP$1001,0))</f>
        <v/>
      </c>
      <c r="Q217" s="7">
        <f>IF($Y217="","",P217*O217)</f>
        <v/>
      </c>
      <c r="R217">
        <f>IF($Y217="","",Settings!$C$6)</f>
        <v/>
      </c>
      <c r="S217" s="7">
        <f>IF($Y217="","",SUMIFS('Per Line'!$X$2:$X$1001,'Per Line'!$D$2:$D$1001,$B217,'Per Line'!$AO$2:$AO$1001,1,'Per Line'!$AP$2:$AP$1001,0))</f>
        <v/>
      </c>
      <c r="T217" s="7">
        <f>IF($Y217="","",S217*R217)</f>
        <v/>
      </c>
      <c r="U217" s="7">
        <f>IF($Y217="","",T217+Q217)</f>
        <v/>
      </c>
      <c r="V217" s="7">
        <f>IF($Y217="","",W217-U217)</f>
        <v/>
      </c>
      <c r="W217" s="7">
        <f>IF($Y217="","",P217+S217+N217)</f>
        <v/>
      </c>
      <c r="X217" s="7">
        <f>IF($Y217="","",W217-U217-J217)</f>
        <v/>
      </c>
      <c r="Y217" s="13">
        <f>IF(ROWS($Y$2:$Y217)&lt;=MAX('Per Line'!$AN$2:$AN$1001),MATCH(ROWS($Y$2:$Y217),'Per Line'!$AN$2:$AN$1001,0),"")</f>
        <v/>
      </c>
      <c r="Z217" s="14">
        <f>IF($Y217="","",J217-I217*W217/100)</f>
        <v/>
      </c>
    </row>
    <row r="218">
      <c r="A218" s="12" t="n"/>
      <c r="B218">
        <f>IF($Y218="","",INDEX('Per Line'!$D$2:$D$1001,$Y218)&amp;"")</f>
        <v/>
      </c>
      <c r="C218">
        <f>IF($Y218="","",INDEX('Per Line'!$C$2:$C$1001,$Y218)&amp;"")</f>
        <v/>
      </c>
      <c r="D218" s="11">
        <f>IF($Y218="","",INDEX('Per Line'!$F$2:$F$1001,$Y218))</f>
        <v/>
      </c>
      <c r="E218">
        <f>IF($Y218="","",INDEX('Per Line'!$G$2:$G$1001,$Y218)&amp;"")</f>
        <v/>
      </c>
      <c r="F218">
        <f>IF($Y218="","",INDEX('Per Line'!$I$2:$I$1001,$Y218)&amp;"")</f>
        <v/>
      </c>
      <c r="G218">
        <f>IF($Y218="","",INDEX('Per Line'!$J$2:$J$1001,$Y218)&amp;"")</f>
        <v/>
      </c>
      <c r="H218">
        <f>IF($Y218="","",INDEX('Per Line'!$K$2:$K$1001,$Y218)&amp;"")</f>
        <v/>
      </c>
      <c r="I218">
        <f>IF($Y218="","",INDEX('Per Line'!$O$2:$O$1001,$Y218))</f>
        <v/>
      </c>
      <c r="J218" s="7">
        <f>IF($Y218="","",IF(AND(ISNUMBER(L218),L218&gt;0,W218&gt;L218),I218*L218/100+(W218-L218),I218*W218/100))</f>
        <v/>
      </c>
      <c r="K218">
        <f>IF($Y218="","",INDEX('Per Line'!$Y$2:$Y$1001,$Y218)&amp;"")</f>
        <v/>
      </c>
      <c r="L218">
        <f>IF($Y218="","",INDEX('Per Line'!$AF$2:$AF$1001,$Y218))</f>
        <v/>
      </c>
      <c r="M218">
        <f>IF($Y218="","",IF(AND(ISNUMBER(L218),L218&gt;0),W218&gt;L218,FALSE))</f>
        <v/>
      </c>
      <c r="N218" s="7">
        <f>IF($Y218="","",SUMIFS('Per Line'!$X$2:$X$1001,'Per Line'!$D$2:$D$1001,$B218,'Per Line'!$AP$2:$AP$1001,1))</f>
        <v/>
      </c>
      <c r="O218">
        <f>IF($Y218="","",Settings!$C$7)</f>
        <v/>
      </c>
      <c r="P218" s="7">
        <f>IF($Y218="","",SUMIFS('Per Line'!$X$2:$X$1001,'Per Line'!$D$2:$D$1001,$B218,'Per Line'!$AO$2:$AO$1001,0,'Per Line'!$AP$2:$AP$1001,0))</f>
        <v/>
      </c>
      <c r="Q218" s="7">
        <f>IF($Y218="","",P218*O218)</f>
        <v/>
      </c>
      <c r="R218">
        <f>IF($Y218="","",Settings!$C$6)</f>
        <v/>
      </c>
      <c r="S218" s="7">
        <f>IF($Y218="","",SUMIFS('Per Line'!$X$2:$X$1001,'Per Line'!$D$2:$D$1001,$B218,'Per Line'!$AO$2:$AO$1001,1,'Per Line'!$AP$2:$AP$1001,0))</f>
        <v/>
      </c>
      <c r="T218" s="7">
        <f>IF($Y218="","",S218*R218)</f>
        <v/>
      </c>
      <c r="U218" s="7">
        <f>IF($Y218="","",T218+Q218)</f>
        <v/>
      </c>
      <c r="V218" s="7">
        <f>IF($Y218="","",W218-U218)</f>
        <v/>
      </c>
      <c r="W218" s="7">
        <f>IF($Y218="","",P218+S218+N218)</f>
        <v/>
      </c>
      <c r="X218" s="7">
        <f>IF($Y218="","",W218-U218-J218)</f>
        <v/>
      </c>
      <c r="Y218" s="13">
        <f>IF(ROWS($Y$2:$Y218)&lt;=MAX('Per Line'!$AN$2:$AN$1001),MATCH(ROWS($Y$2:$Y218),'Per Line'!$AN$2:$AN$1001,0),"")</f>
        <v/>
      </c>
      <c r="Z218" s="14">
        <f>IF($Y218="","",J218-I218*W218/100)</f>
        <v/>
      </c>
    </row>
    <row r="219">
      <c r="A219" s="12" t="n"/>
      <c r="B219">
        <f>IF($Y219="","",INDEX('Per Line'!$D$2:$D$1001,$Y219)&amp;"")</f>
        <v/>
      </c>
      <c r="C219">
        <f>IF($Y219="","",INDEX('Per Line'!$C$2:$C$1001,$Y219)&amp;"")</f>
        <v/>
      </c>
      <c r="D219" s="11">
        <f>IF($Y219="","",INDEX('Per Line'!$F$2:$F$1001,$Y219))</f>
        <v/>
      </c>
      <c r="E219">
        <f>IF($Y219="","",INDEX('Per Line'!$G$2:$G$1001,$Y219)&amp;"")</f>
        <v/>
      </c>
      <c r="F219">
        <f>IF($Y219="","",INDEX('Per Line'!$I$2:$I$1001,$Y219)&amp;"")</f>
        <v/>
      </c>
      <c r="G219">
        <f>IF($Y219="","",INDEX('Per Line'!$J$2:$J$1001,$Y219)&amp;"")</f>
        <v/>
      </c>
      <c r="H219">
        <f>IF($Y219="","",INDEX('Per Line'!$K$2:$K$1001,$Y219)&amp;"")</f>
        <v/>
      </c>
      <c r="I219">
        <f>IF($Y219="","",INDEX('Per Line'!$O$2:$O$1001,$Y219))</f>
        <v/>
      </c>
      <c r="J219" s="7">
        <f>IF($Y219="","",IF(AND(ISNUMBER(L219),L219&gt;0,W219&gt;L219),I219*L219/100+(W219-L219),I219*W219/100))</f>
        <v/>
      </c>
      <c r="K219">
        <f>IF($Y219="","",INDEX('Per Line'!$Y$2:$Y$1001,$Y219)&amp;"")</f>
        <v/>
      </c>
      <c r="L219">
        <f>IF($Y219="","",INDEX('Per Line'!$AF$2:$AF$1001,$Y219))</f>
        <v/>
      </c>
      <c r="M219">
        <f>IF($Y219="","",IF(AND(ISNUMBER(L219),L219&gt;0),W219&gt;L219,FALSE))</f>
        <v/>
      </c>
      <c r="N219" s="7">
        <f>IF($Y219="","",SUMIFS('Per Line'!$X$2:$X$1001,'Per Line'!$D$2:$D$1001,$B219,'Per Line'!$AP$2:$AP$1001,1))</f>
        <v/>
      </c>
      <c r="O219">
        <f>IF($Y219="","",Settings!$C$7)</f>
        <v/>
      </c>
      <c r="P219" s="7">
        <f>IF($Y219="","",SUMIFS('Per Line'!$X$2:$X$1001,'Per Line'!$D$2:$D$1001,$B219,'Per Line'!$AO$2:$AO$1001,0,'Per Line'!$AP$2:$AP$1001,0))</f>
        <v/>
      </c>
      <c r="Q219" s="7">
        <f>IF($Y219="","",P219*O219)</f>
        <v/>
      </c>
      <c r="R219">
        <f>IF($Y219="","",Settings!$C$6)</f>
        <v/>
      </c>
      <c r="S219" s="7">
        <f>IF($Y219="","",SUMIFS('Per Line'!$X$2:$X$1001,'Per Line'!$D$2:$D$1001,$B219,'Per Line'!$AO$2:$AO$1001,1,'Per Line'!$AP$2:$AP$1001,0))</f>
        <v/>
      </c>
      <c r="T219" s="7">
        <f>IF($Y219="","",S219*R219)</f>
        <v/>
      </c>
      <c r="U219" s="7">
        <f>IF($Y219="","",T219+Q219)</f>
        <v/>
      </c>
      <c r="V219" s="7">
        <f>IF($Y219="","",W219-U219)</f>
        <v/>
      </c>
      <c r="W219" s="7">
        <f>IF($Y219="","",P219+S219+N219)</f>
        <v/>
      </c>
      <c r="X219" s="7">
        <f>IF($Y219="","",W219-U219-J219)</f>
        <v/>
      </c>
      <c r="Y219" s="13">
        <f>IF(ROWS($Y$2:$Y219)&lt;=MAX('Per Line'!$AN$2:$AN$1001),MATCH(ROWS($Y$2:$Y219),'Per Line'!$AN$2:$AN$1001,0),"")</f>
        <v/>
      </c>
      <c r="Z219" s="14">
        <f>IF($Y219="","",J219-I219*W219/100)</f>
        <v/>
      </c>
    </row>
    <row r="220">
      <c r="A220" s="12" t="n"/>
      <c r="B220">
        <f>IF($Y220="","",INDEX('Per Line'!$D$2:$D$1001,$Y220)&amp;"")</f>
        <v/>
      </c>
      <c r="C220">
        <f>IF($Y220="","",INDEX('Per Line'!$C$2:$C$1001,$Y220)&amp;"")</f>
        <v/>
      </c>
      <c r="D220" s="11">
        <f>IF($Y220="","",INDEX('Per Line'!$F$2:$F$1001,$Y220))</f>
        <v/>
      </c>
      <c r="E220">
        <f>IF($Y220="","",INDEX('Per Line'!$G$2:$G$1001,$Y220)&amp;"")</f>
        <v/>
      </c>
      <c r="F220">
        <f>IF($Y220="","",INDEX('Per Line'!$I$2:$I$1001,$Y220)&amp;"")</f>
        <v/>
      </c>
      <c r="G220">
        <f>IF($Y220="","",INDEX('Per Line'!$J$2:$J$1001,$Y220)&amp;"")</f>
        <v/>
      </c>
      <c r="H220">
        <f>IF($Y220="","",INDEX('Per Line'!$K$2:$K$1001,$Y220)&amp;"")</f>
        <v/>
      </c>
      <c r="I220">
        <f>IF($Y220="","",INDEX('Per Line'!$O$2:$O$1001,$Y220))</f>
        <v/>
      </c>
      <c r="J220" s="7">
        <f>IF($Y220="","",IF(AND(ISNUMBER(L220),L220&gt;0,W220&gt;L220),I220*L220/100+(W220-L220),I220*W220/100))</f>
        <v/>
      </c>
      <c r="K220">
        <f>IF($Y220="","",INDEX('Per Line'!$Y$2:$Y$1001,$Y220)&amp;"")</f>
        <v/>
      </c>
      <c r="L220">
        <f>IF($Y220="","",INDEX('Per Line'!$AF$2:$AF$1001,$Y220))</f>
        <v/>
      </c>
      <c r="M220">
        <f>IF($Y220="","",IF(AND(ISNUMBER(L220),L220&gt;0),W220&gt;L220,FALSE))</f>
        <v/>
      </c>
      <c r="N220" s="7">
        <f>IF($Y220="","",SUMIFS('Per Line'!$X$2:$X$1001,'Per Line'!$D$2:$D$1001,$B220,'Per Line'!$AP$2:$AP$1001,1))</f>
        <v/>
      </c>
      <c r="O220">
        <f>IF($Y220="","",Settings!$C$7)</f>
        <v/>
      </c>
      <c r="P220" s="7">
        <f>IF($Y220="","",SUMIFS('Per Line'!$X$2:$X$1001,'Per Line'!$D$2:$D$1001,$B220,'Per Line'!$AO$2:$AO$1001,0,'Per Line'!$AP$2:$AP$1001,0))</f>
        <v/>
      </c>
      <c r="Q220" s="7">
        <f>IF($Y220="","",P220*O220)</f>
        <v/>
      </c>
      <c r="R220">
        <f>IF($Y220="","",Settings!$C$6)</f>
        <v/>
      </c>
      <c r="S220" s="7">
        <f>IF($Y220="","",SUMIFS('Per Line'!$X$2:$X$1001,'Per Line'!$D$2:$D$1001,$B220,'Per Line'!$AO$2:$AO$1001,1,'Per Line'!$AP$2:$AP$1001,0))</f>
        <v/>
      </c>
      <c r="T220" s="7">
        <f>IF($Y220="","",S220*R220)</f>
        <v/>
      </c>
      <c r="U220" s="7">
        <f>IF($Y220="","",T220+Q220)</f>
        <v/>
      </c>
      <c r="V220" s="7">
        <f>IF($Y220="","",W220-U220)</f>
        <v/>
      </c>
      <c r="W220" s="7">
        <f>IF($Y220="","",P220+S220+N220)</f>
        <v/>
      </c>
      <c r="X220" s="7">
        <f>IF($Y220="","",W220-U220-J220)</f>
        <v/>
      </c>
      <c r="Y220" s="13">
        <f>IF(ROWS($Y$2:$Y220)&lt;=MAX('Per Line'!$AN$2:$AN$1001),MATCH(ROWS($Y$2:$Y220),'Per Line'!$AN$2:$AN$1001,0),"")</f>
        <v/>
      </c>
      <c r="Z220" s="14">
        <f>IF($Y220="","",J220-I220*W220/100)</f>
        <v/>
      </c>
    </row>
    <row r="221">
      <c r="A221" s="12" t="n"/>
      <c r="B221">
        <f>IF($Y221="","",INDEX('Per Line'!$D$2:$D$1001,$Y221)&amp;"")</f>
        <v/>
      </c>
      <c r="C221">
        <f>IF($Y221="","",INDEX('Per Line'!$C$2:$C$1001,$Y221)&amp;"")</f>
        <v/>
      </c>
      <c r="D221" s="11">
        <f>IF($Y221="","",INDEX('Per Line'!$F$2:$F$1001,$Y221))</f>
        <v/>
      </c>
      <c r="E221">
        <f>IF($Y221="","",INDEX('Per Line'!$G$2:$G$1001,$Y221)&amp;"")</f>
        <v/>
      </c>
      <c r="F221">
        <f>IF($Y221="","",INDEX('Per Line'!$I$2:$I$1001,$Y221)&amp;"")</f>
        <v/>
      </c>
      <c r="G221">
        <f>IF($Y221="","",INDEX('Per Line'!$J$2:$J$1001,$Y221)&amp;"")</f>
        <v/>
      </c>
      <c r="H221">
        <f>IF($Y221="","",INDEX('Per Line'!$K$2:$K$1001,$Y221)&amp;"")</f>
        <v/>
      </c>
      <c r="I221">
        <f>IF($Y221="","",INDEX('Per Line'!$O$2:$O$1001,$Y221))</f>
        <v/>
      </c>
      <c r="J221" s="7">
        <f>IF($Y221="","",IF(AND(ISNUMBER(L221),L221&gt;0,W221&gt;L221),I221*L221/100+(W221-L221),I221*W221/100))</f>
        <v/>
      </c>
      <c r="K221">
        <f>IF($Y221="","",INDEX('Per Line'!$Y$2:$Y$1001,$Y221)&amp;"")</f>
        <v/>
      </c>
      <c r="L221">
        <f>IF($Y221="","",INDEX('Per Line'!$AF$2:$AF$1001,$Y221))</f>
        <v/>
      </c>
      <c r="M221">
        <f>IF($Y221="","",IF(AND(ISNUMBER(L221),L221&gt;0),W221&gt;L221,FALSE))</f>
        <v/>
      </c>
      <c r="N221" s="7">
        <f>IF($Y221="","",SUMIFS('Per Line'!$X$2:$X$1001,'Per Line'!$D$2:$D$1001,$B221,'Per Line'!$AP$2:$AP$1001,1))</f>
        <v/>
      </c>
      <c r="O221">
        <f>IF($Y221="","",Settings!$C$7)</f>
        <v/>
      </c>
      <c r="P221" s="7">
        <f>IF($Y221="","",SUMIFS('Per Line'!$X$2:$X$1001,'Per Line'!$D$2:$D$1001,$B221,'Per Line'!$AO$2:$AO$1001,0,'Per Line'!$AP$2:$AP$1001,0))</f>
        <v/>
      </c>
      <c r="Q221" s="7">
        <f>IF($Y221="","",P221*O221)</f>
        <v/>
      </c>
      <c r="R221">
        <f>IF($Y221="","",Settings!$C$6)</f>
        <v/>
      </c>
      <c r="S221" s="7">
        <f>IF($Y221="","",SUMIFS('Per Line'!$X$2:$X$1001,'Per Line'!$D$2:$D$1001,$B221,'Per Line'!$AO$2:$AO$1001,1,'Per Line'!$AP$2:$AP$1001,0))</f>
        <v/>
      </c>
      <c r="T221" s="7">
        <f>IF($Y221="","",S221*R221)</f>
        <v/>
      </c>
      <c r="U221" s="7">
        <f>IF($Y221="","",T221+Q221)</f>
        <v/>
      </c>
      <c r="V221" s="7">
        <f>IF($Y221="","",W221-U221)</f>
        <v/>
      </c>
      <c r="W221" s="7">
        <f>IF($Y221="","",P221+S221+N221)</f>
        <v/>
      </c>
      <c r="X221" s="7">
        <f>IF($Y221="","",W221-U221-J221)</f>
        <v/>
      </c>
      <c r="Y221" s="13">
        <f>IF(ROWS($Y$2:$Y221)&lt;=MAX('Per Line'!$AN$2:$AN$1001),MATCH(ROWS($Y$2:$Y221),'Per Line'!$AN$2:$AN$1001,0),"")</f>
        <v/>
      </c>
      <c r="Z221" s="14">
        <f>IF($Y221="","",J221-I221*W221/100)</f>
        <v/>
      </c>
    </row>
    <row r="222">
      <c r="A222" s="12" t="n"/>
      <c r="B222">
        <f>IF($Y222="","",INDEX('Per Line'!$D$2:$D$1001,$Y222)&amp;"")</f>
        <v/>
      </c>
      <c r="C222">
        <f>IF($Y222="","",INDEX('Per Line'!$C$2:$C$1001,$Y222)&amp;"")</f>
        <v/>
      </c>
      <c r="D222" s="11">
        <f>IF($Y222="","",INDEX('Per Line'!$F$2:$F$1001,$Y222))</f>
        <v/>
      </c>
      <c r="E222">
        <f>IF($Y222="","",INDEX('Per Line'!$G$2:$G$1001,$Y222)&amp;"")</f>
        <v/>
      </c>
      <c r="F222">
        <f>IF($Y222="","",INDEX('Per Line'!$I$2:$I$1001,$Y222)&amp;"")</f>
        <v/>
      </c>
      <c r="G222">
        <f>IF($Y222="","",INDEX('Per Line'!$J$2:$J$1001,$Y222)&amp;"")</f>
        <v/>
      </c>
      <c r="H222">
        <f>IF($Y222="","",INDEX('Per Line'!$K$2:$K$1001,$Y222)&amp;"")</f>
        <v/>
      </c>
      <c r="I222">
        <f>IF($Y222="","",INDEX('Per Line'!$O$2:$O$1001,$Y222))</f>
        <v/>
      </c>
      <c r="J222" s="7">
        <f>IF($Y222="","",IF(AND(ISNUMBER(L222),L222&gt;0,W222&gt;L222),I222*L222/100+(W222-L222),I222*W222/100))</f>
        <v/>
      </c>
      <c r="K222">
        <f>IF($Y222="","",INDEX('Per Line'!$Y$2:$Y$1001,$Y222)&amp;"")</f>
        <v/>
      </c>
      <c r="L222">
        <f>IF($Y222="","",INDEX('Per Line'!$AF$2:$AF$1001,$Y222))</f>
        <v/>
      </c>
      <c r="M222">
        <f>IF($Y222="","",IF(AND(ISNUMBER(L222),L222&gt;0),W222&gt;L222,FALSE))</f>
        <v/>
      </c>
      <c r="N222" s="7">
        <f>IF($Y222="","",SUMIFS('Per Line'!$X$2:$X$1001,'Per Line'!$D$2:$D$1001,$B222,'Per Line'!$AP$2:$AP$1001,1))</f>
        <v/>
      </c>
      <c r="O222">
        <f>IF($Y222="","",Settings!$C$7)</f>
        <v/>
      </c>
      <c r="P222" s="7">
        <f>IF($Y222="","",SUMIFS('Per Line'!$X$2:$X$1001,'Per Line'!$D$2:$D$1001,$B222,'Per Line'!$AO$2:$AO$1001,0,'Per Line'!$AP$2:$AP$1001,0))</f>
        <v/>
      </c>
      <c r="Q222" s="7">
        <f>IF($Y222="","",P222*O222)</f>
        <v/>
      </c>
      <c r="R222">
        <f>IF($Y222="","",Settings!$C$6)</f>
        <v/>
      </c>
      <c r="S222" s="7">
        <f>IF($Y222="","",SUMIFS('Per Line'!$X$2:$X$1001,'Per Line'!$D$2:$D$1001,$B222,'Per Line'!$AO$2:$AO$1001,1,'Per Line'!$AP$2:$AP$1001,0))</f>
        <v/>
      </c>
      <c r="T222" s="7">
        <f>IF($Y222="","",S222*R222)</f>
        <v/>
      </c>
      <c r="U222" s="7">
        <f>IF($Y222="","",T222+Q222)</f>
        <v/>
      </c>
      <c r="V222" s="7">
        <f>IF($Y222="","",W222-U222)</f>
        <v/>
      </c>
      <c r="W222" s="7">
        <f>IF($Y222="","",P222+S222+N222)</f>
        <v/>
      </c>
      <c r="X222" s="7">
        <f>IF($Y222="","",W222-U222-J222)</f>
        <v/>
      </c>
      <c r="Y222" s="13">
        <f>IF(ROWS($Y$2:$Y222)&lt;=MAX('Per Line'!$AN$2:$AN$1001),MATCH(ROWS($Y$2:$Y222),'Per Line'!$AN$2:$AN$1001,0),"")</f>
        <v/>
      </c>
      <c r="Z222" s="14">
        <f>IF($Y222="","",J222-I222*W222/100)</f>
        <v/>
      </c>
    </row>
    <row r="223">
      <c r="A223" s="12" t="n"/>
      <c r="B223">
        <f>IF($Y223="","",INDEX('Per Line'!$D$2:$D$1001,$Y223)&amp;"")</f>
        <v/>
      </c>
      <c r="C223">
        <f>IF($Y223="","",INDEX('Per Line'!$C$2:$C$1001,$Y223)&amp;"")</f>
        <v/>
      </c>
      <c r="D223" s="11">
        <f>IF($Y223="","",INDEX('Per Line'!$F$2:$F$1001,$Y223))</f>
        <v/>
      </c>
      <c r="E223">
        <f>IF($Y223="","",INDEX('Per Line'!$G$2:$G$1001,$Y223)&amp;"")</f>
        <v/>
      </c>
      <c r="F223">
        <f>IF($Y223="","",INDEX('Per Line'!$I$2:$I$1001,$Y223)&amp;"")</f>
        <v/>
      </c>
      <c r="G223">
        <f>IF($Y223="","",INDEX('Per Line'!$J$2:$J$1001,$Y223)&amp;"")</f>
        <v/>
      </c>
      <c r="H223">
        <f>IF($Y223="","",INDEX('Per Line'!$K$2:$K$1001,$Y223)&amp;"")</f>
        <v/>
      </c>
      <c r="I223">
        <f>IF($Y223="","",INDEX('Per Line'!$O$2:$O$1001,$Y223))</f>
        <v/>
      </c>
      <c r="J223" s="7">
        <f>IF($Y223="","",IF(AND(ISNUMBER(L223),L223&gt;0,W223&gt;L223),I223*L223/100+(W223-L223),I223*W223/100))</f>
        <v/>
      </c>
      <c r="K223">
        <f>IF($Y223="","",INDEX('Per Line'!$Y$2:$Y$1001,$Y223)&amp;"")</f>
        <v/>
      </c>
      <c r="L223">
        <f>IF($Y223="","",INDEX('Per Line'!$AF$2:$AF$1001,$Y223))</f>
        <v/>
      </c>
      <c r="M223">
        <f>IF($Y223="","",IF(AND(ISNUMBER(L223),L223&gt;0),W223&gt;L223,FALSE))</f>
        <v/>
      </c>
      <c r="N223" s="7">
        <f>IF($Y223="","",SUMIFS('Per Line'!$X$2:$X$1001,'Per Line'!$D$2:$D$1001,$B223,'Per Line'!$AP$2:$AP$1001,1))</f>
        <v/>
      </c>
      <c r="O223">
        <f>IF($Y223="","",Settings!$C$7)</f>
        <v/>
      </c>
      <c r="P223" s="7">
        <f>IF($Y223="","",SUMIFS('Per Line'!$X$2:$X$1001,'Per Line'!$D$2:$D$1001,$B223,'Per Line'!$AO$2:$AO$1001,0,'Per Line'!$AP$2:$AP$1001,0))</f>
        <v/>
      </c>
      <c r="Q223" s="7">
        <f>IF($Y223="","",P223*O223)</f>
        <v/>
      </c>
      <c r="R223">
        <f>IF($Y223="","",Settings!$C$6)</f>
        <v/>
      </c>
      <c r="S223" s="7">
        <f>IF($Y223="","",SUMIFS('Per Line'!$X$2:$X$1001,'Per Line'!$D$2:$D$1001,$B223,'Per Line'!$AO$2:$AO$1001,1,'Per Line'!$AP$2:$AP$1001,0))</f>
        <v/>
      </c>
      <c r="T223" s="7">
        <f>IF($Y223="","",S223*R223)</f>
        <v/>
      </c>
      <c r="U223" s="7">
        <f>IF($Y223="","",T223+Q223)</f>
        <v/>
      </c>
      <c r="V223" s="7">
        <f>IF($Y223="","",W223-U223)</f>
        <v/>
      </c>
      <c r="W223" s="7">
        <f>IF($Y223="","",P223+S223+N223)</f>
        <v/>
      </c>
      <c r="X223" s="7">
        <f>IF($Y223="","",W223-U223-J223)</f>
        <v/>
      </c>
      <c r="Y223" s="13">
        <f>IF(ROWS($Y$2:$Y223)&lt;=MAX('Per Line'!$AN$2:$AN$1001),MATCH(ROWS($Y$2:$Y223),'Per Line'!$AN$2:$AN$1001,0),"")</f>
        <v/>
      </c>
      <c r="Z223" s="14">
        <f>IF($Y223="","",J223-I223*W223/100)</f>
        <v/>
      </c>
    </row>
    <row r="224">
      <c r="A224" s="12" t="n"/>
      <c r="B224">
        <f>IF($Y224="","",INDEX('Per Line'!$D$2:$D$1001,$Y224)&amp;"")</f>
        <v/>
      </c>
      <c r="C224">
        <f>IF($Y224="","",INDEX('Per Line'!$C$2:$C$1001,$Y224)&amp;"")</f>
        <v/>
      </c>
      <c r="D224" s="11">
        <f>IF($Y224="","",INDEX('Per Line'!$F$2:$F$1001,$Y224))</f>
        <v/>
      </c>
      <c r="E224">
        <f>IF($Y224="","",INDEX('Per Line'!$G$2:$G$1001,$Y224)&amp;"")</f>
        <v/>
      </c>
      <c r="F224">
        <f>IF($Y224="","",INDEX('Per Line'!$I$2:$I$1001,$Y224)&amp;"")</f>
        <v/>
      </c>
      <c r="G224">
        <f>IF($Y224="","",INDEX('Per Line'!$J$2:$J$1001,$Y224)&amp;"")</f>
        <v/>
      </c>
      <c r="H224">
        <f>IF($Y224="","",INDEX('Per Line'!$K$2:$K$1001,$Y224)&amp;"")</f>
        <v/>
      </c>
      <c r="I224">
        <f>IF($Y224="","",INDEX('Per Line'!$O$2:$O$1001,$Y224))</f>
        <v/>
      </c>
      <c r="J224" s="7">
        <f>IF($Y224="","",IF(AND(ISNUMBER(L224),L224&gt;0,W224&gt;L224),I224*L224/100+(W224-L224),I224*W224/100))</f>
        <v/>
      </c>
      <c r="K224">
        <f>IF($Y224="","",INDEX('Per Line'!$Y$2:$Y$1001,$Y224)&amp;"")</f>
        <v/>
      </c>
      <c r="L224">
        <f>IF($Y224="","",INDEX('Per Line'!$AF$2:$AF$1001,$Y224))</f>
        <v/>
      </c>
      <c r="M224">
        <f>IF($Y224="","",IF(AND(ISNUMBER(L224),L224&gt;0),W224&gt;L224,FALSE))</f>
        <v/>
      </c>
      <c r="N224" s="7">
        <f>IF($Y224="","",SUMIFS('Per Line'!$X$2:$X$1001,'Per Line'!$D$2:$D$1001,$B224,'Per Line'!$AP$2:$AP$1001,1))</f>
        <v/>
      </c>
      <c r="O224">
        <f>IF($Y224="","",Settings!$C$7)</f>
        <v/>
      </c>
      <c r="P224" s="7">
        <f>IF($Y224="","",SUMIFS('Per Line'!$X$2:$X$1001,'Per Line'!$D$2:$D$1001,$B224,'Per Line'!$AO$2:$AO$1001,0,'Per Line'!$AP$2:$AP$1001,0))</f>
        <v/>
      </c>
      <c r="Q224" s="7">
        <f>IF($Y224="","",P224*O224)</f>
        <v/>
      </c>
      <c r="R224">
        <f>IF($Y224="","",Settings!$C$6)</f>
        <v/>
      </c>
      <c r="S224" s="7">
        <f>IF($Y224="","",SUMIFS('Per Line'!$X$2:$X$1001,'Per Line'!$D$2:$D$1001,$B224,'Per Line'!$AO$2:$AO$1001,1,'Per Line'!$AP$2:$AP$1001,0))</f>
        <v/>
      </c>
      <c r="T224" s="7">
        <f>IF($Y224="","",S224*R224)</f>
        <v/>
      </c>
      <c r="U224" s="7">
        <f>IF($Y224="","",T224+Q224)</f>
        <v/>
      </c>
      <c r="V224" s="7">
        <f>IF($Y224="","",W224-U224)</f>
        <v/>
      </c>
      <c r="W224" s="7">
        <f>IF($Y224="","",P224+S224+N224)</f>
        <v/>
      </c>
      <c r="X224" s="7">
        <f>IF($Y224="","",W224-U224-J224)</f>
        <v/>
      </c>
      <c r="Y224" s="13">
        <f>IF(ROWS($Y$2:$Y224)&lt;=MAX('Per Line'!$AN$2:$AN$1001),MATCH(ROWS($Y$2:$Y224),'Per Line'!$AN$2:$AN$1001,0),"")</f>
        <v/>
      </c>
      <c r="Z224" s="14">
        <f>IF($Y224="","",J224-I224*W224/100)</f>
        <v/>
      </c>
    </row>
    <row r="225">
      <c r="A225" s="12" t="n"/>
      <c r="B225">
        <f>IF($Y225="","",INDEX('Per Line'!$D$2:$D$1001,$Y225)&amp;"")</f>
        <v/>
      </c>
      <c r="C225">
        <f>IF($Y225="","",INDEX('Per Line'!$C$2:$C$1001,$Y225)&amp;"")</f>
        <v/>
      </c>
      <c r="D225" s="11">
        <f>IF($Y225="","",INDEX('Per Line'!$F$2:$F$1001,$Y225))</f>
        <v/>
      </c>
      <c r="E225">
        <f>IF($Y225="","",INDEX('Per Line'!$G$2:$G$1001,$Y225)&amp;"")</f>
        <v/>
      </c>
      <c r="F225">
        <f>IF($Y225="","",INDEX('Per Line'!$I$2:$I$1001,$Y225)&amp;"")</f>
        <v/>
      </c>
      <c r="G225">
        <f>IF($Y225="","",INDEX('Per Line'!$J$2:$J$1001,$Y225)&amp;"")</f>
        <v/>
      </c>
      <c r="H225">
        <f>IF($Y225="","",INDEX('Per Line'!$K$2:$K$1001,$Y225)&amp;"")</f>
        <v/>
      </c>
      <c r="I225">
        <f>IF($Y225="","",INDEX('Per Line'!$O$2:$O$1001,$Y225))</f>
        <v/>
      </c>
      <c r="J225" s="7">
        <f>IF($Y225="","",IF(AND(ISNUMBER(L225),L225&gt;0,W225&gt;L225),I225*L225/100+(W225-L225),I225*W225/100))</f>
        <v/>
      </c>
      <c r="K225">
        <f>IF($Y225="","",INDEX('Per Line'!$Y$2:$Y$1001,$Y225)&amp;"")</f>
        <v/>
      </c>
      <c r="L225">
        <f>IF($Y225="","",INDEX('Per Line'!$AF$2:$AF$1001,$Y225))</f>
        <v/>
      </c>
      <c r="M225">
        <f>IF($Y225="","",IF(AND(ISNUMBER(L225),L225&gt;0),W225&gt;L225,FALSE))</f>
        <v/>
      </c>
      <c r="N225" s="7">
        <f>IF($Y225="","",SUMIFS('Per Line'!$X$2:$X$1001,'Per Line'!$D$2:$D$1001,$B225,'Per Line'!$AP$2:$AP$1001,1))</f>
        <v/>
      </c>
      <c r="O225">
        <f>IF($Y225="","",Settings!$C$7)</f>
        <v/>
      </c>
      <c r="P225" s="7">
        <f>IF($Y225="","",SUMIFS('Per Line'!$X$2:$X$1001,'Per Line'!$D$2:$D$1001,$B225,'Per Line'!$AO$2:$AO$1001,0,'Per Line'!$AP$2:$AP$1001,0))</f>
        <v/>
      </c>
      <c r="Q225" s="7">
        <f>IF($Y225="","",P225*O225)</f>
        <v/>
      </c>
      <c r="R225">
        <f>IF($Y225="","",Settings!$C$6)</f>
        <v/>
      </c>
      <c r="S225" s="7">
        <f>IF($Y225="","",SUMIFS('Per Line'!$X$2:$X$1001,'Per Line'!$D$2:$D$1001,$B225,'Per Line'!$AO$2:$AO$1001,1,'Per Line'!$AP$2:$AP$1001,0))</f>
        <v/>
      </c>
      <c r="T225" s="7">
        <f>IF($Y225="","",S225*R225)</f>
        <v/>
      </c>
      <c r="U225" s="7">
        <f>IF($Y225="","",T225+Q225)</f>
        <v/>
      </c>
      <c r="V225" s="7">
        <f>IF($Y225="","",W225-U225)</f>
        <v/>
      </c>
      <c r="W225" s="7">
        <f>IF($Y225="","",P225+S225+N225)</f>
        <v/>
      </c>
      <c r="X225" s="7">
        <f>IF($Y225="","",W225-U225-J225)</f>
        <v/>
      </c>
      <c r="Y225" s="13">
        <f>IF(ROWS($Y$2:$Y225)&lt;=MAX('Per Line'!$AN$2:$AN$1001),MATCH(ROWS($Y$2:$Y225),'Per Line'!$AN$2:$AN$1001,0),"")</f>
        <v/>
      </c>
      <c r="Z225" s="14">
        <f>IF($Y225="","",J225-I225*W225/100)</f>
        <v/>
      </c>
    </row>
    <row r="226">
      <c r="A226" s="12" t="n"/>
      <c r="B226">
        <f>IF($Y226="","",INDEX('Per Line'!$D$2:$D$1001,$Y226)&amp;"")</f>
        <v/>
      </c>
      <c r="C226">
        <f>IF($Y226="","",INDEX('Per Line'!$C$2:$C$1001,$Y226)&amp;"")</f>
        <v/>
      </c>
      <c r="D226" s="11">
        <f>IF($Y226="","",INDEX('Per Line'!$F$2:$F$1001,$Y226))</f>
        <v/>
      </c>
      <c r="E226">
        <f>IF($Y226="","",INDEX('Per Line'!$G$2:$G$1001,$Y226)&amp;"")</f>
        <v/>
      </c>
      <c r="F226">
        <f>IF($Y226="","",INDEX('Per Line'!$I$2:$I$1001,$Y226)&amp;"")</f>
        <v/>
      </c>
      <c r="G226">
        <f>IF($Y226="","",INDEX('Per Line'!$J$2:$J$1001,$Y226)&amp;"")</f>
        <v/>
      </c>
      <c r="H226">
        <f>IF($Y226="","",INDEX('Per Line'!$K$2:$K$1001,$Y226)&amp;"")</f>
        <v/>
      </c>
      <c r="I226">
        <f>IF($Y226="","",INDEX('Per Line'!$O$2:$O$1001,$Y226))</f>
        <v/>
      </c>
      <c r="J226" s="7">
        <f>IF($Y226="","",IF(AND(ISNUMBER(L226),L226&gt;0,W226&gt;L226),I226*L226/100+(W226-L226),I226*W226/100))</f>
        <v/>
      </c>
      <c r="K226">
        <f>IF($Y226="","",INDEX('Per Line'!$Y$2:$Y$1001,$Y226)&amp;"")</f>
        <v/>
      </c>
      <c r="L226">
        <f>IF($Y226="","",INDEX('Per Line'!$AF$2:$AF$1001,$Y226))</f>
        <v/>
      </c>
      <c r="M226">
        <f>IF($Y226="","",IF(AND(ISNUMBER(L226),L226&gt;0),W226&gt;L226,FALSE))</f>
        <v/>
      </c>
      <c r="N226" s="7">
        <f>IF($Y226="","",SUMIFS('Per Line'!$X$2:$X$1001,'Per Line'!$D$2:$D$1001,$B226,'Per Line'!$AP$2:$AP$1001,1))</f>
        <v/>
      </c>
      <c r="O226">
        <f>IF($Y226="","",Settings!$C$7)</f>
        <v/>
      </c>
      <c r="P226" s="7">
        <f>IF($Y226="","",SUMIFS('Per Line'!$X$2:$X$1001,'Per Line'!$D$2:$D$1001,$B226,'Per Line'!$AO$2:$AO$1001,0,'Per Line'!$AP$2:$AP$1001,0))</f>
        <v/>
      </c>
      <c r="Q226" s="7">
        <f>IF($Y226="","",P226*O226)</f>
        <v/>
      </c>
      <c r="R226">
        <f>IF($Y226="","",Settings!$C$6)</f>
        <v/>
      </c>
      <c r="S226" s="7">
        <f>IF($Y226="","",SUMIFS('Per Line'!$X$2:$X$1001,'Per Line'!$D$2:$D$1001,$B226,'Per Line'!$AO$2:$AO$1001,1,'Per Line'!$AP$2:$AP$1001,0))</f>
        <v/>
      </c>
      <c r="T226" s="7">
        <f>IF($Y226="","",S226*R226)</f>
        <v/>
      </c>
      <c r="U226" s="7">
        <f>IF($Y226="","",T226+Q226)</f>
        <v/>
      </c>
      <c r="V226" s="7">
        <f>IF($Y226="","",W226-U226)</f>
        <v/>
      </c>
      <c r="W226" s="7">
        <f>IF($Y226="","",P226+S226+N226)</f>
        <v/>
      </c>
      <c r="X226" s="7">
        <f>IF($Y226="","",W226-U226-J226)</f>
        <v/>
      </c>
      <c r="Y226" s="13">
        <f>IF(ROWS($Y$2:$Y226)&lt;=MAX('Per Line'!$AN$2:$AN$1001),MATCH(ROWS($Y$2:$Y226),'Per Line'!$AN$2:$AN$1001,0),"")</f>
        <v/>
      </c>
      <c r="Z226" s="14">
        <f>IF($Y226="","",J226-I226*W226/100)</f>
        <v/>
      </c>
    </row>
    <row r="227">
      <c r="A227" s="12" t="n"/>
      <c r="B227">
        <f>IF($Y227="","",INDEX('Per Line'!$D$2:$D$1001,$Y227)&amp;"")</f>
        <v/>
      </c>
      <c r="C227">
        <f>IF($Y227="","",INDEX('Per Line'!$C$2:$C$1001,$Y227)&amp;"")</f>
        <v/>
      </c>
      <c r="D227" s="11">
        <f>IF($Y227="","",INDEX('Per Line'!$F$2:$F$1001,$Y227))</f>
        <v/>
      </c>
      <c r="E227">
        <f>IF($Y227="","",INDEX('Per Line'!$G$2:$G$1001,$Y227)&amp;"")</f>
        <v/>
      </c>
      <c r="F227">
        <f>IF($Y227="","",INDEX('Per Line'!$I$2:$I$1001,$Y227)&amp;"")</f>
        <v/>
      </c>
      <c r="G227">
        <f>IF($Y227="","",INDEX('Per Line'!$J$2:$J$1001,$Y227)&amp;"")</f>
        <v/>
      </c>
      <c r="H227">
        <f>IF($Y227="","",INDEX('Per Line'!$K$2:$K$1001,$Y227)&amp;"")</f>
        <v/>
      </c>
      <c r="I227">
        <f>IF($Y227="","",INDEX('Per Line'!$O$2:$O$1001,$Y227))</f>
        <v/>
      </c>
      <c r="J227" s="7">
        <f>IF($Y227="","",IF(AND(ISNUMBER(L227),L227&gt;0,W227&gt;L227),I227*L227/100+(W227-L227),I227*W227/100))</f>
        <v/>
      </c>
      <c r="K227">
        <f>IF($Y227="","",INDEX('Per Line'!$Y$2:$Y$1001,$Y227)&amp;"")</f>
        <v/>
      </c>
      <c r="L227">
        <f>IF($Y227="","",INDEX('Per Line'!$AF$2:$AF$1001,$Y227))</f>
        <v/>
      </c>
      <c r="M227">
        <f>IF($Y227="","",IF(AND(ISNUMBER(L227),L227&gt;0),W227&gt;L227,FALSE))</f>
        <v/>
      </c>
      <c r="N227" s="7">
        <f>IF($Y227="","",SUMIFS('Per Line'!$X$2:$X$1001,'Per Line'!$D$2:$D$1001,$B227,'Per Line'!$AP$2:$AP$1001,1))</f>
        <v/>
      </c>
      <c r="O227">
        <f>IF($Y227="","",Settings!$C$7)</f>
        <v/>
      </c>
      <c r="P227" s="7">
        <f>IF($Y227="","",SUMIFS('Per Line'!$X$2:$X$1001,'Per Line'!$D$2:$D$1001,$B227,'Per Line'!$AO$2:$AO$1001,0,'Per Line'!$AP$2:$AP$1001,0))</f>
        <v/>
      </c>
      <c r="Q227" s="7">
        <f>IF($Y227="","",P227*O227)</f>
        <v/>
      </c>
      <c r="R227">
        <f>IF($Y227="","",Settings!$C$6)</f>
        <v/>
      </c>
      <c r="S227" s="7">
        <f>IF($Y227="","",SUMIFS('Per Line'!$X$2:$X$1001,'Per Line'!$D$2:$D$1001,$B227,'Per Line'!$AO$2:$AO$1001,1,'Per Line'!$AP$2:$AP$1001,0))</f>
        <v/>
      </c>
      <c r="T227" s="7">
        <f>IF($Y227="","",S227*R227)</f>
        <v/>
      </c>
      <c r="U227" s="7">
        <f>IF($Y227="","",T227+Q227)</f>
        <v/>
      </c>
      <c r="V227" s="7">
        <f>IF($Y227="","",W227-U227)</f>
        <v/>
      </c>
      <c r="W227" s="7">
        <f>IF($Y227="","",P227+S227+N227)</f>
        <v/>
      </c>
      <c r="X227" s="7">
        <f>IF($Y227="","",W227-U227-J227)</f>
        <v/>
      </c>
      <c r="Y227" s="13">
        <f>IF(ROWS($Y$2:$Y227)&lt;=MAX('Per Line'!$AN$2:$AN$1001),MATCH(ROWS($Y$2:$Y227),'Per Line'!$AN$2:$AN$1001,0),"")</f>
        <v/>
      </c>
      <c r="Z227" s="14">
        <f>IF($Y227="","",J227-I227*W227/100)</f>
        <v/>
      </c>
    </row>
    <row r="228">
      <c r="A228" s="12" t="n"/>
      <c r="B228">
        <f>IF($Y228="","",INDEX('Per Line'!$D$2:$D$1001,$Y228)&amp;"")</f>
        <v/>
      </c>
      <c r="C228">
        <f>IF($Y228="","",INDEX('Per Line'!$C$2:$C$1001,$Y228)&amp;"")</f>
        <v/>
      </c>
      <c r="D228" s="11">
        <f>IF($Y228="","",INDEX('Per Line'!$F$2:$F$1001,$Y228))</f>
        <v/>
      </c>
      <c r="E228">
        <f>IF($Y228="","",INDEX('Per Line'!$G$2:$G$1001,$Y228)&amp;"")</f>
        <v/>
      </c>
      <c r="F228">
        <f>IF($Y228="","",INDEX('Per Line'!$I$2:$I$1001,$Y228)&amp;"")</f>
        <v/>
      </c>
      <c r="G228">
        <f>IF($Y228="","",INDEX('Per Line'!$J$2:$J$1001,$Y228)&amp;"")</f>
        <v/>
      </c>
      <c r="H228">
        <f>IF($Y228="","",INDEX('Per Line'!$K$2:$K$1001,$Y228)&amp;"")</f>
        <v/>
      </c>
      <c r="I228">
        <f>IF($Y228="","",INDEX('Per Line'!$O$2:$O$1001,$Y228))</f>
        <v/>
      </c>
      <c r="J228" s="7">
        <f>IF($Y228="","",IF(AND(ISNUMBER(L228),L228&gt;0,W228&gt;L228),I228*L228/100+(W228-L228),I228*W228/100))</f>
        <v/>
      </c>
      <c r="K228">
        <f>IF($Y228="","",INDEX('Per Line'!$Y$2:$Y$1001,$Y228)&amp;"")</f>
        <v/>
      </c>
      <c r="L228">
        <f>IF($Y228="","",INDEX('Per Line'!$AF$2:$AF$1001,$Y228))</f>
        <v/>
      </c>
      <c r="M228">
        <f>IF($Y228="","",IF(AND(ISNUMBER(L228),L228&gt;0),W228&gt;L228,FALSE))</f>
        <v/>
      </c>
      <c r="N228" s="7">
        <f>IF($Y228="","",SUMIFS('Per Line'!$X$2:$X$1001,'Per Line'!$D$2:$D$1001,$B228,'Per Line'!$AP$2:$AP$1001,1))</f>
        <v/>
      </c>
      <c r="O228">
        <f>IF($Y228="","",Settings!$C$7)</f>
        <v/>
      </c>
      <c r="P228" s="7">
        <f>IF($Y228="","",SUMIFS('Per Line'!$X$2:$X$1001,'Per Line'!$D$2:$D$1001,$B228,'Per Line'!$AO$2:$AO$1001,0,'Per Line'!$AP$2:$AP$1001,0))</f>
        <v/>
      </c>
      <c r="Q228" s="7">
        <f>IF($Y228="","",P228*O228)</f>
        <v/>
      </c>
      <c r="R228">
        <f>IF($Y228="","",Settings!$C$6)</f>
        <v/>
      </c>
      <c r="S228" s="7">
        <f>IF($Y228="","",SUMIFS('Per Line'!$X$2:$X$1001,'Per Line'!$D$2:$D$1001,$B228,'Per Line'!$AO$2:$AO$1001,1,'Per Line'!$AP$2:$AP$1001,0))</f>
        <v/>
      </c>
      <c r="T228" s="7">
        <f>IF($Y228="","",S228*R228)</f>
        <v/>
      </c>
      <c r="U228" s="7">
        <f>IF($Y228="","",T228+Q228)</f>
        <v/>
      </c>
      <c r="V228" s="7">
        <f>IF($Y228="","",W228-U228)</f>
        <v/>
      </c>
      <c r="W228" s="7">
        <f>IF($Y228="","",P228+S228+N228)</f>
        <v/>
      </c>
      <c r="X228" s="7">
        <f>IF($Y228="","",W228-U228-J228)</f>
        <v/>
      </c>
      <c r="Y228" s="13">
        <f>IF(ROWS($Y$2:$Y228)&lt;=MAX('Per Line'!$AN$2:$AN$1001),MATCH(ROWS($Y$2:$Y228),'Per Line'!$AN$2:$AN$1001,0),"")</f>
        <v/>
      </c>
      <c r="Z228" s="14">
        <f>IF($Y228="","",J228-I228*W228/100)</f>
        <v/>
      </c>
    </row>
    <row r="229">
      <c r="A229" s="12" t="n"/>
      <c r="B229">
        <f>IF($Y229="","",INDEX('Per Line'!$D$2:$D$1001,$Y229)&amp;"")</f>
        <v/>
      </c>
      <c r="C229">
        <f>IF($Y229="","",INDEX('Per Line'!$C$2:$C$1001,$Y229)&amp;"")</f>
        <v/>
      </c>
      <c r="D229" s="11">
        <f>IF($Y229="","",INDEX('Per Line'!$F$2:$F$1001,$Y229))</f>
        <v/>
      </c>
      <c r="E229">
        <f>IF($Y229="","",INDEX('Per Line'!$G$2:$G$1001,$Y229)&amp;"")</f>
        <v/>
      </c>
      <c r="F229">
        <f>IF($Y229="","",INDEX('Per Line'!$I$2:$I$1001,$Y229)&amp;"")</f>
        <v/>
      </c>
      <c r="G229">
        <f>IF($Y229="","",INDEX('Per Line'!$J$2:$J$1001,$Y229)&amp;"")</f>
        <v/>
      </c>
      <c r="H229">
        <f>IF($Y229="","",INDEX('Per Line'!$K$2:$K$1001,$Y229)&amp;"")</f>
        <v/>
      </c>
      <c r="I229">
        <f>IF($Y229="","",INDEX('Per Line'!$O$2:$O$1001,$Y229))</f>
        <v/>
      </c>
      <c r="J229" s="7">
        <f>IF($Y229="","",IF(AND(ISNUMBER(L229),L229&gt;0,W229&gt;L229),I229*L229/100+(W229-L229),I229*W229/100))</f>
        <v/>
      </c>
      <c r="K229">
        <f>IF($Y229="","",INDEX('Per Line'!$Y$2:$Y$1001,$Y229)&amp;"")</f>
        <v/>
      </c>
      <c r="L229">
        <f>IF($Y229="","",INDEX('Per Line'!$AF$2:$AF$1001,$Y229))</f>
        <v/>
      </c>
      <c r="M229">
        <f>IF($Y229="","",IF(AND(ISNUMBER(L229),L229&gt;0),W229&gt;L229,FALSE))</f>
        <v/>
      </c>
      <c r="N229" s="7">
        <f>IF($Y229="","",SUMIFS('Per Line'!$X$2:$X$1001,'Per Line'!$D$2:$D$1001,$B229,'Per Line'!$AP$2:$AP$1001,1))</f>
        <v/>
      </c>
      <c r="O229">
        <f>IF($Y229="","",Settings!$C$7)</f>
        <v/>
      </c>
      <c r="P229" s="7">
        <f>IF($Y229="","",SUMIFS('Per Line'!$X$2:$X$1001,'Per Line'!$D$2:$D$1001,$B229,'Per Line'!$AO$2:$AO$1001,0,'Per Line'!$AP$2:$AP$1001,0))</f>
        <v/>
      </c>
      <c r="Q229" s="7">
        <f>IF($Y229="","",P229*O229)</f>
        <v/>
      </c>
      <c r="R229">
        <f>IF($Y229="","",Settings!$C$6)</f>
        <v/>
      </c>
      <c r="S229" s="7">
        <f>IF($Y229="","",SUMIFS('Per Line'!$X$2:$X$1001,'Per Line'!$D$2:$D$1001,$B229,'Per Line'!$AO$2:$AO$1001,1,'Per Line'!$AP$2:$AP$1001,0))</f>
        <v/>
      </c>
      <c r="T229" s="7">
        <f>IF($Y229="","",S229*R229)</f>
        <v/>
      </c>
      <c r="U229" s="7">
        <f>IF($Y229="","",T229+Q229)</f>
        <v/>
      </c>
      <c r="V229" s="7">
        <f>IF($Y229="","",W229-U229)</f>
        <v/>
      </c>
      <c r="W229" s="7">
        <f>IF($Y229="","",P229+S229+N229)</f>
        <v/>
      </c>
      <c r="X229" s="7">
        <f>IF($Y229="","",W229-U229-J229)</f>
        <v/>
      </c>
      <c r="Y229" s="13">
        <f>IF(ROWS($Y$2:$Y229)&lt;=MAX('Per Line'!$AN$2:$AN$1001),MATCH(ROWS($Y$2:$Y229),'Per Line'!$AN$2:$AN$1001,0),"")</f>
        <v/>
      </c>
      <c r="Z229" s="14">
        <f>IF($Y229="","",J229-I229*W229/100)</f>
        <v/>
      </c>
    </row>
    <row r="230">
      <c r="A230" s="12" t="n"/>
      <c r="B230">
        <f>IF($Y230="","",INDEX('Per Line'!$D$2:$D$1001,$Y230)&amp;"")</f>
        <v/>
      </c>
      <c r="C230">
        <f>IF($Y230="","",INDEX('Per Line'!$C$2:$C$1001,$Y230)&amp;"")</f>
        <v/>
      </c>
      <c r="D230" s="11">
        <f>IF($Y230="","",INDEX('Per Line'!$F$2:$F$1001,$Y230))</f>
        <v/>
      </c>
      <c r="E230">
        <f>IF($Y230="","",INDEX('Per Line'!$G$2:$G$1001,$Y230)&amp;"")</f>
        <v/>
      </c>
      <c r="F230">
        <f>IF($Y230="","",INDEX('Per Line'!$I$2:$I$1001,$Y230)&amp;"")</f>
        <v/>
      </c>
      <c r="G230">
        <f>IF($Y230="","",INDEX('Per Line'!$J$2:$J$1001,$Y230)&amp;"")</f>
        <v/>
      </c>
      <c r="H230">
        <f>IF($Y230="","",INDEX('Per Line'!$K$2:$K$1001,$Y230)&amp;"")</f>
        <v/>
      </c>
      <c r="I230">
        <f>IF($Y230="","",INDEX('Per Line'!$O$2:$O$1001,$Y230))</f>
        <v/>
      </c>
      <c r="J230" s="7">
        <f>IF($Y230="","",IF(AND(ISNUMBER(L230),L230&gt;0,W230&gt;L230),I230*L230/100+(W230-L230),I230*W230/100))</f>
        <v/>
      </c>
      <c r="K230">
        <f>IF($Y230="","",INDEX('Per Line'!$Y$2:$Y$1001,$Y230)&amp;"")</f>
        <v/>
      </c>
      <c r="L230">
        <f>IF($Y230="","",INDEX('Per Line'!$AF$2:$AF$1001,$Y230))</f>
        <v/>
      </c>
      <c r="M230">
        <f>IF($Y230="","",IF(AND(ISNUMBER(L230),L230&gt;0),W230&gt;L230,FALSE))</f>
        <v/>
      </c>
      <c r="N230" s="7">
        <f>IF($Y230="","",SUMIFS('Per Line'!$X$2:$X$1001,'Per Line'!$D$2:$D$1001,$B230,'Per Line'!$AP$2:$AP$1001,1))</f>
        <v/>
      </c>
      <c r="O230">
        <f>IF($Y230="","",Settings!$C$7)</f>
        <v/>
      </c>
      <c r="P230" s="7">
        <f>IF($Y230="","",SUMIFS('Per Line'!$X$2:$X$1001,'Per Line'!$D$2:$D$1001,$B230,'Per Line'!$AO$2:$AO$1001,0,'Per Line'!$AP$2:$AP$1001,0))</f>
        <v/>
      </c>
      <c r="Q230" s="7">
        <f>IF($Y230="","",P230*O230)</f>
        <v/>
      </c>
      <c r="R230">
        <f>IF($Y230="","",Settings!$C$6)</f>
        <v/>
      </c>
      <c r="S230" s="7">
        <f>IF($Y230="","",SUMIFS('Per Line'!$X$2:$X$1001,'Per Line'!$D$2:$D$1001,$B230,'Per Line'!$AO$2:$AO$1001,1,'Per Line'!$AP$2:$AP$1001,0))</f>
        <v/>
      </c>
      <c r="T230" s="7">
        <f>IF($Y230="","",S230*R230)</f>
        <v/>
      </c>
      <c r="U230" s="7">
        <f>IF($Y230="","",T230+Q230)</f>
        <v/>
      </c>
      <c r="V230" s="7">
        <f>IF($Y230="","",W230-U230)</f>
        <v/>
      </c>
      <c r="W230" s="7">
        <f>IF($Y230="","",P230+S230+N230)</f>
        <v/>
      </c>
      <c r="X230" s="7">
        <f>IF($Y230="","",W230-U230-J230)</f>
        <v/>
      </c>
      <c r="Y230" s="13">
        <f>IF(ROWS($Y$2:$Y230)&lt;=MAX('Per Line'!$AN$2:$AN$1001),MATCH(ROWS($Y$2:$Y230),'Per Line'!$AN$2:$AN$1001,0),"")</f>
        <v/>
      </c>
      <c r="Z230" s="14">
        <f>IF($Y230="","",J230-I230*W230/100)</f>
        <v/>
      </c>
    </row>
    <row r="231">
      <c r="A231" s="12" t="n"/>
      <c r="B231">
        <f>IF($Y231="","",INDEX('Per Line'!$D$2:$D$1001,$Y231)&amp;"")</f>
        <v/>
      </c>
      <c r="C231">
        <f>IF($Y231="","",INDEX('Per Line'!$C$2:$C$1001,$Y231)&amp;"")</f>
        <v/>
      </c>
      <c r="D231" s="11">
        <f>IF($Y231="","",INDEX('Per Line'!$F$2:$F$1001,$Y231))</f>
        <v/>
      </c>
      <c r="E231">
        <f>IF($Y231="","",INDEX('Per Line'!$G$2:$G$1001,$Y231)&amp;"")</f>
        <v/>
      </c>
      <c r="F231">
        <f>IF($Y231="","",INDEX('Per Line'!$I$2:$I$1001,$Y231)&amp;"")</f>
        <v/>
      </c>
      <c r="G231">
        <f>IF($Y231="","",INDEX('Per Line'!$J$2:$J$1001,$Y231)&amp;"")</f>
        <v/>
      </c>
      <c r="H231">
        <f>IF($Y231="","",INDEX('Per Line'!$K$2:$K$1001,$Y231)&amp;"")</f>
        <v/>
      </c>
      <c r="I231">
        <f>IF($Y231="","",INDEX('Per Line'!$O$2:$O$1001,$Y231))</f>
        <v/>
      </c>
      <c r="J231" s="7">
        <f>IF($Y231="","",IF(AND(ISNUMBER(L231),L231&gt;0,W231&gt;L231),I231*L231/100+(W231-L231),I231*W231/100))</f>
        <v/>
      </c>
      <c r="K231">
        <f>IF($Y231="","",INDEX('Per Line'!$Y$2:$Y$1001,$Y231)&amp;"")</f>
        <v/>
      </c>
      <c r="L231">
        <f>IF($Y231="","",INDEX('Per Line'!$AF$2:$AF$1001,$Y231))</f>
        <v/>
      </c>
      <c r="M231">
        <f>IF($Y231="","",IF(AND(ISNUMBER(L231),L231&gt;0),W231&gt;L231,FALSE))</f>
        <v/>
      </c>
      <c r="N231" s="7">
        <f>IF($Y231="","",SUMIFS('Per Line'!$X$2:$X$1001,'Per Line'!$D$2:$D$1001,$B231,'Per Line'!$AP$2:$AP$1001,1))</f>
        <v/>
      </c>
      <c r="O231">
        <f>IF($Y231="","",Settings!$C$7)</f>
        <v/>
      </c>
      <c r="P231" s="7">
        <f>IF($Y231="","",SUMIFS('Per Line'!$X$2:$X$1001,'Per Line'!$D$2:$D$1001,$B231,'Per Line'!$AO$2:$AO$1001,0,'Per Line'!$AP$2:$AP$1001,0))</f>
        <v/>
      </c>
      <c r="Q231" s="7">
        <f>IF($Y231="","",P231*O231)</f>
        <v/>
      </c>
      <c r="R231">
        <f>IF($Y231="","",Settings!$C$6)</f>
        <v/>
      </c>
      <c r="S231" s="7">
        <f>IF($Y231="","",SUMIFS('Per Line'!$X$2:$X$1001,'Per Line'!$D$2:$D$1001,$B231,'Per Line'!$AO$2:$AO$1001,1,'Per Line'!$AP$2:$AP$1001,0))</f>
        <v/>
      </c>
      <c r="T231" s="7">
        <f>IF($Y231="","",S231*R231)</f>
        <v/>
      </c>
      <c r="U231" s="7">
        <f>IF($Y231="","",T231+Q231)</f>
        <v/>
      </c>
      <c r="V231" s="7">
        <f>IF($Y231="","",W231-U231)</f>
        <v/>
      </c>
      <c r="W231" s="7">
        <f>IF($Y231="","",P231+S231+N231)</f>
        <v/>
      </c>
      <c r="X231" s="7">
        <f>IF($Y231="","",W231-U231-J231)</f>
        <v/>
      </c>
      <c r="Y231" s="13">
        <f>IF(ROWS($Y$2:$Y231)&lt;=MAX('Per Line'!$AN$2:$AN$1001),MATCH(ROWS($Y$2:$Y231),'Per Line'!$AN$2:$AN$1001,0),"")</f>
        <v/>
      </c>
      <c r="Z231" s="14">
        <f>IF($Y231="","",J231-I231*W231/100)</f>
        <v/>
      </c>
    </row>
    <row r="232">
      <c r="A232" s="12" t="n"/>
      <c r="B232">
        <f>IF($Y232="","",INDEX('Per Line'!$D$2:$D$1001,$Y232)&amp;"")</f>
        <v/>
      </c>
      <c r="C232">
        <f>IF($Y232="","",INDEX('Per Line'!$C$2:$C$1001,$Y232)&amp;"")</f>
        <v/>
      </c>
      <c r="D232" s="11">
        <f>IF($Y232="","",INDEX('Per Line'!$F$2:$F$1001,$Y232))</f>
        <v/>
      </c>
      <c r="E232">
        <f>IF($Y232="","",INDEX('Per Line'!$G$2:$G$1001,$Y232)&amp;"")</f>
        <v/>
      </c>
      <c r="F232">
        <f>IF($Y232="","",INDEX('Per Line'!$I$2:$I$1001,$Y232)&amp;"")</f>
        <v/>
      </c>
      <c r="G232">
        <f>IF($Y232="","",INDEX('Per Line'!$J$2:$J$1001,$Y232)&amp;"")</f>
        <v/>
      </c>
      <c r="H232">
        <f>IF($Y232="","",INDEX('Per Line'!$K$2:$K$1001,$Y232)&amp;"")</f>
        <v/>
      </c>
      <c r="I232">
        <f>IF($Y232="","",INDEX('Per Line'!$O$2:$O$1001,$Y232))</f>
        <v/>
      </c>
      <c r="J232" s="7">
        <f>IF($Y232="","",IF(AND(ISNUMBER(L232),L232&gt;0,W232&gt;L232),I232*L232/100+(W232-L232),I232*W232/100))</f>
        <v/>
      </c>
      <c r="K232">
        <f>IF($Y232="","",INDEX('Per Line'!$Y$2:$Y$1001,$Y232)&amp;"")</f>
        <v/>
      </c>
      <c r="L232">
        <f>IF($Y232="","",INDEX('Per Line'!$AF$2:$AF$1001,$Y232))</f>
        <v/>
      </c>
      <c r="M232">
        <f>IF($Y232="","",IF(AND(ISNUMBER(L232),L232&gt;0),W232&gt;L232,FALSE))</f>
        <v/>
      </c>
      <c r="N232" s="7">
        <f>IF($Y232="","",SUMIFS('Per Line'!$X$2:$X$1001,'Per Line'!$D$2:$D$1001,$B232,'Per Line'!$AP$2:$AP$1001,1))</f>
        <v/>
      </c>
      <c r="O232">
        <f>IF($Y232="","",Settings!$C$7)</f>
        <v/>
      </c>
      <c r="P232" s="7">
        <f>IF($Y232="","",SUMIFS('Per Line'!$X$2:$X$1001,'Per Line'!$D$2:$D$1001,$B232,'Per Line'!$AO$2:$AO$1001,0,'Per Line'!$AP$2:$AP$1001,0))</f>
        <v/>
      </c>
      <c r="Q232" s="7">
        <f>IF($Y232="","",P232*O232)</f>
        <v/>
      </c>
      <c r="R232">
        <f>IF($Y232="","",Settings!$C$6)</f>
        <v/>
      </c>
      <c r="S232" s="7">
        <f>IF($Y232="","",SUMIFS('Per Line'!$X$2:$X$1001,'Per Line'!$D$2:$D$1001,$B232,'Per Line'!$AO$2:$AO$1001,1,'Per Line'!$AP$2:$AP$1001,0))</f>
        <v/>
      </c>
      <c r="T232" s="7">
        <f>IF($Y232="","",S232*R232)</f>
        <v/>
      </c>
      <c r="U232" s="7">
        <f>IF($Y232="","",T232+Q232)</f>
        <v/>
      </c>
      <c r="V232" s="7">
        <f>IF($Y232="","",W232-U232)</f>
        <v/>
      </c>
      <c r="W232" s="7">
        <f>IF($Y232="","",P232+S232+N232)</f>
        <v/>
      </c>
      <c r="X232" s="7">
        <f>IF($Y232="","",W232-U232-J232)</f>
        <v/>
      </c>
      <c r="Y232" s="13">
        <f>IF(ROWS($Y$2:$Y232)&lt;=MAX('Per Line'!$AN$2:$AN$1001),MATCH(ROWS($Y$2:$Y232),'Per Line'!$AN$2:$AN$1001,0),"")</f>
        <v/>
      </c>
      <c r="Z232" s="14">
        <f>IF($Y232="","",J232-I232*W232/100)</f>
        <v/>
      </c>
    </row>
    <row r="233">
      <c r="A233" s="12" t="n"/>
      <c r="B233">
        <f>IF($Y233="","",INDEX('Per Line'!$D$2:$D$1001,$Y233)&amp;"")</f>
        <v/>
      </c>
      <c r="C233">
        <f>IF($Y233="","",INDEX('Per Line'!$C$2:$C$1001,$Y233)&amp;"")</f>
        <v/>
      </c>
      <c r="D233" s="11">
        <f>IF($Y233="","",INDEX('Per Line'!$F$2:$F$1001,$Y233))</f>
        <v/>
      </c>
      <c r="E233">
        <f>IF($Y233="","",INDEX('Per Line'!$G$2:$G$1001,$Y233)&amp;"")</f>
        <v/>
      </c>
      <c r="F233">
        <f>IF($Y233="","",INDEX('Per Line'!$I$2:$I$1001,$Y233)&amp;"")</f>
        <v/>
      </c>
      <c r="G233">
        <f>IF($Y233="","",INDEX('Per Line'!$J$2:$J$1001,$Y233)&amp;"")</f>
        <v/>
      </c>
      <c r="H233">
        <f>IF($Y233="","",INDEX('Per Line'!$K$2:$K$1001,$Y233)&amp;"")</f>
        <v/>
      </c>
      <c r="I233">
        <f>IF($Y233="","",INDEX('Per Line'!$O$2:$O$1001,$Y233))</f>
        <v/>
      </c>
      <c r="J233" s="7">
        <f>IF($Y233="","",IF(AND(ISNUMBER(L233),L233&gt;0,W233&gt;L233),I233*L233/100+(W233-L233),I233*W233/100))</f>
        <v/>
      </c>
      <c r="K233">
        <f>IF($Y233="","",INDEX('Per Line'!$Y$2:$Y$1001,$Y233)&amp;"")</f>
        <v/>
      </c>
      <c r="L233">
        <f>IF($Y233="","",INDEX('Per Line'!$AF$2:$AF$1001,$Y233))</f>
        <v/>
      </c>
      <c r="M233">
        <f>IF($Y233="","",IF(AND(ISNUMBER(L233),L233&gt;0),W233&gt;L233,FALSE))</f>
        <v/>
      </c>
      <c r="N233" s="7">
        <f>IF($Y233="","",SUMIFS('Per Line'!$X$2:$X$1001,'Per Line'!$D$2:$D$1001,$B233,'Per Line'!$AP$2:$AP$1001,1))</f>
        <v/>
      </c>
      <c r="O233">
        <f>IF($Y233="","",Settings!$C$7)</f>
        <v/>
      </c>
      <c r="P233" s="7">
        <f>IF($Y233="","",SUMIFS('Per Line'!$X$2:$X$1001,'Per Line'!$D$2:$D$1001,$B233,'Per Line'!$AO$2:$AO$1001,0,'Per Line'!$AP$2:$AP$1001,0))</f>
        <v/>
      </c>
      <c r="Q233" s="7">
        <f>IF($Y233="","",P233*O233)</f>
        <v/>
      </c>
      <c r="R233">
        <f>IF($Y233="","",Settings!$C$6)</f>
        <v/>
      </c>
      <c r="S233" s="7">
        <f>IF($Y233="","",SUMIFS('Per Line'!$X$2:$X$1001,'Per Line'!$D$2:$D$1001,$B233,'Per Line'!$AO$2:$AO$1001,1,'Per Line'!$AP$2:$AP$1001,0))</f>
        <v/>
      </c>
      <c r="T233" s="7">
        <f>IF($Y233="","",S233*R233)</f>
        <v/>
      </c>
      <c r="U233" s="7">
        <f>IF($Y233="","",T233+Q233)</f>
        <v/>
      </c>
      <c r="V233" s="7">
        <f>IF($Y233="","",W233-U233)</f>
        <v/>
      </c>
      <c r="W233" s="7">
        <f>IF($Y233="","",P233+S233+N233)</f>
        <v/>
      </c>
      <c r="X233" s="7">
        <f>IF($Y233="","",W233-U233-J233)</f>
        <v/>
      </c>
      <c r="Y233" s="13">
        <f>IF(ROWS($Y$2:$Y233)&lt;=MAX('Per Line'!$AN$2:$AN$1001),MATCH(ROWS($Y$2:$Y233),'Per Line'!$AN$2:$AN$1001,0),"")</f>
        <v/>
      </c>
      <c r="Z233" s="14">
        <f>IF($Y233="","",J233-I233*W233/100)</f>
        <v/>
      </c>
    </row>
    <row r="234">
      <c r="A234" s="12" t="n"/>
      <c r="B234">
        <f>IF($Y234="","",INDEX('Per Line'!$D$2:$D$1001,$Y234)&amp;"")</f>
        <v/>
      </c>
      <c r="C234">
        <f>IF($Y234="","",INDEX('Per Line'!$C$2:$C$1001,$Y234)&amp;"")</f>
        <v/>
      </c>
      <c r="D234" s="11">
        <f>IF($Y234="","",INDEX('Per Line'!$F$2:$F$1001,$Y234))</f>
        <v/>
      </c>
      <c r="E234">
        <f>IF($Y234="","",INDEX('Per Line'!$G$2:$G$1001,$Y234)&amp;"")</f>
        <v/>
      </c>
      <c r="F234">
        <f>IF($Y234="","",INDEX('Per Line'!$I$2:$I$1001,$Y234)&amp;"")</f>
        <v/>
      </c>
      <c r="G234">
        <f>IF($Y234="","",INDEX('Per Line'!$J$2:$J$1001,$Y234)&amp;"")</f>
        <v/>
      </c>
      <c r="H234">
        <f>IF($Y234="","",INDEX('Per Line'!$K$2:$K$1001,$Y234)&amp;"")</f>
        <v/>
      </c>
      <c r="I234">
        <f>IF($Y234="","",INDEX('Per Line'!$O$2:$O$1001,$Y234))</f>
        <v/>
      </c>
      <c r="J234" s="7">
        <f>IF($Y234="","",IF(AND(ISNUMBER(L234),L234&gt;0,W234&gt;L234),I234*L234/100+(W234-L234),I234*W234/100))</f>
        <v/>
      </c>
      <c r="K234">
        <f>IF($Y234="","",INDEX('Per Line'!$Y$2:$Y$1001,$Y234)&amp;"")</f>
        <v/>
      </c>
      <c r="L234">
        <f>IF($Y234="","",INDEX('Per Line'!$AF$2:$AF$1001,$Y234))</f>
        <v/>
      </c>
      <c r="M234">
        <f>IF($Y234="","",IF(AND(ISNUMBER(L234),L234&gt;0),W234&gt;L234,FALSE))</f>
        <v/>
      </c>
      <c r="N234" s="7">
        <f>IF($Y234="","",SUMIFS('Per Line'!$X$2:$X$1001,'Per Line'!$D$2:$D$1001,$B234,'Per Line'!$AP$2:$AP$1001,1))</f>
        <v/>
      </c>
      <c r="O234">
        <f>IF($Y234="","",Settings!$C$7)</f>
        <v/>
      </c>
      <c r="P234" s="7">
        <f>IF($Y234="","",SUMIFS('Per Line'!$X$2:$X$1001,'Per Line'!$D$2:$D$1001,$B234,'Per Line'!$AO$2:$AO$1001,0,'Per Line'!$AP$2:$AP$1001,0))</f>
        <v/>
      </c>
      <c r="Q234" s="7">
        <f>IF($Y234="","",P234*O234)</f>
        <v/>
      </c>
      <c r="R234">
        <f>IF($Y234="","",Settings!$C$6)</f>
        <v/>
      </c>
      <c r="S234" s="7">
        <f>IF($Y234="","",SUMIFS('Per Line'!$X$2:$X$1001,'Per Line'!$D$2:$D$1001,$B234,'Per Line'!$AO$2:$AO$1001,1,'Per Line'!$AP$2:$AP$1001,0))</f>
        <v/>
      </c>
      <c r="T234" s="7">
        <f>IF($Y234="","",S234*R234)</f>
        <v/>
      </c>
      <c r="U234" s="7">
        <f>IF($Y234="","",T234+Q234)</f>
        <v/>
      </c>
      <c r="V234" s="7">
        <f>IF($Y234="","",W234-U234)</f>
        <v/>
      </c>
      <c r="W234" s="7">
        <f>IF($Y234="","",P234+S234+N234)</f>
        <v/>
      </c>
      <c r="X234" s="7">
        <f>IF($Y234="","",W234-U234-J234)</f>
        <v/>
      </c>
      <c r="Y234" s="13">
        <f>IF(ROWS($Y$2:$Y234)&lt;=MAX('Per Line'!$AN$2:$AN$1001),MATCH(ROWS($Y$2:$Y234),'Per Line'!$AN$2:$AN$1001,0),"")</f>
        <v/>
      </c>
      <c r="Z234" s="14">
        <f>IF($Y234="","",J234-I234*W234/100)</f>
        <v/>
      </c>
    </row>
    <row r="235">
      <c r="A235" s="12" t="n"/>
      <c r="B235">
        <f>IF($Y235="","",INDEX('Per Line'!$D$2:$D$1001,$Y235)&amp;"")</f>
        <v/>
      </c>
      <c r="C235">
        <f>IF($Y235="","",INDEX('Per Line'!$C$2:$C$1001,$Y235)&amp;"")</f>
        <v/>
      </c>
      <c r="D235" s="11">
        <f>IF($Y235="","",INDEX('Per Line'!$F$2:$F$1001,$Y235))</f>
        <v/>
      </c>
      <c r="E235">
        <f>IF($Y235="","",INDEX('Per Line'!$G$2:$G$1001,$Y235)&amp;"")</f>
        <v/>
      </c>
      <c r="F235">
        <f>IF($Y235="","",INDEX('Per Line'!$I$2:$I$1001,$Y235)&amp;"")</f>
        <v/>
      </c>
      <c r="G235">
        <f>IF($Y235="","",INDEX('Per Line'!$J$2:$J$1001,$Y235)&amp;"")</f>
        <v/>
      </c>
      <c r="H235">
        <f>IF($Y235="","",INDEX('Per Line'!$K$2:$K$1001,$Y235)&amp;"")</f>
        <v/>
      </c>
      <c r="I235">
        <f>IF($Y235="","",INDEX('Per Line'!$O$2:$O$1001,$Y235))</f>
        <v/>
      </c>
      <c r="J235" s="7">
        <f>IF($Y235="","",IF(AND(ISNUMBER(L235),L235&gt;0,W235&gt;L235),I235*L235/100+(W235-L235),I235*W235/100))</f>
        <v/>
      </c>
      <c r="K235">
        <f>IF($Y235="","",INDEX('Per Line'!$Y$2:$Y$1001,$Y235)&amp;"")</f>
        <v/>
      </c>
      <c r="L235">
        <f>IF($Y235="","",INDEX('Per Line'!$AF$2:$AF$1001,$Y235))</f>
        <v/>
      </c>
      <c r="M235">
        <f>IF($Y235="","",IF(AND(ISNUMBER(L235),L235&gt;0),W235&gt;L235,FALSE))</f>
        <v/>
      </c>
      <c r="N235" s="7">
        <f>IF($Y235="","",SUMIFS('Per Line'!$X$2:$X$1001,'Per Line'!$D$2:$D$1001,$B235,'Per Line'!$AP$2:$AP$1001,1))</f>
        <v/>
      </c>
      <c r="O235">
        <f>IF($Y235="","",Settings!$C$7)</f>
        <v/>
      </c>
      <c r="P235" s="7">
        <f>IF($Y235="","",SUMIFS('Per Line'!$X$2:$X$1001,'Per Line'!$D$2:$D$1001,$B235,'Per Line'!$AO$2:$AO$1001,0,'Per Line'!$AP$2:$AP$1001,0))</f>
        <v/>
      </c>
      <c r="Q235" s="7">
        <f>IF($Y235="","",P235*O235)</f>
        <v/>
      </c>
      <c r="R235">
        <f>IF($Y235="","",Settings!$C$6)</f>
        <v/>
      </c>
      <c r="S235" s="7">
        <f>IF($Y235="","",SUMIFS('Per Line'!$X$2:$X$1001,'Per Line'!$D$2:$D$1001,$B235,'Per Line'!$AO$2:$AO$1001,1,'Per Line'!$AP$2:$AP$1001,0))</f>
        <v/>
      </c>
      <c r="T235" s="7">
        <f>IF($Y235="","",S235*R235)</f>
        <v/>
      </c>
      <c r="U235" s="7">
        <f>IF($Y235="","",T235+Q235)</f>
        <v/>
      </c>
      <c r="V235" s="7">
        <f>IF($Y235="","",W235-U235)</f>
        <v/>
      </c>
      <c r="W235" s="7">
        <f>IF($Y235="","",P235+S235+N235)</f>
        <v/>
      </c>
      <c r="X235" s="7">
        <f>IF($Y235="","",W235-U235-J235)</f>
        <v/>
      </c>
      <c r="Y235" s="13">
        <f>IF(ROWS($Y$2:$Y235)&lt;=MAX('Per Line'!$AN$2:$AN$1001),MATCH(ROWS($Y$2:$Y235),'Per Line'!$AN$2:$AN$1001,0),"")</f>
        <v/>
      </c>
      <c r="Z235" s="14">
        <f>IF($Y235="","",J235-I235*W235/100)</f>
        <v/>
      </c>
    </row>
    <row r="236">
      <c r="A236" s="12" t="n"/>
      <c r="B236">
        <f>IF($Y236="","",INDEX('Per Line'!$D$2:$D$1001,$Y236)&amp;"")</f>
        <v/>
      </c>
      <c r="C236">
        <f>IF($Y236="","",INDEX('Per Line'!$C$2:$C$1001,$Y236)&amp;"")</f>
        <v/>
      </c>
      <c r="D236" s="11">
        <f>IF($Y236="","",INDEX('Per Line'!$F$2:$F$1001,$Y236))</f>
        <v/>
      </c>
      <c r="E236">
        <f>IF($Y236="","",INDEX('Per Line'!$G$2:$G$1001,$Y236)&amp;"")</f>
        <v/>
      </c>
      <c r="F236">
        <f>IF($Y236="","",INDEX('Per Line'!$I$2:$I$1001,$Y236)&amp;"")</f>
        <v/>
      </c>
      <c r="G236">
        <f>IF($Y236="","",INDEX('Per Line'!$J$2:$J$1001,$Y236)&amp;"")</f>
        <v/>
      </c>
      <c r="H236">
        <f>IF($Y236="","",INDEX('Per Line'!$K$2:$K$1001,$Y236)&amp;"")</f>
        <v/>
      </c>
      <c r="I236">
        <f>IF($Y236="","",INDEX('Per Line'!$O$2:$O$1001,$Y236))</f>
        <v/>
      </c>
      <c r="J236" s="7">
        <f>IF($Y236="","",IF(AND(ISNUMBER(L236),L236&gt;0,W236&gt;L236),I236*L236/100+(W236-L236),I236*W236/100))</f>
        <v/>
      </c>
      <c r="K236">
        <f>IF($Y236="","",INDEX('Per Line'!$Y$2:$Y$1001,$Y236)&amp;"")</f>
        <v/>
      </c>
      <c r="L236">
        <f>IF($Y236="","",INDEX('Per Line'!$AF$2:$AF$1001,$Y236))</f>
        <v/>
      </c>
      <c r="M236">
        <f>IF($Y236="","",IF(AND(ISNUMBER(L236),L236&gt;0),W236&gt;L236,FALSE))</f>
        <v/>
      </c>
      <c r="N236" s="7">
        <f>IF($Y236="","",SUMIFS('Per Line'!$X$2:$X$1001,'Per Line'!$D$2:$D$1001,$B236,'Per Line'!$AP$2:$AP$1001,1))</f>
        <v/>
      </c>
      <c r="O236">
        <f>IF($Y236="","",Settings!$C$7)</f>
        <v/>
      </c>
      <c r="P236" s="7">
        <f>IF($Y236="","",SUMIFS('Per Line'!$X$2:$X$1001,'Per Line'!$D$2:$D$1001,$B236,'Per Line'!$AO$2:$AO$1001,0,'Per Line'!$AP$2:$AP$1001,0))</f>
        <v/>
      </c>
      <c r="Q236" s="7">
        <f>IF($Y236="","",P236*O236)</f>
        <v/>
      </c>
      <c r="R236">
        <f>IF($Y236="","",Settings!$C$6)</f>
        <v/>
      </c>
      <c r="S236" s="7">
        <f>IF($Y236="","",SUMIFS('Per Line'!$X$2:$X$1001,'Per Line'!$D$2:$D$1001,$B236,'Per Line'!$AO$2:$AO$1001,1,'Per Line'!$AP$2:$AP$1001,0))</f>
        <v/>
      </c>
      <c r="T236" s="7">
        <f>IF($Y236="","",S236*R236)</f>
        <v/>
      </c>
      <c r="U236" s="7">
        <f>IF($Y236="","",T236+Q236)</f>
        <v/>
      </c>
      <c r="V236" s="7">
        <f>IF($Y236="","",W236-U236)</f>
        <v/>
      </c>
      <c r="W236" s="7">
        <f>IF($Y236="","",P236+S236+N236)</f>
        <v/>
      </c>
      <c r="X236" s="7">
        <f>IF($Y236="","",W236-U236-J236)</f>
        <v/>
      </c>
      <c r="Y236" s="13">
        <f>IF(ROWS($Y$2:$Y236)&lt;=MAX('Per Line'!$AN$2:$AN$1001),MATCH(ROWS($Y$2:$Y236),'Per Line'!$AN$2:$AN$1001,0),"")</f>
        <v/>
      </c>
      <c r="Z236" s="14">
        <f>IF($Y236="","",J236-I236*W236/100)</f>
        <v/>
      </c>
    </row>
    <row r="237">
      <c r="A237" s="12" t="n"/>
      <c r="B237">
        <f>IF($Y237="","",INDEX('Per Line'!$D$2:$D$1001,$Y237)&amp;"")</f>
        <v/>
      </c>
      <c r="C237">
        <f>IF($Y237="","",INDEX('Per Line'!$C$2:$C$1001,$Y237)&amp;"")</f>
        <v/>
      </c>
      <c r="D237" s="11">
        <f>IF($Y237="","",INDEX('Per Line'!$F$2:$F$1001,$Y237))</f>
        <v/>
      </c>
      <c r="E237">
        <f>IF($Y237="","",INDEX('Per Line'!$G$2:$G$1001,$Y237)&amp;"")</f>
        <v/>
      </c>
      <c r="F237">
        <f>IF($Y237="","",INDEX('Per Line'!$I$2:$I$1001,$Y237)&amp;"")</f>
        <v/>
      </c>
      <c r="G237">
        <f>IF($Y237="","",INDEX('Per Line'!$J$2:$J$1001,$Y237)&amp;"")</f>
        <v/>
      </c>
      <c r="H237">
        <f>IF($Y237="","",INDEX('Per Line'!$K$2:$K$1001,$Y237)&amp;"")</f>
        <v/>
      </c>
      <c r="I237">
        <f>IF($Y237="","",INDEX('Per Line'!$O$2:$O$1001,$Y237))</f>
        <v/>
      </c>
      <c r="J237" s="7">
        <f>IF($Y237="","",IF(AND(ISNUMBER(L237),L237&gt;0,W237&gt;L237),I237*L237/100+(W237-L237),I237*W237/100))</f>
        <v/>
      </c>
      <c r="K237">
        <f>IF($Y237="","",INDEX('Per Line'!$Y$2:$Y$1001,$Y237)&amp;"")</f>
        <v/>
      </c>
      <c r="L237">
        <f>IF($Y237="","",INDEX('Per Line'!$AF$2:$AF$1001,$Y237))</f>
        <v/>
      </c>
      <c r="M237">
        <f>IF($Y237="","",IF(AND(ISNUMBER(L237),L237&gt;0),W237&gt;L237,FALSE))</f>
        <v/>
      </c>
      <c r="N237" s="7">
        <f>IF($Y237="","",SUMIFS('Per Line'!$X$2:$X$1001,'Per Line'!$D$2:$D$1001,$B237,'Per Line'!$AP$2:$AP$1001,1))</f>
        <v/>
      </c>
      <c r="O237">
        <f>IF($Y237="","",Settings!$C$7)</f>
        <v/>
      </c>
      <c r="P237" s="7">
        <f>IF($Y237="","",SUMIFS('Per Line'!$X$2:$X$1001,'Per Line'!$D$2:$D$1001,$B237,'Per Line'!$AO$2:$AO$1001,0,'Per Line'!$AP$2:$AP$1001,0))</f>
        <v/>
      </c>
      <c r="Q237" s="7">
        <f>IF($Y237="","",P237*O237)</f>
        <v/>
      </c>
      <c r="R237">
        <f>IF($Y237="","",Settings!$C$6)</f>
        <v/>
      </c>
      <c r="S237" s="7">
        <f>IF($Y237="","",SUMIFS('Per Line'!$X$2:$X$1001,'Per Line'!$D$2:$D$1001,$B237,'Per Line'!$AO$2:$AO$1001,1,'Per Line'!$AP$2:$AP$1001,0))</f>
        <v/>
      </c>
      <c r="T237" s="7">
        <f>IF($Y237="","",S237*R237)</f>
        <v/>
      </c>
      <c r="U237" s="7">
        <f>IF($Y237="","",T237+Q237)</f>
        <v/>
      </c>
      <c r="V237" s="7">
        <f>IF($Y237="","",W237-U237)</f>
        <v/>
      </c>
      <c r="W237" s="7">
        <f>IF($Y237="","",P237+S237+N237)</f>
        <v/>
      </c>
      <c r="X237" s="7">
        <f>IF($Y237="","",W237-U237-J237)</f>
        <v/>
      </c>
      <c r="Y237" s="13">
        <f>IF(ROWS($Y$2:$Y237)&lt;=MAX('Per Line'!$AN$2:$AN$1001),MATCH(ROWS($Y$2:$Y237),'Per Line'!$AN$2:$AN$1001,0),"")</f>
        <v/>
      </c>
      <c r="Z237" s="14">
        <f>IF($Y237="","",J237-I237*W237/100)</f>
        <v/>
      </c>
    </row>
    <row r="238">
      <c r="A238" s="12" t="n"/>
      <c r="B238">
        <f>IF($Y238="","",INDEX('Per Line'!$D$2:$D$1001,$Y238)&amp;"")</f>
        <v/>
      </c>
      <c r="C238">
        <f>IF($Y238="","",INDEX('Per Line'!$C$2:$C$1001,$Y238)&amp;"")</f>
        <v/>
      </c>
      <c r="D238" s="11">
        <f>IF($Y238="","",INDEX('Per Line'!$F$2:$F$1001,$Y238))</f>
        <v/>
      </c>
      <c r="E238">
        <f>IF($Y238="","",INDEX('Per Line'!$G$2:$G$1001,$Y238)&amp;"")</f>
        <v/>
      </c>
      <c r="F238">
        <f>IF($Y238="","",INDEX('Per Line'!$I$2:$I$1001,$Y238)&amp;"")</f>
        <v/>
      </c>
      <c r="G238">
        <f>IF($Y238="","",INDEX('Per Line'!$J$2:$J$1001,$Y238)&amp;"")</f>
        <v/>
      </c>
      <c r="H238">
        <f>IF($Y238="","",INDEX('Per Line'!$K$2:$K$1001,$Y238)&amp;"")</f>
        <v/>
      </c>
      <c r="I238">
        <f>IF($Y238="","",INDEX('Per Line'!$O$2:$O$1001,$Y238))</f>
        <v/>
      </c>
      <c r="J238" s="7">
        <f>IF($Y238="","",IF(AND(ISNUMBER(L238),L238&gt;0,W238&gt;L238),I238*L238/100+(W238-L238),I238*W238/100))</f>
        <v/>
      </c>
      <c r="K238">
        <f>IF($Y238="","",INDEX('Per Line'!$Y$2:$Y$1001,$Y238)&amp;"")</f>
        <v/>
      </c>
      <c r="L238">
        <f>IF($Y238="","",INDEX('Per Line'!$AF$2:$AF$1001,$Y238))</f>
        <v/>
      </c>
      <c r="M238">
        <f>IF($Y238="","",IF(AND(ISNUMBER(L238),L238&gt;0),W238&gt;L238,FALSE))</f>
        <v/>
      </c>
      <c r="N238" s="7">
        <f>IF($Y238="","",SUMIFS('Per Line'!$X$2:$X$1001,'Per Line'!$D$2:$D$1001,$B238,'Per Line'!$AP$2:$AP$1001,1))</f>
        <v/>
      </c>
      <c r="O238">
        <f>IF($Y238="","",Settings!$C$7)</f>
        <v/>
      </c>
      <c r="P238" s="7">
        <f>IF($Y238="","",SUMIFS('Per Line'!$X$2:$X$1001,'Per Line'!$D$2:$D$1001,$B238,'Per Line'!$AO$2:$AO$1001,0,'Per Line'!$AP$2:$AP$1001,0))</f>
        <v/>
      </c>
      <c r="Q238" s="7">
        <f>IF($Y238="","",P238*O238)</f>
        <v/>
      </c>
      <c r="R238">
        <f>IF($Y238="","",Settings!$C$6)</f>
        <v/>
      </c>
      <c r="S238" s="7">
        <f>IF($Y238="","",SUMIFS('Per Line'!$X$2:$X$1001,'Per Line'!$D$2:$D$1001,$B238,'Per Line'!$AO$2:$AO$1001,1,'Per Line'!$AP$2:$AP$1001,0))</f>
        <v/>
      </c>
      <c r="T238" s="7">
        <f>IF($Y238="","",S238*R238)</f>
        <v/>
      </c>
      <c r="U238" s="7">
        <f>IF($Y238="","",T238+Q238)</f>
        <v/>
      </c>
      <c r="V238" s="7">
        <f>IF($Y238="","",W238-U238)</f>
        <v/>
      </c>
      <c r="W238" s="7">
        <f>IF($Y238="","",P238+S238+N238)</f>
        <v/>
      </c>
      <c r="X238" s="7">
        <f>IF($Y238="","",W238-U238-J238)</f>
        <v/>
      </c>
      <c r="Y238" s="13">
        <f>IF(ROWS($Y$2:$Y238)&lt;=MAX('Per Line'!$AN$2:$AN$1001),MATCH(ROWS($Y$2:$Y238),'Per Line'!$AN$2:$AN$1001,0),"")</f>
        <v/>
      </c>
      <c r="Z238" s="14">
        <f>IF($Y238="","",J238-I238*W238/100)</f>
        <v/>
      </c>
    </row>
    <row r="239">
      <c r="A239" s="12" t="n"/>
      <c r="B239">
        <f>IF($Y239="","",INDEX('Per Line'!$D$2:$D$1001,$Y239)&amp;"")</f>
        <v/>
      </c>
      <c r="C239">
        <f>IF($Y239="","",INDEX('Per Line'!$C$2:$C$1001,$Y239)&amp;"")</f>
        <v/>
      </c>
      <c r="D239" s="11">
        <f>IF($Y239="","",INDEX('Per Line'!$F$2:$F$1001,$Y239))</f>
        <v/>
      </c>
      <c r="E239">
        <f>IF($Y239="","",INDEX('Per Line'!$G$2:$G$1001,$Y239)&amp;"")</f>
        <v/>
      </c>
      <c r="F239">
        <f>IF($Y239="","",INDEX('Per Line'!$I$2:$I$1001,$Y239)&amp;"")</f>
        <v/>
      </c>
      <c r="G239">
        <f>IF($Y239="","",INDEX('Per Line'!$J$2:$J$1001,$Y239)&amp;"")</f>
        <v/>
      </c>
      <c r="H239">
        <f>IF($Y239="","",INDEX('Per Line'!$K$2:$K$1001,$Y239)&amp;"")</f>
        <v/>
      </c>
      <c r="I239">
        <f>IF($Y239="","",INDEX('Per Line'!$O$2:$O$1001,$Y239))</f>
        <v/>
      </c>
      <c r="J239" s="7">
        <f>IF($Y239="","",IF(AND(ISNUMBER(L239),L239&gt;0,W239&gt;L239),I239*L239/100+(W239-L239),I239*W239/100))</f>
        <v/>
      </c>
      <c r="K239">
        <f>IF($Y239="","",INDEX('Per Line'!$Y$2:$Y$1001,$Y239)&amp;"")</f>
        <v/>
      </c>
      <c r="L239">
        <f>IF($Y239="","",INDEX('Per Line'!$AF$2:$AF$1001,$Y239))</f>
        <v/>
      </c>
      <c r="M239">
        <f>IF($Y239="","",IF(AND(ISNUMBER(L239),L239&gt;0),W239&gt;L239,FALSE))</f>
        <v/>
      </c>
      <c r="N239" s="7">
        <f>IF($Y239="","",SUMIFS('Per Line'!$X$2:$X$1001,'Per Line'!$D$2:$D$1001,$B239,'Per Line'!$AP$2:$AP$1001,1))</f>
        <v/>
      </c>
      <c r="O239">
        <f>IF($Y239="","",Settings!$C$7)</f>
        <v/>
      </c>
      <c r="P239" s="7">
        <f>IF($Y239="","",SUMIFS('Per Line'!$X$2:$X$1001,'Per Line'!$D$2:$D$1001,$B239,'Per Line'!$AO$2:$AO$1001,0,'Per Line'!$AP$2:$AP$1001,0))</f>
        <v/>
      </c>
      <c r="Q239" s="7">
        <f>IF($Y239="","",P239*O239)</f>
        <v/>
      </c>
      <c r="R239">
        <f>IF($Y239="","",Settings!$C$6)</f>
        <v/>
      </c>
      <c r="S239" s="7">
        <f>IF($Y239="","",SUMIFS('Per Line'!$X$2:$X$1001,'Per Line'!$D$2:$D$1001,$B239,'Per Line'!$AO$2:$AO$1001,1,'Per Line'!$AP$2:$AP$1001,0))</f>
        <v/>
      </c>
      <c r="T239" s="7">
        <f>IF($Y239="","",S239*R239)</f>
        <v/>
      </c>
      <c r="U239" s="7">
        <f>IF($Y239="","",T239+Q239)</f>
        <v/>
      </c>
      <c r="V239" s="7">
        <f>IF($Y239="","",W239-U239)</f>
        <v/>
      </c>
      <c r="W239" s="7">
        <f>IF($Y239="","",P239+S239+N239)</f>
        <v/>
      </c>
      <c r="X239" s="7">
        <f>IF($Y239="","",W239-U239-J239)</f>
        <v/>
      </c>
      <c r="Y239" s="13">
        <f>IF(ROWS($Y$2:$Y239)&lt;=MAX('Per Line'!$AN$2:$AN$1001),MATCH(ROWS($Y$2:$Y239),'Per Line'!$AN$2:$AN$1001,0),"")</f>
        <v/>
      </c>
      <c r="Z239" s="14">
        <f>IF($Y239="","",J239-I239*W239/100)</f>
        <v/>
      </c>
    </row>
    <row r="240">
      <c r="A240" s="12" t="n"/>
      <c r="B240">
        <f>IF($Y240="","",INDEX('Per Line'!$D$2:$D$1001,$Y240)&amp;"")</f>
        <v/>
      </c>
      <c r="C240">
        <f>IF($Y240="","",INDEX('Per Line'!$C$2:$C$1001,$Y240)&amp;"")</f>
        <v/>
      </c>
      <c r="D240" s="11">
        <f>IF($Y240="","",INDEX('Per Line'!$F$2:$F$1001,$Y240))</f>
        <v/>
      </c>
      <c r="E240">
        <f>IF($Y240="","",INDEX('Per Line'!$G$2:$G$1001,$Y240)&amp;"")</f>
        <v/>
      </c>
      <c r="F240">
        <f>IF($Y240="","",INDEX('Per Line'!$I$2:$I$1001,$Y240)&amp;"")</f>
        <v/>
      </c>
      <c r="G240">
        <f>IF($Y240="","",INDEX('Per Line'!$J$2:$J$1001,$Y240)&amp;"")</f>
        <v/>
      </c>
      <c r="H240">
        <f>IF($Y240="","",INDEX('Per Line'!$K$2:$K$1001,$Y240)&amp;"")</f>
        <v/>
      </c>
      <c r="I240">
        <f>IF($Y240="","",INDEX('Per Line'!$O$2:$O$1001,$Y240))</f>
        <v/>
      </c>
      <c r="J240" s="7">
        <f>IF($Y240="","",IF(AND(ISNUMBER(L240),L240&gt;0,W240&gt;L240),I240*L240/100+(W240-L240),I240*W240/100))</f>
        <v/>
      </c>
      <c r="K240">
        <f>IF($Y240="","",INDEX('Per Line'!$Y$2:$Y$1001,$Y240)&amp;"")</f>
        <v/>
      </c>
      <c r="L240">
        <f>IF($Y240="","",INDEX('Per Line'!$AF$2:$AF$1001,$Y240))</f>
        <v/>
      </c>
      <c r="M240">
        <f>IF($Y240="","",IF(AND(ISNUMBER(L240),L240&gt;0),W240&gt;L240,FALSE))</f>
        <v/>
      </c>
      <c r="N240" s="7">
        <f>IF($Y240="","",SUMIFS('Per Line'!$X$2:$X$1001,'Per Line'!$D$2:$D$1001,$B240,'Per Line'!$AP$2:$AP$1001,1))</f>
        <v/>
      </c>
      <c r="O240">
        <f>IF($Y240="","",Settings!$C$7)</f>
        <v/>
      </c>
      <c r="P240" s="7">
        <f>IF($Y240="","",SUMIFS('Per Line'!$X$2:$X$1001,'Per Line'!$D$2:$D$1001,$B240,'Per Line'!$AO$2:$AO$1001,0,'Per Line'!$AP$2:$AP$1001,0))</f>
        <v/>
      </c>
      <c r="Q240" s="7">
        <f>IF($Y240="","",P240*O240)</f>
        <v/>
      </c>
      <c r="R240">
        <f>IF($Y240="","",Settings!$C$6)</f>
        <v/>
      </c>
      <c r="S240" s="7">
        <f>IF($Y240="","",SUMIFS('Per Line'!$X$2:$X$1001,'Per Line'!$D$2:$D$1001,$B240,'Per Line'!$AO$2:$AO$1001,1,'Per Line'!$AP$2:$AP$1001,0))</f>
        <v/>
      </c>
      <c r="T240" s="7">
        <f>IF($Y240="","",S240*R240)</f>
        <v/>
      </c>
      <c r="U240" s="7">
        <f>IF($Y240="","",T240+Q240)</f>
        <v/>
      </c>
      <c r="V240" s="7">
        <f>IF($Y240="","",W240-U240)</f>
        <v/>
      </c>
      <c r="W240" s="7">
        <f>IF($Y240="","",P240+S240+N240)</f>
        <v/>
      </c>
      <c r="X240" s="7">
        <f>IF($Y240="","",W240-U240-J240)</f>
        <v/>
      </c>
      <c r="Y240" s="13">
        <f>IF(ROWS($Y$2:$Y240)&lt;=MAX('Per Line'!$AN$2:$AN$1001),MATCH(ROWS($Y$2:$Y240),'Per Line'!$AN$2:$AN$1001,0),"")</f>
        <v/>
      </c>
      <c r="Z240" s="14">
        <f>IF($Y240="","",J240-I240*W240/100)</f>
        <v/>
      </c>
    </row>
    <row r="241">
      <c r="A241" s="12" t="n"/>
      <c r="B241">
        <f>IF($Y241="","",INDEX('Per Line'!$D$2:$D$1001,$Y241)&amp;"")</f>
        <v/>
      </c>
      <c r="C241">
        <f>IF($Y241="","",INDEX('Per Line'!$C$2:$C$1001,$Y241)&amp;"")</f>
        <v/>
      </c>
      <c r="D241" s="11">
        <f>IF($Y241="","",INDEX('Per Line'!$F$2:$F$1001,$Y241))</f>
        <v/>
      </c>
      <c r="E241">
        <f>IF($Y241="","",INDEX('Per Line'!$G$2:$G$1001,$Y241)&amp;"")</f>
        <v/>
      </c>
      <c r="F241">
        <f>IF($Y241="","",INDEX('Per Line'!$I$2:$I$1001,$Y241)&amp;"")</f>
        <v/>
      </c>
      <c r="G241">
        <f>IF($Y241="","",INDEX('Per Line'!$J$2:$J$1001,$Y241)&amp;"")</f>
        <v/>
      </c>
      <c r="H241">
        <f>IF($Y241="","",INDEX('Per Line'!$K$2:$K$1001,$Y241)&amp;"")</f>
        <v/>
      </c>
      <c r="I241">
        <f>IF($Y241="","",INDEX('Per Line'!$O$2:$O$1001,$Y241))</f>
        <v/>
      </c>
      <c r="J241" s="7">
        <f>IF($Y241="","",IF(AND(ISNUMBER(L241),L241&gt;0,W241&gt;L241),I241*L241/100+(W241-L241),I241*W241/100))</f>
        <v/>
      </c>
      <c r="K241">
        <f>IF($Y241="","",INDEX('Per Line'!$Y$2:$Y$1001,$Y241)&amp;"")</f>
        <v/>
      </c>
      <c r="L241">
        <f>IF($Y241="","",INDEX('Per Line'!$AF$2:$AF$1001,$Y241))</f>
        <v/>
      </c>
      <c r="M241">
        <f>IF($Y241="","",IF(AND(ISNUMBER(L241),L241&gt;0),W241&gt;L241,FALSE))</f>
        <v/>
      </c>
      <c r="N241" s="7">
        <f>IF($Y241="","",SUMIFS('Per Line'!$X$2:$X$1001,'Per Line'!$D$2:$D$1001,$B241,'Per Line'!$AP$2:$AP$1001,1))</f>
        <v/>
      </c>
      <c r="O241">
        <f>IF($Y241="","",Settings!$C$7)</f>
        <v/>
      </c>
      <c r="P241" s="7">
        <f>IF($Y241="","",SUMIFS('Per Line'!$X$2:$X$1001,'Per Line'!$D$2:$D$1001,$B241,'Per Line'!$AO$2:$AO$1001,0,'Per Line'!$AP$2:$AP$1001,0))</f>
        <v/>
      </c>
      <c r="Q241" s="7">
        <f>IF($Y241="","",P241*O241)</f>
        <v/>
      </c>
      <c r="R241">
        <f>IF($Y241="","",Settings!$C$6)</f>
        <v/>
      </c>
      <c r="S241" s="7">
        <f>IF($Y241="","",SUMIFS('Per Line'!$X$2:$X$1001,'Per Line'!$D$2:$D$1001,$B241,'Per Line'!$AO$2:$AO$1001,1,'Per Line'!$AP$2:$AP$1001,0))</f>
        <v/>
      </c>
      <c r="T241" s="7">
        <f>IF($Y241="","",S241*R241)</f>
        <v/>
      </c>
      <c r="U241" s="7">
        <f>IF($Y241="","",T241+Q241)</f>
        <v/>
      </c>
      <c r="V241" s="7">
        <f>IF($Y241="","",W241-U241)</f>
        <v/>
      </c>
      <c r="W241" s="7">
        <f>IF($Y241="","",P241+S241+N241)</f>
        <v/>
      </c>
      <c r="X241" s="7">
        <f>IF($Y241="","",W241-U241-J241)</f>
        <v/>
      </c>
      <c r="Y241" s="13">
        <f>IF(ROWS($Y$2:$Y241)&lt;=MAX('Per Line'!$AN$2:$AN$1001),MATCH(ROWS($Y$2:$Y241),'Per Line'!$AN$2:$AN$1001,0),"")</f>
        <v/>
      </c>
      <c r="Z241" s="14">
        <f>IF($Y241="","",J241-I241*W241/100)</f>
        <v/>
      </c>
    </row>
    <row r="242">
      <c r="A242" s="12" t="n"/>
      <c r="B242">
        <f>IF($Y242="","",INDEX('Per Line'!$D$2:$D$1001,$Y242)&amp;"")</f>
        <v/>
      </c>
      <c r="C242">
        <f>IF($Y242="","",INDEX('Per Line'!$C$2:$C$1001,$Y242)&amp;"")</f>
        <v/>
      </c>
      <c r="D242" s="11">
        <f>IF($Y242="","",INDEX('Per Line'!$F$2:$F$1001,$Y242))</f>
        <v/>
      </c>
      <c r="E242">
        <f>IF($Y242="","",INDEX('Per Line'!$G$2:$G$1001,$Y242)&amp;"")</f>
        <v/>
      </c>
      <c r="F242">
        <f>IF($Y242="","",INDEX('Per Line'!$I$2:$I$1001,$Y242)&amp;"")</f>
        <v/>
      </c>
      <c r="G242">
        <f>IF($Y242="","",INDEX('Per Line'!$J$2:$J$1001,$Y242)&amp;"")</f>
        <v/>
      </c>
      <c r="H242">
        <f>IF($Y242="","",INDEX('Per Line'!$K$2:$K$1001,$Y242)&amp;"")</f>
        <v/>
      </c>
      <c r="I242">
        <f>IF($Y242="","",INDEX('Per Line'!$O$2:$O$1001,$Y242))</f>
        <v/>
      </c>
      <c r="J242" s="7">
        <f>IF($Y242="","",IF(AND(ISNUMBER(L242),L242&gt;0,W242&gt;L242),I242*L242/100+(W242-L242),I242*W242/100))</f>
        <v/>
      </c>
      <c r="K242">
        <f>IF($Y242="","",INDEX('Per Line'!$Y$2:$Y$1001,$Y242)&amp;"")</f>
        <v/>
      </c>
      <c r="L242">
        <f>IF($Y242="","",INDEX('Per Line'!$AF$2:$AF$1001,$Y242))</f>
        <v/>
      </c>
      <c r="M242">
        <f>IF($Y242="","",IF(AND(ISNUMBER(L242),L242&gt;0),W242&gt;L242,FALSE))</f>
        <v/>
      </c>
      <c r="N242" s="7">
        <f>IF($Y242="","",SUMIFS('Per Line'!$X$2:$X$1001,'Per Line'!$D$2:$D$1001,$B242,'Per Line'!$AP$2:$AP$1001,1))</f>
        <v/>
      </c>
      <c r="O242">
        <f>IF($Y242="","",Settings!$C$7)</f>
        <v/>
      </c>
      <c r="P242" s="7">
        <f>IF($Y242="","",SUMIFS('Per Line'!$X$2:$X$1001,'Per Line'!$D$2:$D$1001,$B242,'Per Line'!$AO$2:$AO$1001,0,'Per Line'!$AP$2:$AP$1001,0))</f>
        <v/>
      </c>
      <c r="Q242" s="7">
        <f>IF($Y242="","",P242*O242)</f>
        <v/>
      </c>
      <c r="R242">
        <f>IF($Y242="","",Settings!$C$6)</f>
        <v/>
      </c>
      <c r="S242" s="7">
        <f>IF($Y242="","",SUMIFS('Per Line'!$X$2:$X$1001,'Per Line'!$D$2:$D$1001,$B242,'Per Line'!$AO$2:$AO$1001,1,'Per Line'!$AP$2:$AP$1001,0))</f>
        <v/>
      </c>
      <c r="T242" s="7">
        <f>IF($Y242="","",S242*R242)</f>
        <v/>
      </c>
      <c r="U242" s="7">
        <f>IF($Y242="","",T242+Q242)</f>
        <v/>
      </c>
      <c r="V242" s="7">
        <f>IF($Y242="","",W242-U242)</f>
        <v/>
      </c>
      <c r="W242" s="7">
        <f>IF($Y242="","",P242+S242+N242)</f>
        <v/>
      </c>
      <c r="X242" s="7">
        <f>IF($Y242="","",W242-U242-J242)</f>
        <v/>
      </c>
      <c r="Y242" s="13">
        <f>IF(ROWS($Y$2:$Y242)&lt;=MAX('Per Line'!$AN$2:$AN$1001),MATCH(ROWS($Y$2:$Y242),'Per Line'!$AN$2:$AN$1001,0),"")</f>
        <v/>
      </c>
      <c r="Z242" s="14">
        <f>IF($Y242="","",J242-I242*W242/100)</f>
        <v/>
      </c>
    </row>
    <row r="243">
      <c r="A243" s="12" t="n"/>
      <c r="B243">
        <f>IF($Y243="","",INDEX('Per Line'!$D$2:$D$1001,$Y243)&amp;"")</f>
        <v/>
      </c>
      <c r="C243">
        <f>IF($Y243="","",INDEX('Per Line'!$C$2:$C$1001,$Y243)&amp;"")</f>
        <v/>
      </c>
      <c r="D243" s="11">
        <f>IF($Y243="","",INDEX('Per Line'!$F$2:$F$1001,$Y243))</f>
        <v/>
      </c>
      <c r="E243">
        <f>IF($Y243="","",INDEX('Per Line'!$G$2:$G$1001,$Y243)&amp;"")</f>
        <v/>
      </c>
      <c r="F243">
        <f>IF($Y243="","",INDEX('Per Line'!$I$2:$I$1001,$Y243)&amp;"")</f>
        <v/>
      </c>
      <c r="G243">
        <f>IF($Y243="","",INDEX('Per Line'!$J$2:$J$1001,$Y243)&amp;"")</f>
        <v/>
      </c>
      <c r="H243">
        <f>IF($Y243="","",INDEX('Per Line'!$K$2:$K$1001,$Y243)&amp;"")</f>
        <v/>
      </c>
      <c r="I243">
        <f>IF($Y243="","",INDEX('Per Line'!$O$2:$O$1001,$Y243))</f>
        <v/>
      </c>
      <c r="J243" s="7">
        <f>IF($Y243="","",IF(AND(ISNUMBER(L243),L243&gt;0,W243&gt;L243),I243*L243/100+(W243-L243),I243*W243/100))</f>
        <v/>
      </c>
      <c r="K243">
        <f>IF($Y243="","",INDEX('Per Line'!$Y$2:$Y$1001,$Y243)&amp;"")</f>
        <v/>
      </c>
      <c r="L243">
        <f>IF($Y243="","",INDEX('Per Line'!$AF$2:$AF$1001,$Y243))</f>
        <v/>
      </c>
      <c r="M243">
        <f>IF($Y243="","",IF(AND(ISNUMBER(L243),L243&gt;0),W243&gt;L243,FALSE))</f>
        <v/>
      </c>
      <c r="N243" s="7">
        <f>IF($Y243="","",SUMIFS('Per Line'!$X$2:$X$1001,'Per Line'!$D$2:$D$1001,$B243,'Per Line'!$AP$2:$AP$1001,1))</f>
        <v/>
      </c>
      <c r="O243">
        <f>IF($Y243="","",Settings!$C$7)</f>
        <v/>
      </c>
      <c r="P243" s="7">
        <f>IF($Y243="","",SUMIFS('Per Line'!$X$2:$X$1001,'Per Line'!$D$2:$D$1001,$B243,'Per Line'!$AO$2:$AO$1001,0,'Per Line'!$AP$2:$AP$1001,0))</f>
        <v/>
      </c>
      <c r="Q243" s="7">
        <f>IF($Y243="","",P243*O243)</f>
        <v/>
      </c>
      <c r="R243">
        <f>IF($Y243="","",Settings!$C$6)</f>
        <v/>
      </c>
      <c r="S243" s="7">
        <f>IF($Y243="","",SUMIFS('Per Line'!$X$2:$X$1001,'Per Line'!$D$2:$D$1001,$B243,'Per Line'!$AO$2:$AO$1001,1,'Per Line'!$AP$2:$AP$1001,0))</f>
        <v/>
      </c>
      <c r="T243" s="7">
        <f>IF($Y243="","",S243*R243)</f>
        <v/>
      </c>
      <c r="U243" s="7">
        <f>IF($Y243="","",T243+Q243)</f>
        <v/>
      </c>
      <c r="V243" s="7">
        <f>IF($Y243="","",W243-U243)</f>
        <v/>
      </c>
      <c r="W243" s="7">
        <f>IF($Y243="","",P243+S243+N243)</f>
        <v/>
      </c>
      <c r="X243" s="7">
        <f>IF($Y243="","",W243-U243-J243)</f>
        <v/>
      </c>
      <c r="Y243" s="13">
        <f>IF(ROWS($Y$2:$Y243)&lt;=MAX('Per Line'!$AN$2:$AN$1001),MATCH(ROWS($Y$2:$Y243),'Per Line'!$AN$2:$AN$1001,0),"")</f>
        <v/>
      </c>
      <c r="Z243" s="14">
        <f>IF($Y243="","",J243-I243*W243/100)</f>
        <v/>
      </c>
    </row>
    <row r="244">
      <c r="A244" s="12" t="n"/>
      <c r="B244">
        <f>IF($Y244="","",INDEX('Per Line'!$D$2:$D$1001,$Y244)&amp;"")</f>
        <v/>
      </c>
      <c r="C244">
        <f>IF($Y244="","",INDEX('Per Line'!$C$2:$C$1001,$Y244)&amp;"")</f>
        <v/>
      </c>
      <c r="D244" s="11">
        <f>IF($Y244="","",INDEX('Per Line'!$F$2:$F$1001,$Y244))</f>
        <v/>
      </c>
      <c r="E244">
        <f>IF($Y244="","",INDEX('Per Line'!$G$2:$G$1001,$Y244)&amp;"")</f>
        <v/>
      </c>
      <c r="F244">
        <f>IF($Y244="","",INDEX('Per Line'!$I$2:$I$1001,$Y244)&amp;"")</f>
        <v/>
      </c>
      <c r="G244">
        <f>IF($Y244="","",INDEX('Per Line'!$J$2:$J$1001,$Y244)&amp;"")</f>
        <v/>
      </c>
      <c r="H244">
        <f>IF($Y244="","",INDEX('Per Line'!$K$2:$K$1001,$Y244)&amp;"")</f>
        <v/>
      </c>
      <c r="I244">
        <f>IF($Y244="","",INDEX('Per Line'!$O$2:$O$1001,$Y244))</f>
        <v/>
      </c>
      <c r="J244" s="7">
        <f>IF($Y244="","",IF(AND(ISNUMBER(L244),L244&gt;0,W244&gt;L244),I244*L244/100+(W244-L244),I244*W244/100))</f>
        <v/>
      </c>
      <c r="K244">
        <f>IF($Y244="","",INDEX('Per Line'!$Y$2:$Y$1001,$Y244)&amp;"")</f>
        <v/>
      </c>
      <c r="L244">
        <f>IF($Y244="","",INDEX('Per Line'!$AF$2:$AF$1001,$Y244))</f>
        <v/>
      </c>
      <c r="M244">
        <f>IF($Y244="","",IF(AND(ISNUMBER(L244),L244&gt;0),W244&gt;L244,FALSE))</f>
        <v/>
      </c>
      <c r="N244" s="7">
        <f>IF($Y244="","",SUMIFS('Per Line'!$X$2:$X$1001,'Per Line'!$D$2:$D$1001,$B244,'Per Line'!$AP$2:$AP$1001,1))</f>
        <v/>
      </c>
      <c r="O244">
        <f>IF($Y244="","",Settings!$C$7)</f>
        <v/>
      </c>
      <c r="P244" s="7">
        <f>IF($Y244="","",SUMIFS('Per Line'!$X$2:$X$1001,'Per Line'!$D$2:$D$1001,$B244,'Per Line'!$AO$2:$AO$1001,0,'Per Line'!$AP$2:$AP$1001,0))</f>
        <v/>
      </c>
      <c r="Q244" s="7">
        <f>IF($Y244="","",P244*O244)</f>
        <v/>
      </c>
      <c r="R244">
        <f>IF($Y244="","",Settings!$C$6)</f>
        <v/>
      </c>
      <c r="S244" s="7">
        <f>IF($Y244="","",SUMIFS('Per Line'!$X$2:$X$1001,'Per Line'!$D$2:$D$1001,$B244,'Per Line'!$AO$2:$AO$1001,1,'Per Line'!$AP$2:$AP$1001,0))</f>
        <v/>
      </c>
      <c r="T244" s="7">
        <f>IF($Y244="","",S244*R244)</f>
        <v/>
      </c>
      <c r="U244" s="7">
        <f>IF($Y244="","",T244+Q244)</f>
        <v/>
      </c>
      <c r="V244" s="7">
        <f>IF($Y244="","",W244-U244)</f>
        <v/>
      </c>
      <c r="W244" s="7">
        <f>IF($Y244="","",P244+S244+N244)</f>
        <v/>
      </c>
      <c r="X244" s="7">
        <f>IF($Y244="","",W244-U244-J244)</f>
        <v/>
      </c>
      <c r="Y244" s="13">
        <f>IF(ROWS($Y$2:$Y244)&lt;=MAX('Per Line'!$AN$2:$AN$1001),MATCH(ROWS($Y$2:$Y244),'Per Line'!$AN$2:$AN$1001,0),"")</f>
        <v/>
      </c>
      <c r="Z244" s="14">
        <f>IF($Y244="","",J244-I244*W244/100)</f>
        <v/>
      </c>
    </row>
    <row r="245">
      <c r="A245" s="12" t="n"/>
      <c r="B245">
        <f>IF($Y245="","",INDEX('Per Line'!$D$2:$D$1001,$Y245)&amp;"")</f>
        <v/>
      </c>
      <c r="C245">
        <f>IF($Y245="","",INDEX('Per Line'!$C$2:$C$1001,$Y245)&amp;"")</f>
        <v/>
      </c>
      <c r="D245" s="11">
        <f>IF($Y245="","",INDEX('Per Line'!$F$2:$F$1001,$Y245))</f>
        <v/>
      </c>
      <c r="E245">
        <f>IF($Y245="","",INDEX('Per Line'!$G$2:$G$1001,$Y245)&amp;"")</f>
        <v/>
      </c>
      <c r="F245">
        <f>IF($Y245="","",INDEX('Per Line'!$I$2:$I$1001,$Y245)&amp;"")</f>
        <v/>
      </c>
      <c r="G245">
        <f>IF($Y245="","",INDEX('Per Line'!$J$2:$J$1001,$Y245)&amp;"")</f>
        <v/>
      </c>
      <c r="H245">
        <f>IF($Y245="","",INDEX('Per Line'!$K$2:$K$1001,$Y245)&amp;"")</f>
        <v/>
      </c>
      <c r="I245">
        <f>IF($Y245="","",INDEX('Per Line'!$O$2:$O$1001,$Y245))</f>
        <v/>
      </c>
      <c r="J245" s="7">
        <f>IF($Y245="","",IF(AND(ISNUMBER(L245),L245&gt;0,W245&gt;L245),I245*L245/100+(W245-L245),I245*W245/100))</f>
        <v/>
      </c>
      <c r="K245">
        <f>IF($Y245="","",INDEX('Per Line'!$Y$2:$Y$1001,$Y245)&amp;"")</f>
        <v/>
      </c>
      <c r="L245">
        <f>IF($Y245="","",INDEX('Per Line'!$AF$2:$AF$1001,$Y245))</f>
        <v/>
      </c>
      <c r="M245">
        <f>IF($Y245="","",IF(AND(ISNUMBER(L245),L245&gt;0),W245&gt;L245,FALSE))</f>
        <v/>
      </c>
      <c r="N245" s="7">
        <f>IF($Y245="","",SUMIFS('Per Line'!$X$2:$X$1001,'Per Line'!$D$2:$D$1001,$B245,'Per Line'!$AP$2:$AP$1001,1))</f>
        <v/>
      </c>
      <c r="O245">
        <f>IF($Y245="","",Settings!$C$7)</f>
        <v/>
      </c>
      <c r="P245" s="7">
        <f>IF($Y245="","",SUMIFS('Per Line'!$X$2:$X$1001,'Per Line'!$D$2:$D$1001,$B245,'Per Line'!$AO$2:$AO$1001,0,'Per Line'!$AP$2:$AP$1001,0))</f>
        <v/>
      </c>
      <c r="Q245" s="7">
        <f>IF($Y245="","",P245*O245)</f>
        <v/>
      </c>
      <c r="R245">
        <f>IF($Y245="","",Settings!$C$6)</f>
        <v/>
      </c>
      <c r="S245" s="7">
        <f>IF($Y245="","",SUMIFS('Per Line'!$X$2:$X$1001,'Per Line'!$D$2:$D$1001,$B245,'Per Line'!$AO$2:$AO$1001,1,'Per Line'!$AP$2:$AP$1001,0))</f>
        <v/>
      </c>
      <c r="T245" s="7">
        <f>IF($Y245="","",S245*R245)</f>
        <v/>
      </c>
      <c r="U245" s="7">
        <f>IF($Y245="","",T245+Q245)</f>
        <v/>
      </c>
      <c r="V245" s="7">
        <f>IF($Y245="","",W245-U245)</f>
        <v/>
      </c>
      <c r="W245" s="7">
        <f>IF($Y245="","",P245+S245+N245)</f>
        <v/>
      </c>
      <c r="X245" s="7">
        <f>IF($Y245="","",W245-U245-J245)</f>
        <v/>
      </c>
      <c r="Y245" s="13">
        <f>IF(ROWS($Y$2:$Y245)&lt;=MAX('Per Line'!$AN$2:$AN$1001),MATCH(ROWS($Y$2:$Y245),'Per Line'!$AN$2:$AN$1001,0),"")</f>
        <v/>
      </c>
      <c r="Z245" s="14">
        <f>IF($Y245="","",J245-I245*W245/100)</f>
        <v/>
      </c>
    </row>
    <row r="246">
      <c r="A246" s="12" t="n"/>
      <c r="B246">
        <f>IF($Y246="","",INDEX('Per Line'!$D$2:$D$1001,$Y246)&amp;"")</f>
        <v/>
      </c>
      <c r="C246">
        <f>IF($Y246="","",INDEX('Per Line'!$C$2:$C$1001,$Y246)&amp;"")</f>
        <v/>
      </c>
      <c r="D246" s="11">
        <f>IF($Y246="","",INDEX('Per Line'!$F$2:$F$1001,$Y246))</f>
        <v/>
      </c>
      <c r="E246">
        <f>IF($Y246="","",INDEX('Per Line'!$G$2:$G$1001,$Y246)&amp;"")</f>
        <v/>
      </c>
      <c r="F246">
        <f>IF($Y246="","",INDEX('Per Line'!$I$2:$I$1001,$Y246)&amp;"")</f>
        <v/>
      </c>
      <c r="G246">
        <f>IF($Y246="","",INDEX('Per Line'!$J$2:$J$1001,$Y246)&amp;"")</f>
        <v/>
      </c>
      <c r="H246">
        <f>IF($Y246="","",INDEX('Per Line'!$K$2:$K$1001,$Y246)&amp;"")</f>
        <v/>
      </c>
      <c r="I246">
        <f>IF($Y246="","",INDEX('Per Line'!$O$2:$O$1001,$Y246))</f>
        <v/>
      </c>
      <c r="J246" s="7">
        <f>IF($Y246="","",IF(AND(ISNUMBER(L246),L246&gt;0,W246&gt;L246),I246*L246/100+(W246-L246),I246*W246/100))</f>
        <v/>
      </c>
      <c r="K246">
        <f>IF($Y246="","",INDEX('Per Line'!$Y$2:$Y$1001,$Y246)&amp;"")</f>
        <v/>
      </c>
      <c r="L246">
        <f>IF($Y246="","",INDEX('Per Line'!$AF$2:$AF$1001,$Y246))</f>
        <v/>
      </c>
      <c r="M246">
        <f>IF($Y246="","",IF(AND(ISNUMBER(L246),L246&gt;0),W246&gt;L246,FALSE))</f>
        <v/>
      </c>
      <c r="N246" s="7">
        <f>IF($Y246="","",SUMIFS('Per Line'!$X$2:$X$1001,'Per Line'!$D$2:$D$1001,$B246,'Per Line'!$AP$2:$AP$1001,1))</f>
        <v/>
      </c>
      <c r="O246">
        <f>IF($Y246="","",Settings!$C$7)</f>
        <v/>
      </c>
      <c r="P246" s="7">
        <f>IF($Y246="","",SUMIFS('Per Line'!$X$2:$X$1001,'Per Line'!$D$2:$D$1001,$B246,'Per Line'!$AO$2:$AO$1001,0,'Per Line'!$AP$2:$AP$1001,0))</f>
        <v/>
      </c>
      <c r="Q246" s="7">
        <f>IF($Y246="","",P246*O246)</f>
        <v/>
      </c>
      <c r="R246">
        <f>IF($Y246="","",Settings!$C$6)</f>
        <v/>
      </c>
      <c r="S246" s="7">
        <f>IF($Y246="","",SUMIFS('Per Line'!$X$2:$X$1001,'Per Line'!$D$2:$D$1001,$B246,'Per Line'!$AO$2:$AO$1001,1,'Per Line'!$AP$2:$AP$1001,0))</f>
        <v/>
      </c>
      <c r="T246" s="7">
        <f>IF($Y246="","",S246*R246)</f>
        <v/>
      </c>
      <c r="U246" s="7">
        <f>IF($Y246="","",T246+Q246)</f>
        <v/>
      </c>
      <c r="V246" s="7">
        <f>IF($Y246="","",W246-U246)</f>
        <v/>
      </c>
      <c r="W246" s="7">
        <f>IF($Y246="","",P246+S246+N246)</f>
        <v/>
      </c>
      <c r="X246" s="7">
        <f>IF($Y246="","",W246-U246-J246)</f>
        <v/>
      </c>
      <c r="Y246" s="13">
        <f>IF(ROWS($Y$2:$Y246)&lt;=MAX('Per Line'!$AN$2:$AN$1001),MATCH(ROWS($Y$2:$Y246),'Per Line'!$AN$2:$AN$1001,0),"")</f>
        <v/>
      </c>
      <c r="Z246" s="14">
        <f>IF($Y246="","",J246-I246*W246/100)</f>
        <v/>
      </c>
    </row>
    <row r="247">
      <c r="A247" s="12" t="n"/>
      <c r="B247">
        <f>IF($Y247="","",INDEX('Per Line'!$D$2:$D$1001,$Y247)&amp;"")</f>
        <v/>
      </c>
      <c r="C247">
        <f>IF($Y247="","",INDEX('Per Line'!$C$2:$C$1001,$Y247)&amp;"")</f>
        <v/>
      </c>
      <c r="D247" s="11">
        <f>IF($Y247="","",INDEX('Per Line'!$F$2:$F$1001,$Y247))</f>
        <v/>
      </c>
      <c r="E247">
        <f>IF($Y247="","",INDEX('Per Line'!$G$2:$G$1001,$Y247)&amp;"")</f>
        <v/>
      </c>
      <c r="F247">
        <f>IF($Y247="","",INDEX('Per Line'!$I$2:$I$1001,$Y247)&amp;"")</f>
        <v/>
      </c>
      <c r="G247">
        <f>IF($Y247="","",INDEX('Per Line'!$J$2:$J$1001,$Y247)&amp;"")</f>
        <v/>
      </c>
      <c r="H247">
        <f>IF($Y247="","",INDEX('Per Line'!$K$2:$K$1001,$Y247)&amp;"")</f>
        <v/>
      </c>
      <c r="I247">
        <f>IF($Y247="","",INDEX('Per Line'!$O$2:$O$1001,$Y247))</f>
        <v/>
      </c>
      <c r="J247" s="7">
        <f>IF($Y247="","",IF(AND(ISNUMBER(L247),L247&gt;0,W247&gt;L247),I247*L247/100+(W247-L247),I247*W247/100))</f>
        <v/>
      </c>
      <c r="K247">
        <f>IF($Y247="","",INDEX('Per Line'!$Y$2:$Y$1001,$Y247)&amp;"")</f>
        <v/>
      </c>
      <c r="L247">
        <f>IF($Y247="","",INDEX('Per Line'!$AF$2:$AF$1001,$Y247))</f>
        <v/>
      </c>
      <c r="M247">
        <f>IF($Y247="","",IF(AND(ISNUMBER(L247),L247&gt;0),W247&gt;L247,FALSE))</f>
        <v/>
      </c>
      <c r="N247" s="7">
        <f>IF($Y247="","",SUMIFS('Per Line'!$X$2:$X$1001,'Per Line'!$D$2:$D$1001,$B247,'Per Line'!$AP$2:$AP$1001,1))</f>
        <v/>
      </c>
      <c r="O247">
        <f>IF($Y247="","",Settings!$C$7)</f>
        <v/>
      </c>
      <c r="P247" s="7">
        <f>IF($Y247="","",SUMIFS('Per Line'!$X$2:$X$1001,'Per Line'!$D$2:$D$1001,$B247,'Per Line'!$AO$2:$AO$1001,0,'Per Line'!$AP$2:$AP$1001,0))</f>
        <v/>
      </c>
      <c r="Q247" s="7">
        <f>IF($Y247="","",P247*O247)</f>
        <v/>
      </c>
      <c r="R247">
        <f>IF($Y247="","",Settings!$C$6)</f>
        <v/>
      </c>
      <c r="S247" s="7">
        <f>IF($Y247="","",SUMIFS('Per Line'!$X$2:$X$1001,'Per Line'!$D$2:$D$1001,$B247,'Per Line'!$AO$2:$AO$1001,1,'Per Line'!$AP$2:$AP$1001,0))</f>
        <v/>
      </c>
      <c r="T247" s="7">
        <f>IF($Y247="","",S247*R247)</f>
        <v/>
      </c>
      <c r="U247" s="7">
        <f>IF($Y247="","",T247+Q247)</f>
        <v/>
      </c>
      <c r="V247" s="7">
        <f>IF($Y247="","",W247-U247)</f>
        <v/>
      </c>
      <c r="W247" s="7">
        <f>IF($Y247="","",P247+S247+N247)</f>
        <v/>
      </c>
      <c r="X247" s="7">
        <f>IF($Y247="","",W247-U247-J247)</f>
        <v/>
      </c>
      <c r="Y247" s="13">
        <f>IF(ROWS($Y$2:$Y247)&lt;=MAX('Per Line'!$AN$2:$AN$1001),MATCH(ROWS($Y$2:$Y247),'Per Line'!$AN$2:$AN$1001,0),"")</f>
        <v/>
      </c>
      <c r="Z247" s="14">
        <f>IF($Y247="","",J247-I247*W247/100)</f>
        <v/>
      </c>
    </row>
    <row r="248">
      <c r="A248" s="12" t="n"/>
      <c r="B248">
        <f>IF($Y248="","",INDEX('Per Line'!$D$2:$D$1001,$Y248)&amp;"")</f>
        <v/>
      </c>
      <c r="C248">
        <f>IF($Y248="","",INDEX('Per Line'!$C$2:$C$1001,$Y248)&amp;"")</f>
        <v/>
      </c>
      <c r="D248" s="11">
        <f>IF($Y248="","",INDEX('Per Line'!$F$2:$F$1001,$Y248))</f>
        <v/>
      </c>
      <c r="E248">
        <f>IF($Y248="","",INDEX('Per Line'!$G$2:$G$1001,$Y248)&amp;"")</f>
        <v/>
      </c>
      <c r="F248">
        <f>IF($Y248="","",INDEX('Per Line'!$I$2:$I$1001,$Y248)&amp;"")</f>
        <v/>
      </c>
      <c r="G248">
        <f>IF($Y248="","",INDEX('Per Line'!$J$2:$J$1001,$Y248)&amp;"")</f>
        <v/>
      </c>
      <c r="H248">
        <f>IF($Y248="","",INDEX('Per Line'!$K$2:$K$1001,$Y248)&amp;"")</f>
        <v/>
      </c>
      <c r="I248">
        <f>IF($Y248="","",INDEX('Per Line'!$O$2:$O$1001,$Y248))</f>
        <v/>
      </c>
      <c r="J248" s="7">
        <f>IF($Y248="","",IF(AND(ISNUMBER(L248),L248&gt;0,W248&gt;L248),I248*L248/100+(W248-L248),I248*W248/100))</f>
        <v/>
      </c>
      <c r="K248">
        <f>IF($Y248="","",INDEX('Per Line'!$Y$2:$Y$1001,$Y248)&amp;"")</f>
        <v/>
      </c>
      <c r="L248">
        <f>IF($Y248="","",INDEX('Per Line'!$AF$2:$AF$1001,$Y248))</f>
        <v/>
      </c>
      <c r="M248">
        <f>IF($Y248="","",IF(AND(ISNUMBER(L248),L248&gt;0),W248&gt;L248,FALSE))</f>
        <v/>
      </c>
      <c r="N248" s="7">
        <f>IF($Y248="","",SUMIFS('Per Line'!$X$2:$X$1001,'Per Line'!$D$2:$D$1001,$B248,'Per Line'!$AP$2:$AP$1001,1))</f>
        <v/>
      </c>
      <c r="O248">
        <f>IF($Y248="","",Settings!$C$7)</f>
        <v/>
      </c>
      <c r="P248" s="7">
        <f>IF($Y248="","",SUMIFS('Per Line'!$X$2:$X$1001,'Per Line'!$D$2:$D$1001,$B248,'Per Line'!$AO$2:$AO$1001,0,'Per Line'!$AP$2:$AP$1001,0))</f>
        <v/>
      </c>
      <c r="Q248" s="7">
        <f>IF($Y248="","",P248*O248)</f>
        <v/>
      </c>
      <c r="R248">
        <f>IF($Y248="","",Settings!$C$6)</f>
        <v/>
      </c>
      <c r="S248" s="7">
        <f>IF($Y248="","",SUMIFS('Per Line'!$X$2:$X$1001,'Per Line'!$D$2:$D$1001,$B248,'Per Line'!$AO$2:$AO$1001,1,'Per Line'!$AP$2:$AP$1001,0))</f>
        <v/>
      </c>
      <c r="T248" s="7">
        <f>IF($Y248="","",S248*R248)</f>
        <v/>
      </c>
      <c r="U248" s="7">
        <f>IF($Y248="","",T248+Q248)</f>
        <v/>
      </c>
      <c r="V248" s="7">
        <f>IF($Y248="","",W248-U248)</f>
        <v/>
      </c>
      <c r="W248" s="7">
        <f>IF($Y248="","",P248+S248+N248)</f>
        <v/>
      </c>
      <c r="X248" s="7">
        <f>IF($Y248="","",W248-U248-J248)</f>
        <v/>
      </c>
      <c r="Y248" s="13">
        <f>IF(ROWS($Y$2:$Y248)&lt;=MAX('Per Line'!$AN$2:$AN$1001),MATCH(ROWS($Y$2:$Y248),'Per Line'!$AN$2:$AN$1001,0),"")</f>
        <v/>
      </c>
      <c r="Z248" s="14">
        <f>IF($Y248="","",J248-I248*W248/100)</f>
        <v/>
      </c>
    </row>
    <row r="249">
      <c r="A249" s="12" t="n"/>
      <c r="B249">
        <f>IF($Y249="","",INDEX('Per Line'!$D$2:$D$1001,$Y249)&amp;"")</f>
        <v/>
      </c>
      <c r="C249">
        <f>IF($Y249="","",INDEX('Per Line'!$C$2:$C$1001,$Y249)&amp;"")</f>
        <v/>
      </c>
      <c r="D249" s="11">
        <f>IF($Y249="","",INDEX('Per Line'!$F$2:$F$1001,$Y249))</f>
        <v/>
      </c>
      <c r="E249">
        <f>IF($Y249="","",INDEX('Per Line'!$G$2:$G$1001,$Y249)&amp;"")</f>
        <v/>
      </c>
      <c r="F249">
        <f>IF($Y249="","",INDEX('Per Line'!$I$2:$I$1001,$Y249)&amp;"")</f>
        <v/>
      </c>
      <c r="G249">
        <f>IF($Y249="","",INDEX('Per Line'!$J$2:$J$1001,$Y249)&amp;"")</f>
        <v/>
      </c>
      <c r="H249">
        <f>IF($Y249="","",INDEX('Per Line'!$K$2:$K$1001,$Y249)&amp;"")</f>
        <v/>
      </c>
      <c r="I249">
        <f>IF($Y249="","",INDEX('Per Line'!$O$2:$O$1001,$Y249))</f>
        <v/>
      </c>
      <c r="J249" s="7">
        <f>IF($Y249="","",IF(AND(ISNUMBER(L249),L249&gt;0,W249&gt;L249),I249*L249/100+(W249-L249),I249*W249/100))</f>
        <v/>
      </c>
      <c r="K249">
        <f>IF($Y249="","",INDEX('Per Line'!$Y$2:$Y$1001,$Y249)&amp;"")</f>
        <v/>
      </c>
      <c r="L249">
        <f>IF($Y249="","",INDEX('Per Line'!$AF$2:$AF$1001,$Y249))</f>
        <v/>
      </c>
      <c r="M249">
        <f>IF($Y249="","",IF(AND(ISNUMBER(L249),L249&gt;0),W249&gt;L249,FALSE))</f>
        <v/>
      </c>
      <c r="N249" s="7">
        <f>IF($Y249="","",SUMIFS('Per Line'!$X$2:$X$1001,'Per Line'!$D$2:$D$1001,$B249,'Per Line'!$AP$2:$AP$1001,1))</f>
        <v/>
      </c>
      <c r="O249">
        <f>IF($Y249="","",Settings!$C$7)</f>
        <v/>
      </c>
      <c r="P249" s="7">
        <f>IF($Y249="","",SUMIFS('Per Line'!$X$2:$X$1001,'Per Line'!$D$2:$D$1001,$B249,'Per Line'!$AO$2:$AO$1001,0,'Per Line'!$AP$2:$AP$1001,0))</f>
        <v/>
      </c>
      <c r="Q249" s="7">
        <f>IF($Y249="","",P249*O249)</f>
        <v/>
      </c>
      <c r="R249">
        <f>IF($Y249="","",Settings!$C$6)</f>
        <v/>
      </c>
      <c r="S249" s="7">
        <f>IF($Y249="","",SUMIFS('Per Line'!$X$2:$X$1001,'Per Line'!$D$2:$D$1001,$B249,'Per Line'!$AO$2:$AO$1001,1,'Per Line'!$AP$2:$AP$1001,0))</f>
        <v/>
      </c>
      <c r="T249" s="7">
        <f>IF($Y249="","",S249*R249)</f>
        <v/>
      </c>
      <c r="U249" s="7">
        <f>IF($Y249="","",T249+Q249)</f>
        <v/>
      </c>
      <c r="V249" s="7">
        <f>IF($Y249="","",W249-U249)</f>
        <v/>
      </c>
      <c r="W249" s="7">
        <f>IF($Y249="","",P249+S249+N249)</f>
        <v/>
      </c>
      <c r="X249" s="7">
        <f>IF($Y249="","",W249-U249-J249)</f>
        <v/>
      </c>
      <c r="Y249" s="13">
        <f>IF(ROWS($Y$2:$Y249)&lt;=MAX('Per Line'!$AN$2:$AN$1001),MATCH(ROWS($Y$2:$Y249),'Per Line'!$AN$2:$AN$1001,0),"")</f>
        <v/>
      </c>
      <c r="Z249" s="14">
        <f>IF($Y249="","",J249-I249*W249/100)</f>
        <v/>
      </c>
    </row>
    <row r="250">
      <c r="A250" s="12" t="n"/>
      <c r="B250">
        <f>IF($Y250="","",INDEX('Per Line'!$D$2:$D$1001,$Y250)&amp;"")</f>
        <v/>
      </c>
      <c r="C250">
        <f>IF($Y250="","",INDEX('Per Line'!$C$2:$C$1001,$Y250)&amp;"")</f>
        <v/>
      </c>
      <c r="D250" s="11">
        <f>IF($Y250="","",INDEX('Per Line'!$F$2:$F$1001,$Y250))</f>
        <v/>
      </c>
      <c r="E250">
        <f>IF($Y250="","",INDEX('Per Line'!$G$2:$G$1001,$Y250)&amp;"")</f>
        <v/>
      </c>
      <c r="F250">
        <f>IF($Y250="","",INDEX('Per Line'!$I$2:$I$1001,$Y250)&amp;"")</f>
        <v/>
      </c>
      <c r="G250">
        <f>IF($Y250="","",INDEX('Per Line'!$J$2:$J$1001,$Y250)&amp;"")</f>
        <v/>
      </c>
      <c r="H250">
        <f>IF($Y250="","",INDEX('Per Line'!$K$2:$K$1001,$Y250)&amp;"")</f>
        <v/>
      </c>
      <c r="I250">
        <f>IF($Y250="","",INDEX('Per Line'!$O$2:$O$1001,$Y250))</f>
        <v/>
      </c>
      <c r="J250" s="7">
        <f>IF($Y250="","",IF(AND(ISNUMBER(L250),L250&gt;0,W250&gt;L250),I250*L250/100+(W250-L250),I250*W250/100))</f>
        <v/>
      </c>
      <c r="K250">
        <f>IF($Y250="","",INDEX('Per Line'!$Y$2:$Y$1001,$Y250)&amp;"")</f>
        <v/>
      </c>
      <c r="L250">
        <f>IF($Y250="","",INDEX('Per Line'!$AF$2:$AF$1001,$Y250))</f>
        <v/>
      </c>
      <c r="M250">
        <f>IF($Y250="","",IF(AND(ISNUMBER(L250),L250&gt;0),W250&gt;L250,FALSE))</f>
        <v/>
      </c>
      <c r="N250" s="7">
        <f>IF($Y250="","",SUMIFS('Per Line'!$X$2:$X$1001,'Per Line'!$D$2:$D$1001,$B250,'Per Line'!$AP$2:$AP$1001,1))</f>
        <v/>
      </c>
      <c r="O250">
        <f>IF($Y250="","",Settings!$C$7)</f>
        <v/>
      </c>
      <c r="P250" s="7">
        <f>IF($Y250="","",SUMIFS('Per Line'!$X$2:$X$1001,'Per Line'!$D$2:$D$1001,$B250,'Per Line'!$AO$2:$AO$1001,0,'Per Line'!$AP$2:$AP$1001,0))</f>
        <v/>
      </c>
      <c r="Q250" s="7">
        <f>IF($Y250="","",P250*O250)</f>
        <v/>
      </c>
      <c r="R250">
        <f>IF($Y250="","",Settings!$C$6)</f>
        <v/>
      </c>
      <c r="S250" s="7">
        <f>IF($Y250="","",SUMIFS('Per Line'!$X$2:$X$1001,'Per Line'!$D$2:$D$1001,$B250,'Per Line'!$AO$2:$AO$1001,1,'Per Line'!$AP$2:$AP$1001,0))</f>
        <v/>
      </c>
      <c r="T250" s="7">
        <f>IF($Y250="","",S250*R250)</f>
        <v/>
      </c>
      <c r="U250" s="7">
        <f>IF($Y250="","",T250+Q250)</f>
        <v/>
      </c>
      <c r="V250" s="7">
        <f>IF($Y250="","",W250-U250)</f>
        <v/>
      </c>
      <c r="W250" s="7">
        <f>IF($Y250="","",P250+S250+N250)</f>
        <v/>
      </c>
      <c r="X250" s="7">
        <f>IF($Y250="","",W250-U250-J250)</f>
        <v/>
      </c>
      <c r="Y250" s="13">
        <f>IF(ROWS($Y$2:$Y250)&lt;=MAX('Per Line'!$AN$2:$AN$1001),MATCH(ROWS($Y$2:$Y250),'Per Line'!$AN$2:$AN$1001,0),"")</f>
        <v/>
      </c>
      <c r="Z250" s="14">
        <f>IF($Y250="","",J250-I250*W250/100)</f>
        <v/>
      </c>
    </row>
    <row r="251">
      <c r="A251" s="12" t="n"/>
      <c r="B251">
        <f>IF($Y251="","",INDEX('Per Line'!$D$2:$D$1001,$Y251)&amp;"")</f>
        <v/>
      </c>
      <c r="C251">
        <f>IF($Y251="","",INDEX('Per Line'!$C$2:$C$1001,$Y251)&amp;"")</f>
        <v/>
      </c>
      <c r="D251" s="11">
        <f>IF($Y251="","",INDEX('Per Line'!$F$2:$F$1001,$Y251))</f>
        <v/>
      </c>
      <c r="E251">
        <f>IF($Y251="","",INDEX('Per Line'!$G$2:$G$1001,$Y251)&amp;"")</f>
        <v/>
      </c>
      <c r="F251">
        <f>IF($Y251="","",INDEX('Per Line'!$I$2:$I$1001,$Y251)&amp;"")</f>
        <v/>
      </c>
      <c r="G251">
        <f>IF($Y251="","",INDEX('Per Line'!$J$2:$J$1001,$Y251)&amp;"")</f>
        <v/>
      </c>
      <c r="H251">
        <f>IF($Y251="","",INDEX('Per Line'!$K$2:$K$1001,$Y251)&amp;"")</f>
        <v/>
      </c>
      <c r="I251">
        <f>IF($Y251="","",INDEX('Per Line'!$O$2:$O$1001,$Y251))</f>
        <v/>
      </c>
      <c r="J251" s="7">
        <f>IF($Y251="","",IF(AND(ISNUMBER(L251),L251&gt;0,W251&gt;L251),I251*L251/100+(W251-L251),I251*W251/100))</f>
        <v/>
      </c>
      <c r="K251">
        <f>IF($Y251="","",INDEX('Per Line'!$Y$2:$Y$1001,$Y251)&amp;"")</f>
        <v/>
      </c>
      <c r="L251">
        <f>IF($Y251="","",INDEX('Per Line'!$AF$2:$AF$1001,$Y251))</f>
        <v/>
      </c>
      <c r="M251">
        <f>IF($Y251="","",IF(AND(ISNUMBER(L251),L251&gt;0),W251&gt;L251,FALSE))</f>
        <v/>
      </c>
      <c r="N251" s="7">
        <f>IF($Y251="","",SUMIFS('Per Line'!$X$2:$X$1001,'Per Line'!$D$2:$D$1001,$B251,'Per Line'!$AP$2:$AP$1001,1))</f>
        <v/>
      </c>
      <c r="O251">
        <f>IF($Y251="","",Settings!$C$7)</f>
        <v/>
      </c>
      <c r="P251" s="7">
        <f>IF($Y251="","",SUMIFS('Per Line'!$X$2:$X$1001,'Per Line'!$D$2:$D$1001,$B251,'Per Line'!$AO$2:$AO$1001,0,'Per Line'!$AP$2:$AP$1001,0))</f>
        <v/>
      </c>
      <c r="Q251" s="7">
        <f>IF($Y251="","",P251*O251)</f>
        <v/>
      </c>
      <c r="R251">
        <f>IF($Y251="","",Settings!$C$6)</f>
        <v/>
      </c>
      <c r="S251" s="7">
        <f>IF($Y251="","",SUMIFS('Per Line'!$X$2:$X$1001,'Per Line'!$D$2:$D$1001,$B251,'Per Line'!$AO$2:$AO$1001,1,'Per Line'!$AP$2:$AP$1001,0))</f>
        <v/>
      </c>
      <c r="T251" s="7">
        <f>IF($Y251="","",S251*R251)</f>
        <v/>
      </c>
      <c r="U251" s="7">
        <f>IF($Y251="","",T251+Q251)</f>
        <v/>
      </c>
      <c r="V251" s="7">
        <f>IF($Y251="","",W251-U251)</f>
        <v/>
      </c>
      <c r="W251" s="7">
        <f>IF($Y251="","",P251+S251+N251)</f>
        <v/>
      </c>
      <c r="X251" s="7">
        <f>IF($Y251="","",W251-U251-J251)</f>
        <v/>
      </c>
      <c r="Y251" s="13">
        <f>IF(ROWS($Y$2:$Y251)&lt;=MAX('Per Line'!$AN$2:$AN$1001),MATCH(ROWS($Y$2:$Y251),'Per Line'!$AN$2:$AN$1001,0),"")</f>
        <v/>
      </c>
      <c r="Z251" s="14">
        <f>IF($Y251="","",J251-I251*W251/100)</f>
        <v/>
      </c>
    </row>
    <row r="252">
      <c r="A252" s="12" t="n"/>
      <c r="B252">
        <f>IF($Y252="","",INDEX('Per Line'!$D$2:$D$1001,$Y252)&amp;"")</f>
        <v/>
      </c>
      <c r="C252">
        <f>IF($Y252="","",INDEX('Per Line'!$C$2:$C$1001,$Y252)&amp;"")</f>
        <v/>
      </c>
      <c r="D252" s="11">
        <f>IF($Y252="","",INDEX('Per Line'!$F$2:$F$1001,$Y252))</f>
        <v/>
      </c>
      <c r="E252">
        <f>IF($Y252="","",INDEX('Per Line'!$G$2:$G$1001,$Y252)&amp;"")</f>
        <v/>
      </c>
      <c r="F252">
        <f>IF($Y252="","",INDEX('Per Line'!$I$2:$I$1001,$Y252)&amp;"")</f>
        <v/>
      </c>
      <c r="G252">
        <f>IF($Y252="","",INDEX('Per Line'!$J$2:$J$1001,$Y252)&amp;"")</f>
        <v/>
      </c>
      <c r="H252">
        <f>IF($Y252="","",INDEX('Per Line'!$K$2:$K$1001,$Y252)&amp;"")</f>
        <v/>
      </c>
      <c r="I252">
        <f>IF($Y252="","",INDEX('Per Line'!$O$2:$O$1001,$Y252))</f>
        <v/>
      </c>
      <c r="J252" s="7">
        <f>IF($Y252="","",IF(AND(ISNUMBER(L252),L252&gt;0,W252&gt;L252),I252*L252/100+(W252-L252),I252*W252/100))</f>
        <v/>
      </c>
      <c r="K252">
        <f>IF($Y252="","",INDEX('Per Line'!$Y$2:$Y$1001,$Y252)&amp;"")</f>
        <v/>
      </c>
      <c r="L252">
        <f>IF($Y252="","",INDEX('Per Line'!$AF$2:$AF$1001,$Y252))</f>
        <v/>
      </c>
      <c r="M252">
        <f>IF($Y252="","",IF(AND(ISNUMBER(L252),L252&gt;0),W252&gt;L252,FALSE))</f>
        <v/>
      </c>
      <c r="N252" s="7">
        <f>IF($Y252="","",SUMIFS('Per Line'!$X$2:$X$1001,'Per Line'!$D$2:$D$1001,$B252,'Per Line'!$AP$2:$AP$1001,1))</f>
        <v/>
      </c>
      <c r="O252">
        <f>IF($Y252="","",Settings!$C$7)</f>
        <v/>
      </c>
      <c r="P252" s="7">
        <f>IF($Y252="","",SUMIFS('Per Line'!$X$2:$X$1001,'Per Line'!$D$2:$D$1001,$B252,'Per Line'!$AO$2:$AO$1001,0,'Per Line'!$AP$2:$AP$1001,0))</f>
        <v/>
      </c>
      <c r="Q252" s="7">
        <f>IF($Y252="","",P252*O252)</f>
        <v/>
      </c>
      <c r="R252">
        <f>IF($Y252="","",Settings!$C$6)</f>
        <v/>
      </c>
      <c r="S252" s="7">
        <f>IF($Y252="","",SUMIFS('Per Line'!$X$2:$X$1001,'Per Line'!$D$2:$D$1001,$B252,'Per Line'!$AO$2:$AO$1001,1,'Per Line'!$AP$2:$AP$1001,0))</f>
        <v/>
      </c>
      <c r="T252" s="7">
        <f>IF($Y252="","",S252*R252)</f>
        <v/>
      </c>
      <c r="U252" s="7">
        <f>IF($Y252="","",T252+Q252)</f>
        <v/>
      </c>
      <c r="V252" s="7">
        <f>IF($Y252="","",W252-U252)</f>
        <v/>
      </c>
      <c r="W252" s="7">
        <f>IF($Y252="","",P252+S252+N252)</f>
        <v/>
      </c>
      <c r="X252" s="7">
        <f>IF($Y252="","",W252-U252-J252)</f>
        <v/>
      </c>
      <c r="Y252" s="13">
        <f>IF(ROWS($Y$2:$Y252)&lt;=MAX('Per Line'!$AN$2:$AN$1001),MATCH(ROWS($Y$2:$Y252),'Per Line'!$AN$2:$AN$1001,0),"")</f>
        <v/>
      </c>
      <c r="Z252" s="14">
        <f>IF($Y252="","",J252-I252*W252/100)</f>
        <v/>
      </c>
    </row>
    <row r="253">
      <c r="A253" s="12" t="n"/>
      <c r="B253">
        <f>IF($Y253="","",INDEX('Per Line'!$D$2:$D$1001,$Y253)&amp;"")</f>
        <v/>
      </c>
      <c r="C253">
        <f>IF($Y253="","",INDEX('Per Line'!$C$2:$C$1001,$Y253)&amp;"")</f>
        <v/>
      </c>
      <c r="D253" s="11">
        <f>IF($Y253="","",INDEX('Per Line'!$F$2:$F$1001,$Y253))</f>
        <v/>
      </c>
      <c r="E253">
        <f>IF($Y253="","",INDEX('Per Line'!$G$2:$G$1001,$Y253)&amp;"")</f>
        <v/>
      </c>
      <c r="F253">
        <f>IF($Y253="","",INDEX('Per Line'!$I$2:$I$1001,$Y253)&amp;"")</f>
        <v/>
      </c>
      <c r="G253">
        <f>IF($Y253="","",INDEX('Per Line'!$J$2:$J$1001,$Y253)&amp;"")</f>
        <v/>
      </c>
      <c r="H253">
        <f>IF($Y253="","",INDEX('Per Line'!$K$2:$K$1001,$Y253)&amp;"")</f>
        <v/>
      </c>
      <c r="I253">
        <f>IF($Y253="","",INDEX('Per Line'!$O$2:$O$1001,$Y253))</f>
        <v/>
      </c>
      <c r="J253" s="7">
        <f>IF($Y253="","",IF(AND(ISNUMBER(L253),L253&gt;0,W253&gt;L253),I253*L253/100+(W253-L253),I253*W253/100))</f>
        <v/>
      </c>
      <c r="K253">
        <f>IF($Y253="","",INDEX('Per Line'!$Y$2:$Y$1001,$Y253)&amp;"")</f>
        <v/>
      </c>
      <c r="L253">
        <f>IF($Y253="","",INDEX('Per Line'!$AF$2:$AF$1001,$Y253))</f>
        <v/>
      </c>
      <c r="M253">
        <f>IF($Y253="","",IF(AND(ISNUMBER(L253),L253&gt;0),W253&gt;L253,FALSE))</f>
        <v/>
      </c>
      <c r="N253" s="7">
        <f>IF($Y253="","",SUMIFS('Per Line'!$X$2:$X$1001,'Per Line'!$D$2:$D$1001,$B253,'Per Line'!$AP$2:$AP$1001,1))</f>
        <v/>
      </c>
      <c r="O253">
        <f>IF($Y253="","",Settings!$C$7)</f>
        <v/>
      </c>
      <c r="P253" s="7">
        <f>IF($Y253="","",SUMIFS('Per Line'!$X$2:$X$1001,'Per Line'!$D$2:$D$1001,$B253,'Per Line'!$AO$2:$AO$1001,0,'Per Line'!$AP$2:$AP$1001,0))</f>
        <v/>
      </c>
      <c r="Q253" s="7">
        <f>IF($Y253="","",P253*O253)</f>
        <v/>
      </c>
      <c r="R253">
        <f>IF($Y253="","",Settings!$C$6)</f>
        <v/>
      </c>
      <c r="S253" s="7">
        <f>IF($Y253="","",SUMIFS('Per Line'!$X$2:$X$1001,'Per Line'!$D$2:$D$1001,$B253,'Per Line'!$AO$2:$AO$1001,1,'Per Line'!$AP$2:$AP$1001,0))</f>
        <v/>
      </c>
      <c r="T253" s="7">
        <f>IF($Y253="","",S253*R253)</f>
        <v/>
      </c>
      <c r="U253" s="7">
        <f>IF($Y253="","",T253+Q253)</f>
        <v/>
      </c>
      <c r="V253" s="7">
        <f>IF($Y253="","",W253-U253)</f>
        <v/>
      </c>
      <c r="W253" s="7">
        <f>IF($Y253="","",P253+S253+N253)</f>
        <v/>
      </c>
      <c r="X253" s="7">
        <f>IF($Y253="","",W253-U253-J253)</f>
        <v/>
      </c>
      <c r="Y253" s="13">
        <f>IF(ROWS($Y$2:$Y253)&lt;=MAX('Per Line'!$AN$2:$AN$1001),MATCH(ROWS($Y$2:$Y253),'Per Line'!$AN$2:$AN$1001,0),"")</f>
        <v/>
      </c>
      <c r="Z253" s="14">
        <f>IF($Y253="","",J253-I253*W253/100)</f>
        <v/>
      </c>
    </row>
    <row r="254">
      <c r="A254" s="12" t="n"/>
      <c r="B254">
        <f>IF($Y254="","",INDEX('Per Line'!$D$2:$D$1001,$Y254)&amp;"")</f>
        <v/>
      </c>
      <c r="C254">
        <f>IF($Y254="","",INDEX('Per Line'!$C$2:$C$1001,$Y254)&amp;"")</f>
        <v/>
      </c>
      <c r="D254" s="11">
        <f>IF($Y254="","",INDEX('Per Line'!$F$2:$F$1001,$Y254))</f>
        <v/>
      </c>
      <c r="E254">
        <f>IF($Y254="","",INDEX('Per Line'!$G$2:$G$1001,$Y254)&amp;"")</f>
        <v/>
      </c>
      <c r="F254">
        <f>IF($Y254="","",INDEX('Per Line'!$I$2:$I$1001,$Y254)&amp;"")</f>
        <v/>
      </c>
      <c r="G254">
        <f>IF($Y254="","",INDEX('Per Line'!$J$2:$J$1001,$Y254)&amp;"")</f>
        <v/>
      </c>
      <c r="H254">
        <f>IF($Y254="","",INDEX('Per Line'!$K$2:$K$1001,$Y254)&amp;"")</f>
        <v/>
      </c>
      <c r="I254">
        <f>IF($Y254="","",INDEX('Per Line'!$O$2:$O$1001,$Y254))</f>
        <v/>
      </c>
      <c r="J254" s="7">
        <f>IF($Y254="","",IF(AND(ISNUMBER(L254),L254&gt;0,W254&gt;L254),I254*L254/100+(W254-L254),I254*W254/100))</f>
        <v/>
      </c>
      <c r="K254">
        <f>IF($Y254="","",INDEX('Per Line'!$Y$2:$Y$1001,$Y254)&amp;"")</f>
        <v/>
      </c>
      <c r="L254">
        <f>IF($Y254="","",INDEX('Per Line'!$AF$2:$AF$1001,$Y254))</f>
        <v/>
      </c>
      <c r="M254">
        <f>IF($Y254="","",IF(AND(ISNUMBER(L254),L254&gt;0),W254&gt;L254,FALSE))</f>
        <v/>
      </c>
      <c r="N254" s="7">
        <f>IF($Y254="","",SUMIFS('Per Line'!$X$2:$X$1001,'Per Line'!$D$2:$D$1001,$B254,'Per Line'!$AP$2:$AP$1001,1))</f>
        <v/>
      </c>
      <c r="O254">
        <f>IF($Y254="","",Settings!$C$7)</f>
        <v/>
      </c>
      <c r="P254" s="7">
        <f>IF($Y254="","",SUMIFS('Per Line'!$X$2:$X$1001,'Per Line'!$D$2:$D$1001,$B254,'Per Line'!$AO$2:$AO$1001,0,'Per Line'!$AP$2:$AP$1001,0))</f>
        <v/>
      </c>
      <c r="Q254" s="7">
        <f>IF($Y254="","",P254*O254)</f>
        <v/>
      </c>
      <c r="R254">
        <f>IF($Y254="","",Settings!$C$6)</f>
        <v/>
      </c>
      <c r="S254" s="7">
        <f>IF($Y254="","",SUMIFS('Per Line'!$X$2:$X$1001,'Per Line'!$D$2:$D$1001,$B254,'Per Line'!$AO$2:$AO$1001,1,'Per Line'!$AP$2:$AP$1001,0))</f>
        <v/>
      </c>
      <c r="T254" s="7">
        <f>IF($Y254="","",S254*R254)</f>
        <v/>
      </c>
      <c r="U254" s="7">
        <f>IF($Y254="","",T254+Q254)</f>
        <v/>
      </c>
      <c r="V254" s="7">
        <f>IF($Y254="","",W254-U254)</f>
        <v/>
      </c>
      <c r="W254" s="7">
        <f>IF($Y254="","",P254+S254+N254)</f>
        <v/>
      </c>
      <c r="X254" s="7">
        <f>IF($Y254="","",W254-U254-J254)</f>
        <v/>
      </c>
      <c r="Y254" s="13">
        <f>IF(ROWS($Y$2:$Y254)&lt;=MAX('Per Line'!$AN$2:$AN$1001),MATCH(ROWS($Y$2:$Y254),'Per Line'!$AN$2:$AN$1001,0),"")</f>
        <v/>
      </c>
      <c r="Z254" s="14">
        <f>IF($Y254="","",J254-I254*W254/100)</f>
        <v/>
      </c>
    </row>
    <row r="255">
      <c r="A255" s="12" t="n"/>
      <c r="B255">
        <f>IF($Y255="","",INDEX('Per Line'!$D$2:$D$1001,$Y255)&amp;"")</f>
        <v/>
      </c>
      <c r="C255">
        <f>IF($Y255="","",INDEX('Per Line'!$C$2:$C$1001,$Y255)&amp;"")</f>
        <v/>
      </c>
      <c r="D255" s="11">
        <f>IF($Y255="","",INDEX('Per Line'!$F$2:$F$1001,$Y255))</f>
        <v/>
      </c>
      <c r="E255">
        <f>IF($Y255="","",INDEX('Per Line'!$G$2:$G$1001,$Y255)&amp;"")</f>
        <v/>
      </c>
      <c r="F255">
        <f>IF($Y255="","",INDEX('Per Line'!$I$2:$I$1001,$Y255)&amp;"")</f>
        <v/>
      </c>
      <c r="G255">
        <f>IF($Y255="","",INDEX('Per Line'!$J$2:$J$1001,$Y255)&amp;"")</f>
        <v/>
      </c>
      <c r="H255">
        <f>IF($Y255="","",INDEX('Per Line'!$K$2:$K$1001,$Y255)&amp;"")</f>
        <v/>
      </c>
      <c r="I255">
        <f>IF($Y255="","",INDEX('Per Line'!$O$2:$O$1001,$Y255))</f>
        <v/>
      </c>
      <c r="J255" s="7">
        <f>IF($Y255="","",IF(AND(ISNUMBER(L255),L255&gt;0,W255&gt;L255),I255*L255/100+(W255-L255),I255*W255/100))</f>
        <v/>
      </c>
      <c r="K255">
        <f>IF($Y255="","",INDEX('Per Line'!$Y$2:$Y$1001,$Y255)&amp;"")</f>
        <v/>
      </c>
      <c r="L255">
        <f>IF($Y255="","",INDEX('Per Line'!$AF$2:$AF$1001,$Y255))</f>
        <v/>
      </c>
      <c r="M255">
        <f>IF($Y255="","",IF(AND(ISNUMBER(L255),L255&gt;0),W255&gt;L255,FALSE))</f>
        <v/>
      </c>
      <c r="N255" s="7">
        <f>IF($Y255="","",SUMIFS('Per Line'!$X$2:$X$1001,'Per Line'!$D$2:$D$1001,$B255,'Per Line'!$AP$2:$AP$1001,1))</f>
        <v/>
      </c>
      <c r="O255">
        <f>IF($Y255="","",Settings!$C$7)</f>
        <v/>
      </c>
      <c r="P255" s="7">
        <f>IF($Y255="","",SUMIFS('Per Line'!$X$2:$X$1001,'Per Line'!$D$2:$D$1001,$B255,'Per Line'!$AO$2:$AO$1001,0,'Per Line'!$AP$2:$AP$1001,0))</f>
        <v/>
      </c>
      <c r="Q255" s="7">
        <f>IF($Y255="","",P255*O255)</f>
        <v/>
      </c>
      <c r="R255">
        <f>IF($Y255="","",Settings!$C$6)</f>
        <v/>
      </c>
      <c r="S255" s="7">
        <f>IF($Y255="","",SUMIFS('Per Line'!$X$2:$X$1001,'Per Line'!$D$2:$D$1001,$B255,'Per Line'!$AO$2:$AO$1001,1,'Per Line'!$AP$2:$AP$1001,0))</f>
        <v/>
      </c>
      <c r="T255" s="7">
        <f>IF($Y255="","",S255*R255)</f>
        <v/>
      </c>
      <c r="U255" s="7">
        <f>IF($Y255="","",T255+Q255)</f>
        <v/>
      </c>
      <c r="V255" s="7">
        <f>IF($Y255="","",W255-U255)</f>
        <v/>
      </c>
      <c r="W255" s="7">
        <f>IF($Y255="","",P255+S255+N255)</f>
        <v/>
      </c>
      <c r="X255" s="7">
        <f>IF($Y255="","",W255-U255-J255)</f>
        <v/>
      </c>
      <c r="Y255" s="13">
        <f>IF(ROWS($Y$2:$Y255)&lt;=MAX('Per Line'!$AN$2:$AN$1001),MATCH(ROWS($Y$2:$Y255),'Per Line'!$AN$2:$AN$1001,0),"")</f>
        <v/>
      </c>
      <c r="Z255" s="14">
        <f>IF($Y255="","",J255-I255*W255/100)</f>
        <v/>
      </c>
    </row>
    <row r="256">
      <c r="A256" s="12" t="n"/>
      <c r="B256">
        <f>IF($Y256="","",INDEX('Per Line'!$D$2:$D$1001,$Y256)&amp;"")</f>
        <v/>
      </c>
      <c r="C256">
        <f>IF($Y256="","",INDEX('Per Line'!$C$2:$C$1001,$Y256)&amp;"")</f>
        <v/>
      </c>
      <c r="D256" s="11">
        <f>IF($Y256="","",INDEX('Per Line'!$F$2:$F$1001,$Y256))</f>
        <v/>
      </c>
      <c r="E256">
        <f>IF($Y256="","",INDEX('Per Line'!$G$2:$G$1001,$Y256)&amp;"")</f>
        <v/>
      </c>
      <c r="F256">
        <f>IF($Y256="","",INDEX('Per Line'!$I$2:$I$1001,$Y256)&amp;"")</f>
        <v/>
      </c>
      <c r="G256">
        <f>IF($Y256="","",INDEX('Per Line'!$J$2:$J$1001,$Y256)&amp;"")</f>
        <v/>
      </c>
      <c r="H256">
        <f>IF($Y256="","",INDEX('Per Line'!$K$2:$K$1001,$Y256)&amp;"")</f>
        <v/>
      </c>
      <c r="I256">
        <f>IF($Y256="","",INDEX('Per Line'!$O$2:$O$1001,$Y256))</f>
        <v/>
      </c>
      <c r="J256" s="7">
        <f>IF($Y256="","",IF(AND(ISNUMBER(L256),L256&gt;0,W256&gt;L256),I256*L256/100+(W256-L256),I256*W256/100))</f>
        <v/>
      </c>
      <c r="K256">
        <f>IF($Y256="","",INDEX('Per Line'!$Y$2:$Y$1001,$Y256)&amp;"")</f>
        <v/>
      </c>
      <c r="L256">
        <f>IF($Y256="","",INDEX('Per Line'!$AF$2:$AF$1001,$Y256))</f>
        <v/>
      </c>
      <c r="M256">
        <f>IF($Y256="","",IF(AND(ISNUMBER(L256),L256&gt;0),W256&gt;L256,FALSE))</f>
        <v/>
      </c>
      <c r="N256" s="7">
        <f>IF($Y256="","",SUMIFS('Per Line'!$X$2:$X$1001,'Per Line'!$D$2:$D$1001,$B256,'Per Line'!$AP$2:$AP$1001,1))</f>
        <v/>
      </c>
      <c r="O256">
        <f>IF($Y256="","",Settings!$C$7)</f>
        <v/>
      </c>
      <c r="P256" s="7">
        <f>IF($Y256="","",SUMIFS('Per Line'!$X$2:$X$1001,'Per Line'!$D$2:$D$1001,$B256,'Per Line'!$AO$2:$AO$1001,0,'Per Line'!$AP$2:$AP$1001,0))</f>
        <v/>
      </c>
      <c r="Q256" s="7">
        <f>IF($Y256="","",P256*O256)</f>
        <v/>
      </c>
      <c r="R256">
        <f>IF($Y256="","",Settings!$C$6)</f>
        <v/>
      </c>
      <c r="S256" s="7">
        <f>IF($Y256="","",SUMIFS('Per Line'!$X$2:$X$1001,'Per Line'!$D$2:$D$1001,$B256,'Per Line'!$AO$2:$AO$1001,1,'Per Line'!$AP$2:$AP$1001,0))</f>
        <v/>
      </c>
      <c r="T256" s="7">
        <f>IF($Y256="","",S256*R256)</f>
        <v/>
      </c>
      <c r="U256" s="7">
        <f>IF($Y256="","",T256+Q256)</f>
        <v/>
      </c>
      <c r="V256" s="7">
        <f>IF($Y256="","",W256-U256)</f>
        <v/>
      </c>
      <c r="W256" s="7">
        <f>IF($Y256="","",P256+S256+N256)</f>
        <v/>
      </c>
      <c r="X256" s="7">
        <f>IF($Y256="","",W256-U256-J256)</f>
        <v/>
      </c>
      <c r="Y256" s="13">
        <f>IF(ROWS($Y$2:$Y256)&lt;=MAX('Per Line'!$AN$2:$AN$1001),MATCH(ROWS($Y$2:$Y256),'Per Line'!$AN$2:$AN$1001,0),"")</f>
        <v/>
      </c>
      <c r="Z256" s="14">
        <f>IF($Y256="","",J256-I256*W256/100)</f>
        <v/>
      </c>
    </row>
    <row r="257">
      <c r="A257" s="12" t="n"/>
      <c r="B257">
        <f>IF($Y257="","",INDEX('Per Line'!$D$2:$D$1001,$Y257)&amp;"")</f>
        <v/>
      </c>
      <c r="C257">
        <f>IF($Y257="","",INDEX('Per Line'!$C$2:$C$1001,$Y257)&amp;"")</f>
        <v/>
      </c>
      <c r="D257" s="11">
        <f>IF($Y257="","",INDEX('Per Line'!$F$2:$F$1001,$Y257))</f>
        <v/>
      </c>
      <c r="E257">
        <f>IF($Y257="","",INDEX('Per Line'!$G$2:$G$1001,$Y257)&amp;"")</f>
        <v/>
      </c>
      <c r="F257">
        <f>IF($Y257="","",INDEX('Per Line'!$I$2:$I$1001,$Y257)&amp;"")</f>
        <v/>
      </c>
      <c r="G257">
        <f>IF($Y257="","",INDEX('Per Line'!$J$2:$J$1001,$Y257)&amp;"")</f>
        <v/>
      </c>
      <c r="H257">
        <f>IF($Y257="","",INDEX('Per Line'!$K$2:$K$1001,$Y257)&amp;"")</f>
        <v/>
      </c>
      <c r="I257">
        <f>IF($Y257="","",INDEX('Per Line'!$O$2:$O$1001,$Y257))</f>
        <v/>
      </c>
      <c r="J257" s="7">
        <f>IF($Y257="","",IF(AND(ISNUMBER(L257),L257&gt;0,W257&gt;L257),I257*L257/100+(W257-L257),I257*W257/100))</f>
        <v/>
      </c>
      <c r="K257">
        <f>IF($Y257="","",INDEX('Per Line'!$Y$2:$Y$1001,$Y257)&amp;"")</f>
        <v/>
      </c>
      <c r="L257">
        <f>IF($Y257="","",INDEX('Per Line'!$AF$2:$AF$1001,$Y257))</f>
        <v/>
      </c>
      <c r="M257">
        <f>IF($Y257="","",IF(AND(ISNUMBER(L257),L257&gt;0),W257&gt;L257,FALSE))</f>
        <v/>
      </c>
      <c r="N257" s="7">
        <f>IF($Y257="","",SUMIFS('Per Line'!$X$2:$X$1001,'Per Line'!$D$2:$D$1001,$B257,'Per Line'!$AP$2:$AP$1001,1))</f>
        <v/>
      </c>
      <c r="O257">
        <f>IF($Y257="","",Settings!$C$7)</f>
        <v/>
      </c>
      <c r="P257" s="7">
        <f>IF($Y257="","",SUMIFS('Per Line'!$X$2:$X$1001,'Per Line'!$D$2:$D$1001,$B257,'Per Line'!$AO$2:$AO$1001,0,'Per Line'!$AP$2:$AP$1001,0))</f>
        <v/>
      </c>
      <c r="Q257" s="7">
        <f>IF($Y257="","",P257*O257)</f>
        <v/>
      </c>
      <c r="R257">
        <f>IF($Y257="","",Settings!$C$6)</f>
        <v/>
      </c>
      <c r="S257" s="7">
        <f>IF($Y257="","",SUMIFS('Per Line'!$X$2:$X$1001,'Per Line'!$D$2:$D$1001,$B257,'Per Line'!$AO$2:$AO$1001,1,'Per Line'!$AP$2:$AP$1001,0))</f>
        <v/>
      </c>
      <c r="T257" s="7">
        <f>IF($Y257="","",S257*R257)</f>
        <v/>
      </c>
      <c r="U257" s="7">
        <f>IF($Y257="","",T257+Q257)</f>
        <v/>
      </c>
      <c r="V257" s="7">
        <f>IF($Y257="","",W257-U257)</f>
        <v/>
      </c>
      <c r="W257" s="7">
        <f>IF($Y257="","",P257+S257+N257)</f>
        <v/>
      </c>
      <c r="X257" s="7">
        <f>IF($Y257="","",W257-U257-J257)</f>
        <v/>
      </c>
      <c r="Y257" s="13">
        <f>IF(ROWS($Y$2:$Y257)&lt;=MAX('Per Line'!$AN$2:$AN$1001),MATCH(ROWS($Y$2:$Y257),'Per Line'!$AN$2:$AN$1001,0),"")</f>
        <v/>
      </c>
      <c r="Z257" s="14">
        <f>IF($Y257="","",J257-I257*W257/100)</f>
        <v/>
      </c>
    </row>
    <row r="258">
      <c r="A258" s="12" t="n"/>
      <c r="B258">
        <f>IF($Y258="","",INDEX('Per Line'!$D$2:$D$1001,$Y258)&amp;"")</f>
        <v/>
      </c>
      <c r="C258">
        <f>IF($Y258="","",INDEX('Per Line'!$C$2:$C$1001,$Y258)&amp;"")</f>
        <v/>
      </c>
      <c r="D258" s="11">
        <f>IF($Y258="","",INDEX('Per Line'!$F$2:$F$1001,$Y258))</f>
        <v/>
      </c>
      <c r="E258">
        <f>IF($Y258="","",INDEX('Per Line'!$G$2:$G$1001,$Y258)&amp;"")</f>
        <v/>
      </c>
      <c r="F258">
        <f>IF($Y258="","",INDEX('Per Line'!$I$2:$I$1001,$Y258)&amp;"")</f>
        <v/>
      </c>
      <c r="G258">
        <f>IF($Y258="","",INDEX('Per Line'!$J$2:$J$1001,$Y258)&amp;"")</f>
        <v/>
      </c>
      <c r="H258">
        <f>IF($Y258="","",INDEX('Per Line'!$K$2:$K$1001,$Y258)&amp;"")</f>
        <v/>
      </c>
      <c r="I258">
        <f>IF($Y258="","",INDEX('Per Line'!$O$2:$O$1001,$Y258))</f>
        <v/>
      </c>
      <c r="J258" s="7">
        <f>IF($Y258="","",IF(AND(ISNUMBER(L258),L258&gt;0,W258&gt;L258),I258*L258/100+(W258-L258),I258*W258/100))</f>
        <v/>
      </c>
      <c r="K258">
        <f>IF($Y258="","",INDEX('Per Line'!$Y$2:$Y$1001,$Y258)&amp;"")</f>
        <v/>
      </c>
      <c r="L258">
        <f>IF($Y258="","",INDEX('Per Line'!$AF$2:$AF$1001,$Y258))</f>
        <v/>
      </c>
      <c r="M258">
        <f>IF($Y258="","",IF(AND(ISNUMBER(L258),L258&gt;0),W258&gt;L258,FALSE))</f>
        <v/>
      </c>
      <c r="N258" s="7">
        <f>IF($Y258="","",SUMIFS('Per Line'!$X$2:$X$1001,'Per Line'!$D$2:$D$1001,$B258,'Per Line'!$AP$2:$AP$1001,1))</f>
        <v/>
      </c>
      <c r="O258">
        <f>IF($Y258="","",Settings!$C$7)</f>
        <v/>
      </c>
      <c r="P258" s="7">
        <f>IF($Y258="","",SUMIFS('Per Line'!$X$2:$X$1001,'Per Line'!$D$2:$D$1001,$B258,'Per Line'!$AO$2:$AO$1001,0,'Per Line'!$AP$2:$AP$1001,0))</f>
        <v/>
      </c>
      <c r="Q258" s="7">
        <f>IF($Y258="","",P258*O258)</f>
        <v/>
      </c>
      <c r="R258">
        <f>IF($Y258="","",Settings!$C$6)</f>
        <v/>
      </c>
      <c r="S258" s="7">
        <f>IF($Y258="","",SUMIFS('Per Line'!$X$2:$X$1001,'Per Line'!$D$2:$D$1001,$B258,'Per Line'!$AO$2:$AO$1001,1,'Per Line'!$AP$2:$AP$1001,0))</f>
        <v/>
      </c>
      <c r="T258" s="7">
        <f>IF($Y258="","",S258*R258)</f>
        <v/>
      </c>
      <c r="U258" s="7">
        <f>IF($Y258="","",T258+Q258)</f>
        <v/>
      </c>
      <c r="V258" s="7">
        <f>IF($Y258="","",W258-U258)</f>
        <v/>
      </c>
      <c r="W258" s="7">
        <f>IF($Y258="","",P258+S258+N258)</f>
        <v/>
      </c>
      <c r="X258" s="7">
        <f>IF($Y258="","",W258-U258-J258)</f>
        <v/>
      </c>
      <c r="Y258" s="13">
        <f>IF(ROWS($Y$2:$Y258)&lt;=MAX('Per Line'!$AN$2:$AN$1001),MATCH(ROWS($Y$2:$Y258),'Per Line'!$AN$2:$AN$1001,0),"")</f>
        <v/>
      </c>
      <c r="Z258" s="14">
        <f>IF($Y258="","",J258-I258*W258/100)</f>
        <v/>
      </c>
    </row>
    <row r="259">
      <c r="A259" s="12" t="n"/>
      <c r="B259">
        <f>IF($Y259="","",INDEX('Per Line'!$D$2:$D$1001,$Y259)&amp;"")</f>
        <v/>
      </c>
      <c r="C259">
        <f>IF($Y259="","",INDEX('Per Line'!$C$2:$C$1001,$Y259)&amp;"")</f>
        <v/>
      </c>
      <c r="D259" s="11">
        <f>IF($Y259="","",INDEX('Per Line'!$F$2:$F$1001,$Y259))</f>
        <v/>
      </c>
      <c r="E259">
        <f>IF($Y259="","",INDEX('Per Line'!$G$2:$G$1001,$Y259)&amp;"")</f>
        <v/>
      </c>
      <c r="F259">
        <f>IF($Y259="","",INDEX('Per Line'!$I$2:$I$1001,$Y259)&amp;"")</f>
        <v/>
      </c>
      <c r="G259">
        <f>IF($Y259="","",INDEX('Per Line'!$J$2:$J$1001,$Y259)&amp;"")</f>
        <v/>
      </c>
      <c r="H259">
        <f>IF($Y259="","",INDEX('Per Line'!$K$2:$K$1001,$Y259)&amp;"")</f>
        <v/>
      </c>
      <c r="I259">
        <f>IF($Y259="","",INDEX('Per Line'!$O$2:$O$1001,$Y259))</f>
        <v/>
      </c>
      <c r="J259" s="7">
        <f>IF($Y259="","",IF(AND(ISNUMBER(L259),L259&gt;0,W259&gt;L259),I259*L259/100+(W259-L259),I259*W259/100))</f>
        <v/>
      </c>
      <c r="K259">
        <f>IF($Y259="","",INDEX('Per Line'!$Y$2:$Y$1001,$Y259)&amp;"")</f>
        <v/>
      </c>
      <c r="L259">
        <f>IF($Y259="","",INDEX('Per Line'!$AF$2:$AF$1001,$Y259))</f>
        <v/>
      </c>
      <c r="M259">
        <f>IF($Y259="","",IF(AND(ISNUMBER(L259),L259&gt;0),W259&gt;L259,FALSE))</f>
        <v/>
      </c>
      <c r="N259" s="7">
        <f>IF($Y259="","",SUMIFS('Per Line'!$X$2:$X$1001,'Per Line'!$D$2:$D$1001,$B259,'Per Line'!$AP$2:$AP$1001,1))</f>
        <v/>
      </c>
      <c r="O259">
        <f>IF($Y259="","",Settings!$C$7)</f>
        <v/>
      </c>
      <c r="P259" s="7">
        <f>IF($Y259="","",SUMIFS('Per Line'!$X$2:$X$1001,'Per Line'!$D$2:$D$1001,$B259,'Per Line'!$AO$2:$AO$1001,0,'Per Line'!$AP$2:$AP$1001,0))</f>
        <v/>
      </c>
      <c r="Q259" s="7">
        <f>IF($Y259="","",P259*O259)</f>
        <v/>
      </c>
      <c r="R259">
        <f>IF($Y259="","",Settings!$C$6)</f>
        <v/>
      </c>
      <c r="S259" s="7">
        <f>IF($Y259="","",SUMIFS('Per Line'!$X$2:$X$1001,'Per Line'!$D$2:$D$1001,$B259,'Per Line'!$AO$2:$AO$1001,1,'Per Line'!$AP$2:$AP$1001,0))</f>
        <v/>
      </c>
      <c r="T259" s="7">
        <f>IF($Y259="","",S259*R259)</f>
        <v/>
      </c>
      <c r="U259" s="7">
        <f>IF($Y259="","",T259+Q259)</f>
        <v/>
      </c>
      <c r="V259" s="7">
        <f>IF($Y259="","",W259-U259)</f>
        <v/>
      </c>
      <c r="W259" s="7">
        <f>IF($Y259="","",P259+S259+N259)</f>
        <v/>
      </c>
      <c r="X259" s="7">
        <f>IF($Y259="","",W259-U259-J259)</f>
        <v/>
      </c>
      <c r="Y259" s="13">
        <f>IF(ROWS($Y$2:$Y259)&lt;=MAX('Per Line'!$AN$2:$AN$1001),MATCH(ROWS($Y$2:$Y259),'Per Line'!$AN$2:$AN$1001,0),"")</f>
        <v/>
      </c>
      <c r="Z259" s="14">
        <f>IF($Y259="","",J259-I259*W259/100)</f>
        <v/>
      </c>
    </row>
    <row r="260">
      <c r="A260" s="12" t="n"/>
      <c r="B260">
        <f>IF($Y260="","",INDEX('Per Line'!$D$2:$D$1001,$Y260)&amp;"")</f>
        <v/>
      </c>
      <c r="C260">
        <f>IF($Y260="","",INDEX('Per Line'!$C$2:$C$1001,$Y260)&amp;"")</f>
        <v/>
      </c>
      <c r="D260" s="11">
        <f>IF($Y260="","",INDEX('Per Line'!$F$2:$F$1001,$Y260))</f>
        <v/>
      </c>
      <c r="E260">
        <f>IF($Y260="","",INDEX('Per Line'!$G$2:$G$1001,$Y260)&amp;"")</f>
        <v/>
      </c>
      <c r="F260">
        <f>IF($Y260="","",INDEX('Per Line'!$I$2:$I$1001,$Y260)&amp;"")</f>
        <v/>
      </c>
      <c r="G260">
        <f>IF($Y260="","",INDEX('Per Line'!$J$2:$J$1001,$Y260)&amp;"")</f>
        <v/>
      </c>
      <c r="H260">
        <f>IF($Y260="","",INDEX('Per Line'!$K$2:$K$1001,$Y260)&amp;"")</f>
        <v/>
      </c>
      <c r="I260">
        <f>IF($Y260="","",INDEX('Per Line'!$O$2:$O$1001,$Y260))</f>
        <v/>
      </c>
      <c r="J260" s="7">
        <f>IF($Y260="","",IF(AND(ISNUMBER(L260),L260&gt;0,W260&gt;L260),I260*L260/100+(W260-L260),I260*W260/100))</f>
        <v/>
      </c>
      <c r="K260">
        <f>IF($Y260="","",INDEX('Per Line'!$Y$2:$Y$1001,$Y260)&amp;"")</f>
        <v/>
      </c>
      <c r="L260">
        <f>IF($Y260="","",INDEX('Per Line'!$AF$2:$AF$1001,$Y260))</f>
        <v/>
      </c>
      <c r="M260">
        <f>IF($Y260="","",IF(AND(ISNUMBER(L260),L260&gt;0),W260&gt;L260,FALSE))</f>
        <v/>
      </c>
      <c r="N260" s="7">
        <f>IF($Y260="","",SUMIFS('Per Line'!$X$2:$X$1001,'Per Line'!$D$2:$D$1001,$B260,'Per Line'!$AP$2:$AP$1001,1))</f>
        <v/>
      </c>
      <c r="O260">
        <f>IF($Y260="","",Settings!$C$7)</f>
        <v/>
      </c>
      <c r="P260" s="7">
        <f>IF($Y260="","",SUMIFS('Per Line'!$X$2:$X$1001,'Per Line'!$D$2:$D$1001,$B260,'Per Line'!$AO$2:$AO$1001,0,'Per Line'!$AP$2:$AP$1001,0))</f>
        <v/>
      </c>
      <c r="Q260" s="7">
        <f>IF($Y260="","",P260*O260)</f>
        <v/>
      </c>
      <c r="R260">
        <f>IF($Y260="","",Settings!$C$6)</f>
        <v/>
      </c>
      <c r="S260" s="7">
        <f>IF($Y260="","",SUMIFS('Per Line'!$X$2:$X$1001,'Per Line'!$D$2:$D$1001,$B260,'Per Line'!$AO$2:$AO$1001,1,'Per Line'!$AP$2:$AP$1001,0))</f>
        <v/>
      </c>
      <c r="T260" s="7">
        <f>IF($Y260="","",S260*R260)</f>
        <v/>
      </c>
      <c r="U260" s="7">
        <f>IF($Y260="","",T260+Q260)</f>
        <v/>
      </c>
      <c r="V260" s="7">
        <f>IF($Y260="","",W260-U260)</f>
        <v/>
      </c>
      <c r="W260" s="7">
        <f>IF($Y260="","",P260+S260+N260)</f>
        <v/>
      </c>
      <c r="X260" s="7">
        <f>IF($Y260="","",W260-U260-J260)</f>
        <v/>
      </c>
      <c r="Y260" s="13">
        <f>IF(ROWS($Y$2:$Y260)&lt;=MAX('Per Line'!$AN$2:$AN$1001),MATCH(ROWS($Y$2:$Y260),'Per Line'!$AN$2:$AN$1001,0),"")</f>
        <v/>
      </c>
      <c r="Z260" s="14">
        <f>IF($Y260="","",J260-I260*W260/100)</f>
        <v/>
      </c>
    </row>
    <row r="261">
      <c r="A261" s="12" t="n"/>
      <c r="B261">
        <f>IF($Y261="","",INDEX('Per Line'!$D$2:$D$1001,$Y261)&amp;"")</f>
        <v/>
      </c>
      <c r="C261">
        <f>IF($Y261="","",INDEX('Per Line'!$C$2:$C$1001,$Y261)&amp;"")</f>
        <v/>
      </c>
      <c r="D261" s="11">
        <f>IF($Y261="","",INDEX('Per Line'!$F$2:$F$1001,$Y261))</f>
        <v/>
      </c>
      <c r="E261">
        <f>IF($Y261="","",INDEX('Per Line'!$G$2:$G$1001,$Y261)&amp;"")</f>
        <v/>
      </c>
      <c r="F261">
        <f>IF($Y261="","",INDEX('Per Line'!$I$2:$I$1001,$Y261)&amp;"")</f>
        <v/>
      </c>
      <c r="G261">
        <f>IF($Y261="","",INDEX('Per Line'!$J$2:$J$1001,$Y261)&amp;"")</f>
        <v/>
      </c>
      <c r="H261">
        <f>IF($Y261="","",INDEX('Per Line'!$K$2:$K$1001,$Y261)&amp;"")</f>
        <v/>
      </c>
      <c r="I261">
        <f>IF($Y261="","",INDEX('Per Line'!$O$2:$O$1001,$Y261))</f>
        <v/>
      </c>
      <c r="J261" s="7">
        <f>IF($Y261="","",IF(AND(ISNUMBER(L261),L261&gt;0,W261&gt;L261),I261*L261/100+(W261-L261),I261*W261/100))</f>
        <v/>
      </c>
      <c r="K261">
        <f>IF($Y261="","",INDEX('Per Line'!$Y$2:$Y$1001,$Y261)&amp;"")</f>
        <v/>
      </c>
      <c r="L261">
        <f>IF($Y261="","",INDEX('Per Line'!$AF$2:$AF$1001,$Y261))</f>
        <v/>
      </c>
      <c r="M261">
        <f>IF($Y261="","",IF(AND(ISNUMBER(L261),L261&gt;0),W261&gt;L261,FALSE))</f>
        <v/>
      </c>
      <c r="N261" s="7">
        <f>IF($Y261="","",SUMIFS('Per Line'!$X$2:$X$1001,'Per Line'!$D$2:$D$1001,$B261,'Per Line'!$AP$2:$AP$1001,1))</f>
        <v/>
      </c>
      <c r="O261">
        <f>IF($Y261="","",Settings!$C$7)</f>
        <v/>
      </c>
      <c r="P261" s="7">
        <f>IF($Y261="","",SUMIFS('Per Line'!$X$2:$X$1001,'Per Line'!$D$2:$D$1001,$B261,'Per Line'!$AO$2:$AO$1001,0,'Per Line'!$AP$2:$AP$1001,0))</f>
        <v/>
      </c>
      <c r="Q261" s="7">
        <f>IF($Y261="","",P261*O261)</f>
        <v/>
      </c>
      <c r="R261">
        <f>IF($Y261="","",Settings!$C$6)</f>
        <v/>
      </c>
      <c r="S261" s="7">
        <f>IF($Y261="","",SUMIFS('Per Line'!$X$2:$X$1001,'Per Line'!$D$2:$D$1001,$B261,'Per Line'!$AO$2:$AO$1001,1,'Per Line'!$AP$2:$AP$1001,0))</f>
        <v/>
      </c>
      <c r="T261" s="7">
        <f>IF($Y261="","",S261*R261)</f>
        <v/>
      </c>
      <c r="U261" s="7">
        <f>IF($Y261="","",T261+Q261)</f>
        <v/>
      </c>
      <c r="V261" s="7">
        <f>IF($Y261="","",W261-U261)</f>
        <v/>
      </c>
      <c r="W261" s="7">
        <f>IF($Y261="","",P261+S261+N261)</f>
        <v/>
      </c>
      <c r="X261" s="7">
        <f>IF($Y261="","",W261-U261-J261)</f>
        <v/>
      </c>
      <c r="Y261" s="13">
        <f>IF(ROWS($Y$2:$Y261)&lt;=MAX('Per Line'!$AN$2:$AN$1001),MATCH(ROWS($Y$2:$Y261),'Per Line'!$AN$2:$AN$1001,0),"")</f>
        <v/>
      </c>
      <c r="Z261" s="14">
        <f>IF($Y261="","",J261-I261*W261/100)</f>
        <v/>
      </c>
    </row>
    <row r="262">
      <c r="A262" s="12" t="n"/>
      <c r="B262">
        <f>IF($Y262="","",INDEX('Per Line'!$D$2:$D$1001,$Y262)&amp;"")</f>
        <v/>
      </c>
      <c r="C262">
        <f>IF($Y262="","",INDEX('Per Line'!$C$2:$C$1001,$Y262)&amp;"")</f>
        <v/>
      </c>
      <c r="D262" s="11">
        <f>IF($Y262="","",INDEX('Per Line'!$F$2:$F$1001,$Y262))</f>
        <v/>
      </c>
      <c r="E262">
        <f>IF($Y262="","",INDEX('Per Line'!$G$2:$G$1001,$Y262)&amp;"")</f>
        <v/>
      </c>
      <c r="F262">
        <f>IF($Y262="","",INDEX('Per Line'!$I$2:$I$1001,$Y262)&amp;"")</f>
        <v/>
      </c>
      <c r="G262">
        <f>IF($Y262="","",INDEX('Per Line'!$J$2:$J$1001,$Y262)&amp;"")</f>
        <v/>
      </c>
      <c r="H262">
        <f>IF($Y262="","",INDEX('Per Line'!$K$2:$K$1001,$Y262)&amp;"")</f>
        <v/>
      </c>
      <c r="I262">
        <f>IF($Y262="","",INDEX('Per Line'!$O$2:$O$1001,$Y262))</f>
        <v/>
      </c>
      <c r="J262" s="7">
        <f>IF($Y262="","",IF(AND(ISNUMBER(L262),L262&gt;0,W262&gt;L262),I262*L262/100+(W262-L262),I262*W262/100))</f>
        <v/>
      </c>
      <c r="K262">
        <f>IF($Y262="","",INDEX('Per Line'!$Y$2:$Y$1001,$Y262)&amp;"")</f>
        <v/>
      </c>
      <c r="L262">
        <f>IF($Y262="","",INDEX('Per Line'!$AF$2:$AF$1001,$Y262))</f>
        <v/>
      </c>
      <c r="M262">
        <f>IF($Y262="","",IF(AND(ISNUMBER(L262),L262&gt;0),W262&gt;L262,FALSE))</f>
        <v/>
      </c>
      <c r="N262" s="7">
        <f>IF($Y262="","",SUMIFS('Per Line'!$X$2:$X$1001,'Per Line'!$D$2:$D$1001,$B262,'Per Line'!$AP$2:$AP$1001,1))</f>
        <v/>
      </c>
      <c r="O262">
        <f>IF($Y262="","",Settings!$C$7)</f>
        <v/>
      </c>
      <c r="P262" s="7">
        <f>IF($Y262="","",SUMIFS('Per Line'!$X$2:$X$1001,'Per Line'!$D$2:$D$1001,$B262,'Per Line'!$AO$2:$AO$1001,0,'Per Line'!$AP$2:$AP$1001,0))</f>
        <v/>
      </c>
      <c r="Q262" s="7">
        <f>IF($Y262="","",P262*O262)</f>
        <v/>
      </c>
      <c r="R262">
        <f>IF($Y262="","",Settings!$C$6)</f>
        <v/>
      </c>
      <c r="S262" s="7">
        <f>IF($Y262="","",SUMIFS('Per Line'!$X$2:$X$1001,'Per Line'!$D$2:$D$1001,$B262,'Per Line'!$AO$2:$AO$1001,1,'Per Line'!$AP$2:$AP$1001,0))</f>
        <v/>
      </c>
      <c r="T262" s="7">
        <f>IF($Y262="","",S262*R262)</f>
        <v/>
      </c>
      <c r="U262" s="7">
        <f>IF($Y262="","",T262+Q262)</f>
        <v/>
      </c>
      <c r="V262" s="7">
        <f>IF($Y262="","",W262-U262)</f>
        <v/>
      </c>
      <c r="W262" s="7">
        <f>IF($Y262="","",P262+S262+N262)</f>
        <v/>
      </c>
      <c r="X262" s="7">
        <f>IF($Y262="","",W262-U262-J262)</f>
        <v/>
      </c>
      <c r="Y262" s="13">
        <f>IF(ROWS($Y$2:$Y262)&lt;=MAX('Per Line'!$AN$2:$AN$1001),MATCH(ROWS($Y$2:$Y262),'Per Line'!$AN$2:$AN$1001,0),"")</f>
        <v/>
      </c>
      <c r="Z262" s="14">
        <f>IF($Y262="","",J262-I262*W262/100)</f>
        <v/>
      </c>
    </row>
    <row r="263">
      <c r="A263" s="12" t="n"/>
      <c r="B263">
        <f>IF($Y263="","",INDEX('Per Line'!$D$2:$D$1001,$Y263)&amp;"")</f>
        <v/>
      </c>
      <c r="C263">
        <f>IF($Y263="","",INDEX('Per Line'!$C$2:$C$1001,$Y263)&amp;"")</f>
        <v/>
      </c>
      <c r="D263" s="11">
        <f>IF($Y263="","",INDEX('Per Line'!$F$2:$F$1001,$Y263))</f>
        <v/>
      </c>
      <c r="E263">
        <f>IF($Y263="","",INDEX('Per Line'!$G$2:$G$1001,$Y263)&amp;"")</f>
        <v/>
      </c>
      <c r="F263">
        <f>IF($Y263="","",INDEX('Per Line'!$I$2:$I$1001,$Y263)&amp;"")</f>
        <v/>
      </c>
      <c r="G263">
        <f>IF($Y263="","",INDEX('Per Line'!$J$2:$J$1001,$Y263)&amp;"")</f>
        <v/>
      </c>
      <c r="H263">
        <f>IF($Y263="","",INDEX('Per Line'!$K$2:$K$1001,$Y263)&amp;"")</f>
        <v/>
      </c>
      <c r="I263">
        <f>IF($Y263="","",INDEX('Per Line'!$O$2:$O$1001,$Y263))</f>
        <v/>
      </c>
      <c r="J263" s="7">
        <f>IF($Y263="","",IF(AND(ISNUMBER(L263),L263&gt;0,W263&gt;L263),I263*L263/100+(W263-L263),I263*W263/100))</f>
        <v/>
      </c>
      <c r="K263">
        <f>IF($Y263="","",INDEX('Per Line'!$Y$2:$Y$1001,$Y263)&amp;"")</f>
        <v/>
      </c>
      <c r="L263">
        <f>IF($Y263="","",INDEX('Per Line'!$AF$2:$AF$1001,$Y263))</f>
        <v/>
      </c>
      <c r="M263">
        <f>IF($Y263="","",IF(AND(ISNUMBER(L263),L263&gt;0),W263&gt;L263,FALSE))</f>
        <v/>
      </c>
      <c r="N263" s="7">
        <f>IF($Y263="","",SUMIFS('Per Line'!$X$2:$X$1001,'Per Line'!$D$2:$D$1001,$B263,'Per Line'!$AP$2:$AP$1001,1))</f>
        <v/>
      </c>
      <c r="O263">
        <f>IF($Y263="","",Settings!$C$7)</f>
        <v/>
      </c>
      <c r="P263" s="7">
        <f>IF($Y263="","",SUMIFS('Per Line'!$X$2:$X$1001,'Per Line'!$D$2:$D$1001,$B263,'Per Line'!$AO$2:$AO$1001,0,'Per Line'!$AP$2:$AP$1001,0))</f>
        <v/>
      </c>
      <c r="Q263" s="7">
        <f>IF($Y263="","",P263*O263)</f>
        <v/>
      </c>
      <c r="R263">
        <f>IF($Y263="","",Settings!$C$6)</f>
        <v/>
      </c>
      <c r="S263" s="7">
        <f>IF($Y263="","",SUMIFS('Per Line'!$X$2:$X$1001,'Per Line'!$D$2:$D$1001,$B263,'Per Line'!$AO$2:$AO$1001,1,'Per Line'!$AP$2:$AP$1001,0))</f>
        <v/>
      </c>
      <c r="T263" s="7">
        <f>IF($Y263="","",S263*R263)</f>
        <v/>
      </c>
      <c r="U263" s="7">
        <f>IF($Y263="","",T263+Q263)</f>
        <v/>
      </c>
      <c r="V263" s="7">
        <f>IF($Y263="","",W263-U263)</f>
        <v/>
      </c>
      <c r="W263" s="7">
        <f>IF($Y263="","",P263+S263+N263)</f>
        <v/>
      </c>
      <c r="X263" s="7">
        <f>IF($Y263="","",W263-U263-J263)</f>
        <v/>
      </c>
      <c r="Y263" s="13">
        <f>IF(ROWS($Y$2:$Y263)&lt;=MAX('Per Line'!$AN$2:$AN$1001),MATCH(ROWS($Y$2:$Y263),'Per Line'!$AN$2:$AN$1001,0),"")</f>
        <v/>
      </c>
      <c r="Z263" s="14">
        <f>IF($Y263="","",J263-I263*W263/100)</f>
        <v/>
      </c>
    </row>
    <row r="264">
      <c r="A264" s="12" t="n"/>
      <c r="B264">
        <f>IF($Y264="","",INDEX('Per Line'!$D$2:$D$1001,$Y264)&amp;"")</f>
        <v/>
      </c>
      <c r="C264">
        <f>IF($Y264="","",INDEX('Per Line'!$C$2:$C$1001,$Y264)&amp;"")</f>
        <v/>
      </c>
      <c r="D264" s="11">
        <f>IF($Y264="","",INDEX('Per Line'!$F$2:$F$1001,$Y264))</f>
        <v/>
      </c>
      <c r="E264">
        <f>IF($Y264="","",INDEX('Per Line'!$G$2:$G$1001,$Y264)&amp;"")</f>
        <v/>
      </c>
      <c r="F264">
        <f>IF($Y264="","",INDEX('Per Line'!$I$2:$I$1001,$Y264)&amp;"")</f>
        <v/>
      </c>
      <c r="G264">
        <f>IF($Y264="","",INDEX('Per Line'!$J$2:$J$1001,$Y264)&amp;"")</f>
        <v/>
      </c>
      <c r="H264">
        <f>IF($Y264="","",INDEX('Per Line'!$K$2:$K$1001,$Y264)&amp;"")</f>
        <v/>
      </c>
      <c r="I264">
        <f>IF($Y264="","",INDEX('Per Line'!$O$2:$O$1001,$Y264))</f>
        <v/>
      </c>
      <c r="J264" s="7">
        <f>IF($Y264="","",IF(AND(ISNUMBER(L264),L264&gt;0,W264&gt;L264),I264*L264/100+(W264-L264),I264*W264/100))</f>
        <v/>
      </c>
      <c r="K264">
        <f>IF($Y264="","",INDEX('Per Line'!$Y$2:$Y$1001,$Y264)&amp;"")</f>
        <v/>
      </c>
      <c r="L264">
        <f>IF($Y264="","",INDEX('Per Line'!$AF$2:$AF$1001,$Y264))</f>
        <v/>
      </c>
      <c r="M264">
        <f>IF($Y264="","",IF(AND(ISNUMBER(L264),L264&gt;0),W264&gt;L264,FALSE))</f>
        <v/>
      </c>
      <c r="N264" s="7">
        <f>IF($Y264="","",SUMIFS('Per Line'!$X$2:$X$1001,'Per Line'!$D$2:$D$1001,$B264,'Per Line'!$AP$2:$AP$1001,1))</f>
        <v/>
      </c>
      <c r="O264">
        <f>IF($Y264="","",Settings!$C$7)</f>
        <v/>
      </c>
      <c r="P264" s="7">
        <f>IF($Y264="","",SUMIFS('Per Line'!$X$2:$X$1001,'Per Line'!$D$2:$D$1001,$B264,'Per Line'!$AO$2:$AO$1001,0,'Per Line'!$AP$2:$AP$1001,0))</f>
        <v/>
      </c>
      <c r="Q264" s="7">
        <f>IF($Y264="","",P264*O264)</f>
        <v/>
      </c>
      <c r="R264">
        <f>IF($Y264="","",Settings!$C$6)</f>
        <v/>
      </c>
      <c r="S264" s="7">
        <f>IF($Y264="","",SUMIFS('Per Line'!$X$2:$X$1001,'Per Line'!$D$2:$D$1001,$B264,'Per Line'!$AO$2:$AO$1001,1,'Per Line'!$AP$2:$AP$1001,0))</f>
        <v/>
      </c>
      <c r="T264" s="7">
        <f>IF($Y264="","",S264*R264)</f>
        <v/>
      </c>
      <c r="U264" s="7">
        <f>IF($Y264="","",T264+Q264)</f>
        <v/>
      </c>
      <c r="V264" s="7">
        <f>IF($Y264="","",W264-U264)</f>
        <v/>
      </c>
      <c r="W264" s="7">
        <f>IF($Y264="","",P264+S264+N264)</f>
        <v/>
      </c>
      <c r="X264" s="7">
        <f>IF($Y264="","",W264-U264-J264)</f>
        <v/>
      </c>
      <c r="Y264" s="13">
        <f>IF(ROWS($Y$2:$Y264)&lt;=MAX('Per Line'!$AN$2:$AN$1001),MATCH(ROWS($Y$2:$Y264),'Per Line'!$AN$2:$AN$1001,0),"")</f>
        <v/>
      </c>
      <c r="Z264" s="14">
        <f>IF($Y264="","",J264-I264*W264/100)</f>
        <v/>
      </c>
    </row>
    <row r="265">
      <c r="A265" s="12" t="n"/>
      <c r="B265">
        <f>IF($Y265="","",INDEX('Per Line'!$D$2:$D$1001,$Y265)&amp;"")</f>
        <v/>
      </c>
      <c r="C265">
        <f>IF($Y265="","",INDEX('Per Line'!$C$2:$C$1001,$Y265)&amp;"")</f>
        <v/>
      </c>
      <c r="D265" s="11">
        <f>IF($Y265="","",INDEX('Per Line'!$F$2:$F$1001,$Y265))</f>
        <v/>
      </c>
      <c r="E265">
        <f>IF($Y265="","",INDEX('Per Line'!$G$2:$G$1001,$Y265)&amp;"")</f>
        <v/>
      </c>
      <c r="F265">
        <f>IF($Y265="","",INDEX('Per Line'!$I$2:$I$1001,$Y265)&amp;"")</f>
        <v/>
      </c>
      <c r="G265">
        <f>IF($Y265="","",INDEX('Per Line'!$J$2:$J$1001,$Y265)&amp;"")</f>
        <v/>
      </c>
      <c r="H265">
        <f>IF($Y265="","",INDEX('Per Line'!$K$2:$K$1001,$Y265)&amp;"")</f>
        <v/>
      </c>
      <c r="I265">
        <f>IF($Y265="","",INDEX('Per Line'!$O$2:$O$1001,$Y265))</f>
        <v/>
      </c>
      <c r="J265" s="7">
        <f>IF($Y265="","",IF(AND(ISNUMBER(L265),L265&gt;0,W265&gt;L265),I265*L265/100+(W265-L265),I265*W265/100))</f>
        <v/>
      </c>
      <c r="K265">
        <f>IF($Y265="","",INDEX('Per Line'!$Y$2:$Y$1001,$Y265)&amp;"")</f>
        <v/>
      </c>
      <c r="L265">
        <f>IF($Y265="","",INDEX('Per Line'!$AF$2:$AF$1001,$Y265))</f>
        <v/>
      </c>
      <c r="M265">
        <f>IF($Y265="","",IF(AND(ISNUMBER(L265),L265&gt;0),W265&gt;L265,FALSE))</f>
        <v/>
      </c>
      <c r="N265" s="7">
        <f>IF($Y265="","",SUMIFS('Per Line'!$X$2:$X$1001,'Per Line'!$D$2:$D$1001,$B265,'Per Line'!$AP$2:$AP$1001,1))</f>
        <v/>
      </c>
      <c r="O265">
        <f>IF($Y265="","",Settings!$C$7)</f>
        <v/>
      </c>
      <c r="P265" s="7">
        <f>IF($Y265="","",SUMIFS('Per Line'!$X$2:$X$1001,'Per Line'!$D$2:$D$1001,$B265,'Per Line'!$AO$2:$AO$1001,0,'Per Line'!$AP$2:$AP$1001,0))</f>
        <v/>
      </c>
      <c r="Q265" s="7">
        <f>IF($Y265="","",P265*O265)</f>
        <v/>
      </c>
      <c r="R265">
        <f>IF($Y265="","",Settings!$C$6)</f>
        <v/>
      </c>
      <c r="S265" s="7">
        <f>IF($Y265="","",SUMIFS('Per Line'!$X$2:$X$1001,'Per Line'!$D$2:$D$1001,$B265,'Per Line'!$AO$2:$AO$1001,1,'Per Line'!$AP$2:$AP$1001,0))</f>
        <v/>
      </c>
      <c r="T265" s="7">
        <f>IF($Y265="","",S265*R265)</f>
        <v/>
      </c>
      <c r="U265" s="7">
        <f>IF($Y265="","",T265+Q265)</f>
        <v/>
      </c>
      <c r="V265" s="7">
        <f>IF($Y265="","",W265-U265)</f>
        <v/>
      </c>
      <c r="W265" s="7">
        <f>IF($Y265="","",P265+S265+N265)</f>
        <v/>
      </c>
      <c r="X265" s="7">
        <f>IF($Y265="","",W265-U265-J265)</f>
        <v/>
      </c>
      <c r="Y265" s="13">
        <f>IF(ROWS($Y$2:$Y265)&lt;=MAX('Per Line'!$AN$2:$AN$1001),MATCH(ROWS($Y$2:$Y265),'Per Line'!$AN$2:$AN$1001,0),"")</f>
        <v/>
      </c>
      <c r="Z265" s="14">
        <f>IF($Y265="","",J265-I265*W265/100)</f>
        <v/>
      </c>
    </row>
    <row r="266">
      <c r="A266" s="12" t="n"/>
      <c r="B266">
        <f>IF($Y266="","",INDEX('Per Line'!$D$2:$D$1001,$Y266)&amp;"")</f>
        <v/>
      </c>
      <c r="C266">
        <f>IF($Y266="","",INDEX('Per Line'!$C$2:$C$1001,$Y266)&amp;"")</f>
        <v/>
      </c>
      <c r="D266" s="11">
        <f>IF($Y266="","",INDEX('Per Line'!$F$2:$F$1001,$Y266))</f>
        <v/>
      </c>
      <c r="E266">
        <f>IF($Y266="","",INDEX('Per Line'!$G$2:$G$1001,$Y266)&amp;"")</f>
        <v/>
      </c>
      <c r="F266">
        <f>IF($Y266="","",INDEX('Per Line'!$I$2:$I$1001,$Y266)&amp;"")</f>
        <v/>
      </c>
      <c r="G266">
        <f>IF($Y266="","",INDEX('Per Line'!$J$2:$J$1001,$Y266)&amp;"")</f>
        <v/>
      </c>
      <c r="H266">
        <f>IF($Y266="","",INDEX('Per Line'!$K$2:$K$1001,$Y266)&amp;"")</f>
        <v/>
      </c>
      <c r="I266">
        <f>IF($Y266="","",INDEX('Per Line'!$O$2:$O$1001,$Y266))</f>
        <v/>
      </c>
      <c r="J266" s="7">
        <f>IF($Y266="","",IF(AND(ISNUMBER(L266),L266&gt;0,W266&gt;L266),I266*L266/100+(W266-L266),I266*W266/100))</f>
        <v/>
      </c>
      <c r="K266">
        <f>IF($Y266="","",INDEX('Per Line'!$Y$2:$Y$1001,$Y266)&amp;"")</f>
        <v/>
      </c>
      <c r="L266">
        <f>IF($Y266="","",INDEX('Per Line'!$AF$2:$AF$1001,$Y266))</f>
        <v/>
      </c>
      <c r="M266">
        <f>IF($Y266="","",IF(AND(ISNUMBER(L266),L266&gt;0),W266&gt;L266,FALSE))</f>
        <v/>
      </c>
      <c r="N266" s="7">
        <f>IF($Y266="","",SUMIFS('Per Line'!$X$2:$X$1001,'Per Line'!$D$2:$D$1001,$B266,'Per Line'!$AP$2:$AP$1001,1))</f>
        <v/>
      </c>
      <c r="O266">
        <f>IF($Y266="","",Settings!$C$7)</f>
        <v/>
      </c>
      <c r="P266" s="7">
        <f>IF($Y266="","",SUMIFS('Per Line'!$X$2:$X$1001,'Per Line'!$D$2:$D$1001,$B266,'Per Line'!$AO$2:$AO$1001,0,'Per Line'!$AP$2:$AP$1001,0))</f>
        <v/>
      </c>
      <c r="Q266" s="7">
        <f>IF($Y266="","",P266*O266)</f>
        <v/>
      </c>
      <c r="R266">
        <f>IF($Y266="","",Settings!$C$6)</f>
        <v/>
      </c>
      <c r="S266" s="7">
        <f>IF($Y266="","",SUMIFS('Per Line'!$X$2:$X$1001,'Per Line'!$D$2:$D$1001,$B266,'Per Line'!$AO$2:$AO$1001,1,'Per Line'!$AP$2:$AP$1001,0))</f>
        <v/>
      </c>
      <c r="T266" s="7">
        <f>IF($Y266="","",S266*R266)</f>
        <v/>
      </c>
      <c r="U266" s="7">
        <f>IF($Y266="","",T266+Q266)</f>
        <v/>
      </c>
      <c r="V266" s="7">
        <f>IF($Y266="","",W266-U266)</f>
        <v/>
      </c>
      <c r="W266" s="7">
        <f>IF($Y266="","",P266+S266+N266)</f>
        <v/>
      </c>
      <c r="X266" s="7">
        <f>IF($Y266="","",W266-U266-J266)</f>
        <v/>
      </c>
      <c r="Y266" s="13">
        <f>IF(ROWS($Y$2:$Y266)&lt;=MAX('Per Line'!$AN$2:$AN$1001),MATCH(ROWS($Y$2:$Y266),'Per Line'!$AN$2:$AN$1001,0),"")</f>
        <v/>
      </c>
      <c r="Z266" s="14">
        <f>IF($Y266="","",J266-I266*W266/100)</f>
        <v/>
      </c>
    </row>
    <row r="267">
      <c r="A267" s="12" t="n"/>
      <c r="B267">
        <f>IF($Y267="","",INDEX('Per Line'!$D$2:$D$1001,$Y267)&amp;"")</f>
        <v/>
      </c>
      <c r="C267">
        <f>IF($Y267="","",INDEX('Per Line'!$C$2:$C$1001,$Y267)&amp;"")</f>
        <v/>
      </c>
      <c r="D267" s="11">
        <f>IF($Y267="","",INDEX('Per Line'!$F$2:$F$1001,$Y267))</f>
        <v/>
      </c>
      <c r="E267">
        <f>IF($Y267="","",INDEX('Per Line'!$G$2:$G$1001,$Y267)&amp;"")</f>
        <v/>
      </c>
      <c r="F267">
        <f>IF($Y267="","",INDEX('Per Line'!$I$2:$I$1001,$Y267)&amp;"")</f>
        <v/>
      </c>
      <c r="G267">
        <f>IF($Y267="","",INDEX('Per Line'!$J$2:$J$1001,$Y267)&amp;"")</f>
        <v/>
      </c>
      <c r="H267">
        <f>IF($Y267="","",INDEX('Per Line'!$K$2:$K$1001,$Y267)&amp;"")</f>
        <v/>
      </c>
      <c r="I267">
        <f>IF($Y267="","",INDEX('Per Line'!$O$2:$O$1001,$Y267))</f>
        <v/>
      </c>
      <c r="J267" s="7">
        <f>IF($Y267="","",IF(AND(ISNUMBER(L267),L267&gt;0,W267&gt;L267),I267*L267/100+(W267-L267),I267*W267/100))</f>
        <v/>
      </c>
      <c r="K267">
        <f>IF($Y267="","",INDEX('Per Line'!$Y$2:$Y$1001,$Y267)&amp;"")</f>
        <v/>
      </c>
      <c r="L267">
        <f>IF($Y267="","",INDEX('Per Line'!$AF$2:$AF$1001,$Y267))</f>
        <v/>
      </c>
      <c r="M267">
        <f>IF($Y267="","",IF(AND(ISNUMBER(L267),L267&gt;0),W267&gt;L267,FALSE))</f>
        <v/>
      </c>
      <c r="N267" s="7">
        <f>IF($Y267="","",SUMIFS('Per Line'!$X$2:$X$1001,'Per Line'!$D$2:$D$1001,$B267,'Per Line'!$AP$2:$AP$1001,1))</f>
        <v/>
      </c>
      <c r="O267">
        <f>IF($Y267="","",Settings!$C$7)</f>
        <v/>
      </c>
      <c r="P267" s="7">
        <f>IF($Y267="","",SUMIFS('Per Line'!$X$2:$X$1001,'Per Line'!$D$2:$D$1001,$B267,'Per Line'!$AO$2:$AO$1001,0,'Per Line'!$AP$2:$AP$1001,0))</f>
        <v/>
      </c>
      <c r="Q267" s="7">
        <f>IF($Y267="","",P267*O267)</f>
        <v/>
      </c>
      <c r="R267">
        <f>IF($Y267="","",Settings!$C$6)</f>
        <v/>
      </c>
      <c r="S267" s="7">
        <f>IF($Y267="","",SUMIFS('Per Line'!$X$2:$X$1001,'Per Line'!$D$2:$D$1001,$B267,'Per Line'!$AO$2:$AO$1001,1,'Per Line'!$AP$2:$AP$1001,0))</f>
        <v/>
      </c>
      <c r="T267" s="7">
        <f>IF($Y267="","",S267*R267)</f>
        <v/>
      </c>
      <c r="U267" s="7">
        <f>IF($Y267="","",T267+Q267)</f>
        <v/>
      </c>
      <c r="V267" s="7">
        <f>IF($Y267="","",W267-U267)</f>
        <v/>
      </c>
      <c r="W267" s="7">
        <f>IF($Y267="","",P267+S267+N267)</f>
        <v/>
      </c>
      <c r="X267" s="7">
        <f>IF($Y267="","",W267-U267-J267)</f>
        <v/>
      </c>
      <c r="Y267" s="13">
        <f>IF(ROWS($Y$2:$Y267)&lt;=MAX('Per Line'!$AN$2:$AN$1001),MATCH(ROWS($Y$2:$Y267),'Per Line'!$AN$2:$AN$1001,0),"")</f>
        <v/>
      </c>
      <c r="Z267" s="14">
        <f>IF($Y267="","",J267-I267*W267/100)</f>
        <v/>
      </c>
    </row>
    <row r="268">
      <c r="A268" s="12" t="n"/>
      <c r="B268">
        <f>IF($Y268="","",INDEX('Per Line'!$D$2:$D$1001,$Y268)&amp;"")</f>
        <v/>
      </c>
      <c r="C268">
        <f>IF($Y268="","",INDEX('Per Line'!$C$2:$C$1001,$Y268)&amp;"")</f>
        <v/>
      </c>
      <c r="D268" s="11">
        <f>IF($Y268="","",INDEX('Per Line'!$F$2:$F$1001,$Y268))</f>
        <v/>
      </c>
      <c r="E268">
        <f>IF($Y268="","",INDEX('Per Line'!$G$2:$G$1001,$Y268)&amp;"")</f>
        <v/>
      </c>
      <c r="F268">
        <f>IF($Y268="","",INDEX('Per Line'!$I$2:$I$1001,$Y268)&amp;"")</f>
        <v/>
      </c>
      <c r="G268">
        <f>IF($Y268="","",INDEX('Per Line'!$J$2:$J$1001,$Y268)&amp;"")</f>
        <v/>
      </c>
      <c r="H268">
        <f>IF($Y268="","",INDEX('Per Line'!$K$2:$K$1001,$Y268)&amp;"")</f>
        <v/>
      </c>
      <c r="I268">
        <f>IF($Y268="","",INDEX('Per Line'!$O$2:$O$1001,$Y268))</f>
        <v/>
      </c>
      <c r="J268" s="7">
        <f>IF($Y268="","",IF(AND(ISNUMBER(L268),L268&gt;0,W268&gt;L268),I268*L268/100+(W268-L268),I268*W268/100))</f>
        <v/>
      </c>
      <c r="K268">
        <f>IF($Y268="","",INDEX('Per Line'!$Y$2:$Y$1001,$Y268)&amp;"")</f>
        <v/>
      </c>
      <c r="L268">
        <f>IF($Y268="","",INDEX('Per Line'!$AF$2:$AF$1001,$Y268))</f>
        <v/>
      </c>
      <c r="M268">
        <f>IF($Y268="","",IF(AND(ISNUMBER(L268),L268&gt;0),W268&gt;L268,FALSE))</f>
        <v/>
      </c>
      <c r="N268" s="7">
        <f>IF($Y268="","",SUMIFS('Per Line'!$X$2:$X$1001,'Per Line'!$D$2:$D$1001,$B268,'Per Line'!$AP$2:$AP$1001,1))</f>
        <v/>
      </c>
      <c r="O268">
        <f>IF($Y268="","",Settings!$C$7)</f>
        <v/>
      </c>
      <c r="P268" s="7">
        <f>IF($Y268="","",SUMIFS('Per Line'!$X$2:$X$1001,'Per Line'!$D$2:$D$1001,$B268,'Per Line'!$AO$2:$AO$1001,0,'Per Line'!$AP$2:$AP$1001,0))</f>
        <v/>
      </c>
      <c r="Q268" s="7">
        <f>IF($Y268="","",P268*O268)</f>
        <v/>
      </c>
      <c r="R268">
        <f>IF($Y268="","",Settings!$C$6)</f>
        <v/>
      </c>
      <c r="S268" s="7">
        <f>IF($Y268="","",SUMIFS('Per Line'!$X$2:$X$1001,'Per Line'!$D$2:$D$1001,$B268,'Per Line'!$AO$2:$AO$1001,1,'Per Line'!$AP$2:$AP$1001,0))</f>
        <v/>
      </c>
      <c r="T268" s="7">
        <f>IF($Y268="","",S268*R268)</f>
        <v/>
      </c>
      <c r="U268" s="7">
        <f>IF($Y268="","",T268+Q268)</f>
        <v/>
      </c>
      <c r="V268" s="7">
        <f>IF($Y268="","",W268-U268)</f>
        <v/>
      </c>
      <c r="W268" s="7">
        <f>IF($Y268="","",P268+S268+N268)</f>
        <v/>
      </c>
      <c r="X268" s="7">
        <f>IF($Y268="","",W268-U268-J268)</f>
        <v/>
      </c>
      <c r="Y268" s="13">
        <f>IF(ROWS($Y$2:$Y268)&lt;=MAX('Per Line'!$AN$2:$AN$1001),MATCH(ROWS($Y$2:$Y268),'Per Line'!$AN$2:$AN$1001,0),"")</f>
        <v/>
      </c>
      <c r="Z268" s="14">
        <f>IF($Y268="","",J268-I268*W268/100)</f>
        <v/>
      </c>
    </row>
    <row r="269">
      <c r="A269" s="12" t="n"/>
      <c r="B269">
        <f>IF($Y269="","",INDEX('Per Line'!$D$2:$D$1001,$Y269)&amp;"")</f>
        <v/>
      </c>
      <c r="C269">
        <f>IF($Y269="","",INDEX('Per Line'!$C$2:$C$1001,$Y269)&amp;"")</f>
        <v/>
      </c>
      <c r="D269" s="11">
        <f>IF($Y269="","",INDEX('Per Line'!$F$2:$F$1001,$Y269))</f>
        <v/>
      </c>
      <c r="E269">
        <f>IF($Y269="","",INDEX('Per Line'!$G$2:$G$1001,$Y269)&amp;"")</f>
        <v/>
      </c>
      <c r="F269">
        <f>IF($Y269="","",INDEX('Per Line'!$I$2:$I$1001,$Y269)&amp;"")</f>
        <v/>
      </c>
      <c r="G269">
        <f>IF($Y269="","",INDEX('Per Line'!$J$2:$J$1001,$Y269)&amp;"")</f>
        <v/>
      </c>
      <c r="H269">
        <f>IF($Y269="","",INDEX('Per Line'!$K$2:$K$1001,$Y269)&amp;"")</f>
        <v/>
      </c>
      <c r="I269">
        <f>IF($Y269="","",INDEX('Per Line'!$O$2:$O$1001,$Y269))</f>
        <v/>
      </c>
      <c r="J269" s="7">
        <f>IF($Y269="","",IF(AND(ISNUMBER(L269),L269&gt;0,W269&gt;L269),I269*L269/100+(W269-L269),I269*W269/100))</f>
        <v/>
      </c>
      <c r="K269">
        <f>IF($Y269="","",INDEX('Per Line'!$Y$2:$Y$1001,$Y269)&amp;"")</f>
        <v/>
      </c>
      <c r="L269">
        <f>IF($Y269="","",INDEX('Per Line'!$AF$2:$AF$1001,$Y269))</f>
        <v/>
      </c>
      <c r="M269">
        <f>IF($Y269="","",IF(AND(ISNUMBER(L269),L269&gt;0),W269&gt;L269,FALSE))</f>
        <v/>
      </c>
      <c r="N269" s="7">
        <f>IF($Y269="","",SUMIFS('Per Line'!$X$2:$X$1001,'Per Line'!$D$2:$D$1001,$B269,'Per Line'!$AP$2:$AP$1001,1))</f>
        <v/>
      </c>
      <c r="O269">
        <f>IF($Y269="","",Settings!$C$7)</f>
        <v/>
      </c>
      <c r="P269" s="7">
        <f>IF($Y269="","",SUMIFS('Per Line'!$X$2:$X$1001,'Per Line'!$D$2:$D$1001,$B269,'Per Line'!$AO$2:$AO$1001,0,'Per Line'!$AP$2:$AP$1001,0))</f>
        <v/>
      </c>
      <c r="Q269" s="7">
        <f>IF($Y269="","",P269*O269)</f>
        <v/>
      </c>
      <c r="R269">
        <f>IF($Y269="","",Settings!$C$6)</f>
        <v/>
      </c>
      <c r="S269" s="7">
        <f>IF($Y269="","",SUMIFS('Per Line'!$X$2:$X$1001,'Per Line'!$D$2:$D$1001,$B269,'Per Line'!$AO$2:$AO$1001,1,'Per Line'!$AP$2:$AP$1001,0))</f>
        <v/>
      </c>
      <c r="T269" s="7">
        <f>IF($Y269="","",S269*R269)</f>
        <v/>
      </c>
      <c r="U269" s="7">
        <f>IF($Y269="","",T269+Q269)</f>
        <v/>
      </c>
      <c r="V269" s="7">
        <f>IF($Y269="","",W269-U269)</f>
        <v/>
      </c>
      <c r="W269" s="7">
        <f>IF($Y269="","",P269+S269+N269)</f>
        <v/>
      </c>
      <c r="X269" s="7">
        <f>IF($Y269="","",W269-U269-J269)</f>
        <v/>
      </c>
      <c r="Y269" s="13">
        <f>IF(ROWS($Y$2:$Y269)&lt;=MAX('Per Line'!$AN$2:$AN$1001),MATCH(ROWS($Y$2:$Y269),'Per Line'!$AN$2:$AN$1001,0),"")</f>
        <v/>
      </c>
      <c r="Z269" s="14">
        <f>IF($Y269="","",J269-I269*W269/100)</f>
        <v/>
      </c>
    </row>
    <row r="270">
      <c r="A270" s="12" t="n"/>
      <c r="B270">
        <f>IF($Y270="","",INDEX('Per Line'!$D$2:$D$1001,$Y270)&amp;"")</f>
        <v/>
      </c>
      <c r="C270">
        <f>IF($Y270="","",INDEX('Per Line'!$C$2:$C$1001,$Y270)&amp;"")</f>
        <v/>
      </c>
      <c r="D270" s="11">
        <f>IF($Y270="","",INDEX('Per Line'!$F$2:$F$1001,$Y270))</f>
        <v/>
      </c>
      <c r="E270">
        <f>IF($Y270="","",INDEX('Per Line'!$G$2:$G$1001,$Y270)&amp;"")</f>
        <v/>
      </c>
      <c r="F270">
        <f>IF($Y270="","",INDEX('Per Line'!$I$2:$I$1001,$Y270)&amp;"")</f>
        <v/>
      </c>
      <c r="G270">
        <f>IF($Y270="","",INDEX('Per Line'!$J$2:$J$1001,$Y270)&amp;"")</f>
        <v/>
      </c>
      <c r="H270">
        <f>IF($Y270="","",INDEX('Per Line'!$K$2:$K$1001,$Y270)&amp;"")</f>
        <v/>
      </c>
      <c r="I270">
        <f>IF($Y270="","",INDEX('Per Line'!$O$2:$O$1001,$Y270))</f>
        <v/>
      </c>
      <c r="J270" s="7">
        <f>IF($Y270="","",IF(AND(ISNUMBER(L270),L270&gt;0,W270&gt;L270),I270*L270/100+(W270-L270),I270*W270/100))</f>
        <v/>
      </c>
      <c r="K270">
        <f>IF($Y270="","",INDEX('Per Line'!$Y$2:$Y$1001,$Y270)&amp;"")</f>
        <v/>
      </c>
      <c r="L270">
        <f>IF($Y270="","",INDEX('Per Line'!$AF$2:$AF$1001,$Y270))</f>
        <v/>
      </c>
      <c r="M270">
        <f>IF($Y270="","",IF(AND(ISNUMBER(L270),L270&gt;0),W270&gt;L270,FALSE))</f>
        <v/>
      </c>
      <c r="N270" s="7">
        <f>IF($Y270="","",SUMIFS('Per Line'!$X$2:$X$1001,'Per Line'!$D$2:$D$1001,$B270,'Per Line'!$AP$2:$AP$1001,1))</f>
        <v/>
      </c>
      <c r="O270">
        <f>IF($Y270="","",Settings!$C$7)</f>
        <v/>
      </c>
      <c r="P270" s="7">
        <f>IF($Y270="","",SUMIFS('Per Line'!$X$2:$X$1001,'Per Line'!$D$2:$D$1001,$B270,'Per Line'!$AO$2:$AO$1001,0,'Per Line'!$AP$2:$AP$1001,0))</f>
        <v/>
      </c>
      <c r="Q270" s="7">
        <f>IF($Y270="","",P270*O270)</f>
        <v/>
      </c>
      <c r="R270">
        <f>IF($Y270="","",Settings!$C$6)</f>
        <v/>
      </c>
      <c r="S270" s="7">
        <f>IF($Y270="","",SUMIFS('Per Line'!$X$2:$X$1001,'Per Line'!$D$2:$D$1001,$B270,'Per Line'!$AO$2:$AO$1001,1,'Per Line'!$AP$2:$AP$1001,0))</f>
        <v/>
      </c>
      <c r="T270" s="7">
        <f>IF($Y270="","",S270*R270)</f>
        <v/>
      </c>
      <c r="U270" s="7">
        <f>IF($Y270="","",T270+Q270)</f>
        <v/>
      </c>
      <c r="V270" s="7">
        <f>IF($Y270="","",W270-U270)</f>
        <v/>
      </c>
      <c r="W270" s="7">
        <f>IF($Y270="","",P270+S270+N270)</f>
        <v/>
      </c>
      <c r="X270" s="7">
        <f>IF($Y270="","",W270-U270-J270)</f>
        <v/>
      </c>
      <c r="Y270" s="13">
        <f>IF(ROWS($Y$2:$Y270)&lt;=MAX('Per Line'!$AN$2:$AN$1001),MATCH(ROWS($Y$2:$Y270),'Per Line'!$AN$2:$AN$1001,0),"")</f>
        <v/>
      </c>
      <c r="Z270" s="14">
        <f>IF($Y270="","",J270-I270*W270/100)</f>
        <v/>
      </c>
    </row>
    <row r="271">
      <c r="A271" s="12" t="n"/>
      <c r="B271">
        <f>IF($Y271="","",INDEX('Per Line'!$D$2:$D$1001,$Y271)&amp;"")</f>
        <v/>
      </c>
      <c r="C271">
        <f>IF($Y271="","",INDEX('Per Line'!$C$2:$C$1001,$Y271)&amp;"")</f>
        <v/>
      </c>
      <c r="D271" s="11">
        <f>IF($Y271="","",INDEX('Per Line'!$F$2:$F$1001,$Y271))</f>
        <v/>
      </c>
      <c r="E271">
        <f>IF($Y271="","",INDEX('Per Line'!$G$2:$G$1001,$Y271)&amp;"")</f>
        <v/>
      </c>
      <c r="F271">
        <f>IF($Y271="","",INDEX('Per Line'!$I$2:$I$1001,$Y271)&amp;"")</f>
        <v/>
      </c>
      <c r="G271">
        <f>IF($Y271="","",INDEX('Per Line'!$J$2:$J$1001,$Y271)&amp;"")</f>
        <v/>
      </c>
      <c r="H271">
        <f>IF($Y271="","",INDEX('Per Line'!$K$2:$K$1001,$Y271)&amp;"")</f>
        <v/>
      </c>
      <c r="I271">
        <f>IF($Y271="","",INDEX('Per Line'!$O$2:$O$1001,$Y271))</f>
        <v/>
      </c>
      <c r="J271" s="7">
        <f>IF($Y271="","",IF(AND(ISNUMBER(L271),L271&gt;0,W271&gt;L271),I271*L271/100+(W271-L271),I271*W271/100))</f>
        <v/>
      </c>
      <c r="K271">
        <f>IF($Y271="","",INDEX('Per Line'!$Y$2:$Y$1001,$Y271)&amp;"")</f>
        <v/>
      </c>
      <c r="L271">
        <f>IF($Y271="","",INDEX('Per Line'!$AF$2:$AF$1001,$Y271))</f>
        <v/>
      </c>
      <c r="M271">
        <f>IF($Y271="","",IF(AND(ISNUMBER(L271),L271&gt;0),W271&gt;L271,FALSE))</f>
        <v/>
      </c>
      <c r="N271" s="7">
        <f>IF($Y271="","",SUMIFS('Per Line'!$X$2:$X$1001,'Per Line'!$D$2:$D$1001,$B271,'Per Line'!$AP$2:$AP$1001,1))</f>
        <v/>
      </c>
      <c r="O271">
        <f>IF($Y271="","",Settings!$C$7)</f>
        <v/>
      </c>
      <c r="P271" s="7">
        <f>IF($Y271="","",SUMIFS('Per Line'!$X$2:$X$1001,'Per Line'!$D$2:$D$1001,$B271,'Per Line'!$AO$2:$AO$1001,0,'Per Line'!$AP$2:$AP$1001,0))</f>
        <v/>
      </c>
      <c r="Q271" s="7">
        <f>IF($Y271="","",P271*O271)</f>
        <v/>
      </c>
      <c r="R271">
        <f>IF($Y271="","",Settings!$C$6)</f>
        <v/>
      </c>
      <c r="S271" s="7">
        <f>IF($Y271="","",SUMIFS('Per Line'!$X$2:$X$1001,'Per Line'!$D$2:$D$1001,$B271,'Per Line'!$AO$2:$AO$1001,1,'Per Line'!$AP$2:$AP$1001,0))</f>
        <v/>
      </c>
      <c r="T271" s="7">
        <f>IF($Y271="","",S271*R271)</f>
        <v/>
      </c>
      <c r="U271" s="7">
        <f>IF($Y271="","",T271+Q271)</f>
        <v/>
      </c>
      <c r="V271" s="7">
        <f>IF($Y271="","",W271-U271)</f>
        <v/>
      </c>
      <c r="W271" s="7">
        <f>IF($Y271="","",P271+S271+N271)</f>
        <v/>
      </c>
      <c r="X271" s="7">
        <f>IF($Y271="","",W271-U271-J271)</f>
        <v/>
      </c>
      <c r="Y271" s="13">
        <f>IF(ROWS($Y$2:$Y271)&lt;=MAX('Per Line'!$AN$2:$AN$1001),MATCH(ROWS($Y$2:$Y271),'Per Line'!$AN$2:$AN$1001,0),"")</f>
        <v/>
      </c>
      <c r="Z271" s="14">
        <f>IF($Y271="","",J271-I271*W271/100)</f>
        <v/>
      </c>
    </row>
    <row r="272">
      <c r="A272" s="12" t="n"/>
      <c r="B272">
        <f>IF($Y272="","",INDEX('Per Line'!$D$2:$D$1001,$Y272)&amp;"")</f>
        <v/>
      </c>
      <c r="C272">
        <f>IF($Y272="","",INDEX('Per Line'!$C$2:$C$1001,$Y272)&amp;"")</f>
        <v/>
      </c>
      <c r="D272" s="11">
        <f>IF($Y272="","",INDEX('Per Line'!$F$2:$F$1001,$Y272))</f>
        <v/>
      </c>
      <c r="E272">
        <f>IF($Y272="","",INDEX('Per Line'!$G$2:$G$1001,$Y272)&amp;"")</f>
        <v/>
      </c>
      <c r="F272">
        <f>IF($Y272="","",INDEX('Per Line'!$I$2:$I$1001,$Y272)&amp;"")</f>
        <v/>
      </c>
      <c r="G272">
        <f>IF($Y272="","",INDEX('Per Line'!$J$2:$J$1001,$Y272)&amp;"")</f>
        <v/>
      </c>
      <c r="H272">
        <f>IF($Y272="","",INDEX('Per Line'!$K$2:$K$1001,$Y272)&amp;"")</f>
        <v/>
      </c>
      <c r="I272">
        <f>IF($Y272="","",INDEX('Per Line'!$O$2:$O$1001,$Y272))</f>
        <v/>
      </c>
      <c r="J272" s="7">
        <f>IF($Y272="","",IF(AND(ISNUMBER(L272),L272&gt;0,W272&gt;L272),I272*L272/100+(W272-L272),I272*W272/100))</f>
        <v/>
      </c>
      <c r="K272">
        <f>IF($Y272="","",INDEX('Per Line'!$Y$2:$Y$1001,$Y272)&amp;"")</f>
        <v/>
      </c>
      <c r="L272">
        <f>IF($Y272="","",INDEX('Per Line'!$AF$2:$AF$1001,$Y272))</f>
        <v/>
      </c>
      <c r="M272">
        <f>IF($Y272="","",IF(AND(ISNUMBER(L272),L272&gt;0),W272&gt;L272,FALSE))</f>
        <v/>
      </c>
      <c r="N272" s="7">
        <f>IF($Y272="","",SUMIFS('Per Line'!$X$2:$X$1001,'Per Line'!$D$2:$D$1001,$B272,'Per Line'!$AP$2:$AP$1001,1))</f>
        <v/>
      </c>
      <c r="O272">
        <f>IF($Y272="","",Settings!$C$7)</f>
        <v/>
      </c>
      <c r="P272" s="7">
        <f>IF($Y272="","",SUMIFS('Per Line'!$X$2:$X$1001,'Per Line'!$D$2:$D$1001,$B272,'Per Line'!$AO$2:$AO$1001,0,'Per Line'!$AP$2:$AP$1001,0))</f>
        <v/>
      </c>
      <c r="Q272" s="7">
        <f>IF($Y272="","",P272*O272)</f>
        <v/>
      </c>
      <c r="R272">
        <f>IF($Y272="","",Settings!$C$6)</f>
        <v/>
      </c>
      <c r="S272" s="7">
        <f>IF($Y272="","",SUMIFS('Per Line'!$X$2:$X$1001,'Per Line'!$D$2:$D$1001,$B272,'Per Line'!$AO$2:$AO$1001,1,'Per Line'!$AP$2:$AP$1001,0))</f>
        <v/>
      </c>
      <c r="T272" s="7">
        <f>IF($Y272="","",S272*R272)</f>
        <v/>
      </c>
      <c r="U272" s="7">
        <f>IF($Y272="","",T272+Q272)</f>
        <v/>
      </c>
      <c r="V272" s="7">
        <f>IF($Y272="","",W272-U272)</f>
        <v/>
      </c>
      <c r="W272" s="7">
        <f>IF($Y272="","",P272+S272+N272)</f>
        <v/>
      </c>
      <c r="X272" s="7">
        <f>IF($Y272="","",W272-U272-J272)</f>
        <v/>
      </c>
      <c r="Y272" s="13">
        <f>IF(ROWS($Y$2:$Y272)&lt;=MAX('Per Line'!$AN$2:$AN$1001),MATCH(ROWS($Y$2:$Y272),'Per Line'!$AN$2:$AN$1001,0),"")</f>
        <v/>
      </c>
      <c r="Z272" s="14">
        <f>IF($Y272="","",J272-I272*W272/100)</f>
        <v/>
      </c>
    </row>
    <row r="273">
      <c r="A273" s="12" t="n"/>
      <c r="B273">
        <f>IF($Y273="","",INDEX('Per Line'!$D$2:$D$1001,$Y273)&amp;"")</f>
        <v/>
      </c>
      <c r="C273">
        <f>IF($Y273="","",INDEX('Per Line'!$C$2:$C$1001,$Y273)&amp;"")</f>
        <v/>
      </c>
      <c r="D273" s="11">
        <f>IF($Y273="","",INDEX('Per Line'!$F$2:$F$1001,$Y273))</f>
        <v/>
      </c>
      <c r="E273">
        <f>IF($Y273="","",INDEX('Per Line'!$G$2:$G$1001,$Y273)&amp;"")</f>
        <v/>
      </c>
      <c r="F273">
        <f>IF($Y273="","",INDEX('Per Line'!$I$2:$I$1001,$Y273)&amp;"")</f>
        <v/>
      </c>
      <c r="G273">
        <f>IF($Y273="","",INDEX('Per Line'!$J$2:$J$1001,$Y273)&amp;"")</f>
        <v/>
      </c>
      <c r="H273">
        <f>IF($Y273="","",INDEX('Per Line'!$K$2:$K$1001,$Y273)&amp;"")</f>
        <v/>
      </c>
      <c r="I273">
        <f>IF($Y273="","",INDEX('Per Line'!$O$2:$O$1001,$Y273))</f>
        <v/>
      </c>
      <c r="J273" s="7">
        <f>IF($Y273="","",IF(AND(ISNUMBER(L273),L273&gt;0,W273&gt;L273),I273*L273/100+(W273-L273),I273*W273/100))</f>
        <v/>
      </c>
      <c r="K273">
        <f>IF($Y273="","",INDEX('Per Line'!$Y$2:$Y$1001,$Y273)&amp;"")</f>
        <v/>
      </c>
      <c r="L273">
        <f>IF($Y273="","",INDEX('Per Line'!$AF$2:$AF$1001,$Y273))</f>
        <v/>
      </c>
      <c r="M273">
        <f>IF($Y273="","",IF(AND(ISNUMBER(L273),L273&gt;0),W273&gt;L273,FALSE))</f>
        <v/>
      </c>
      <c r="N273" s="7">
        <f>IF($Y273="","",SUMIFS('Per Line'!$X$2:$X$1001,'Per Line'!$D$2:$D$1001,$B273,'Per Line'!$AP$2:$AP$1001,1))</f>
        <v/>
      </c>
      <c r="O273">
        <f>IF($Y273="","",Settings!$C$7)</f>
        <v/>
      </c>
      <c r="P273" s="7">
        <f>IF($Y273="","",SUMIFS('Per Line'!$X$2:$X$1001,'Per Line'!$D$2:$D$1001,$B273,'Per Line'!$AO$2:$AO$1001,0,'Per Line'!$AP$2:$AP$1001,0))</f>
        <v/>
      </c>
      <c r="Q273" s="7">
        <f>IF($Y273="","",P273*O273)</f>
        <v/>
      </c>
      <c r="R273">
        <f>IF($Y273="","",Settings!$C$6)</f>
        <v/>
      </c>
      <c r="S273" s="7">
        <f>IF($Y273="","",SUMIFS('Per Line'!$X$2:$X$1001,'Per Line'!$D$2:$D$1001,$B273,'Per Line'!$AO$2:$AO$1001,1,'Per Line'!$AP$2:$AP$1001,0))</f>
        <v/>
      </c>
      <c r="T273" s="7">
        <f>IF($Y273="","",S273*R273)</f>
        <v/>
      </c>
      <c r="U273" s="7">
        <f>IF($Y273="","",T273+Q273)</f>
        <v/>
      </c>
      <c r="V273" s="7">
        <f>IF($Y273="","",W273-U273)</f>
        <v/>
      </c>
      <c r="W273" s="7">
        <f>IF($Y273="","",P273+S273+N273)</f>
        <v/>
      </c>
      <c r="X273" s="7">
        <f>IF($Y273="","",W273-U273-J273)</f>
        <v/>
      </c>
      <c r="Y273" s="13">
        <f>IF(ROWS($Y$2:$Y273)&lt;=MAX('Per Line'!$AN$2:$AN$1001),MATCH(ROWS($Y$2:$Y273),'Per Line'!$AN$2:$AN$1001,0),"")</f>
        <v/>
      </c>
      <c r="Z273" s="14">
        <f>IF($Y273="","",J273-I273*W273/100)</f>
        <v/>
      </c>
    </row>
    <row r="274">
      <c r="A274" s="12" t="n"/>
      <c r="B274">
        <f>IF($Y274="","",INDEX('Per Line'!$D$2:$D$1001,$Y274)&amp;"")</f>
        <v/>
      </c>
      <c r="C274">
        <f>IF($Y274="","",INDEX('Per Line'!$C$2:$C$1001,$Y274)&amp;"")</f>
        <v/>
      </c>
      <c r="D274" s="11">
        <f>IF($Y274="","",INDEX('Per Line'!$F$2:$F$1001,$Y274))</f>
        <v/>
      </c>
      <c r="E274">
        <f>IF($Y274="","",INDEX('Per Line'!$G$2:$G$1001,$Y274)&amp;"")</f>
        <v/>
      </c>
      <c r="F274">
        <f>IF($Y274="","",INDEX('Per Line'!$I$2:$I$1001,$Y274)&amp;"")</f>
        <v/>
      </c>
      <c r="G274">
        <f>IF($Y274="","",INDEX('Per Line'!$J$2:$J$1001,$Y274)&amp;"")</f>
        <v/>
      </c>
      <c r="H274">
        <f>IF($Y274="","",INDEX('Per Line'!$K$2:$K$1001,$Y274)&amp;"")</f>
        <v/>
      </c>
      <c r="I274">
        <f>IF($Y274="","",INDEX('Per Line'!$O$2:$O$1001,$Y274))</f>
        <v/>
      </c>
      <c r="J274" s="7">
        <f>IF($Y274="","",IF(AND(ISNUMBER(L274),L274&gt;0,W274&gt;L274),I274*L274/100+(W274-L274),I274*W274/100))</f>
        <v/>
      </c>
      <c r="K274">
        <f>IF($Y274="","",INDEX('Per Line'!$Y$2:$Y$1001,$Y274)&amp;"")</f>
        <v/>
      </c>
      <c r="L274">
        <f>IF($Y274="","",INDEX('Per Line'!$AF$2:$AF$1001,$Y274))</f>
        <v/>
      </c>
      <c r="M274">
        <f>IF($Y274="","",IF(AND(ISNUMBER(L274),L274&gt;0),W274&gt;L274,FALSE))</f>
        <v/>
      </c>
      <c r="N274" s="7">
        <f>IF($Y274="","",SUMIFS('Per Line'!$X$2:$X$1001,'Per Line'!$D$2:$D$1001,$B274,'Per Line'!$AP$2:$AP$1001,1))</f>
        <v/>
      </c>
      <c r="O274">
        <f>IF($Y274="","",Settings!$C$7)</f>
        <v/>
      </c>
      <c r="P274" s="7">
        <f>IF($Y274="","",SUMIFS('Per Line'!$X$2:$X$1001,'Per Line'!$D$2:$D$1001,$B274,'Per Line'!$AO$2:$AO$1001,0,'Per Line'!$AP$2:$AP$1001,0))</f>
        <v/>
      </c>
      <c r="Q274" s="7">
        <f>IF($Y274="","",P274*O274)</f>
        <v/>
      </c>
      <c r="R274">
        <f>IF($Y274="","",Settings!$C$6)</f>
        <v/>
      </c>
      <c r="S274" s="7">
        <f>IF($Y274="","",SUMIFS('Per Line'!$X$2:$X$1001,'Per Line'!$D$2:$D$1001,$B274,'Per Line'!$AO$2:$AO$1001,1,'Per Line'!$AP$2:$AP$1001,0))</f>
        <v/>
      </c>
      <c r="T274" s="7">
        <f>IF($Y274="","",S274*R274)</f>
        <v/>
      </c>
      <c r="U274" s="7">
        <f>IF($Y274="","",T274+Q274)</f>
        <v/>
      </c>
      <c r="V274" s="7">
        <f>IF($Y274="","",W274-U274)</f>
        <v/>
      </c>
      <c r="W274" s="7">
        <f>IF($Y274="","",P274+S274+N274)</f>
        <v/>
      </c>
      <c r="X274" s="7">
        <f>IF($Y274="","",W274-U274-J274)</f>
        <v/>
      </c>
      <c r="Y274" s="13">
        <f>IF(ROWS($Y$2:$Y274)&lt;=MAX('Per Line'!$AN$2:$AN$1001),MATCH(ROWS($Y$2:$Y274),'Per Line'!$AN$2:$AN$1001,0),"")</f>
        <v/>
      </c>
      <c r="Z274" s="14">
        <f>IF($Y274="","",J274-I274*W274/100)</f>
        <v/>
      </c>
    </row>
    <row r="275">
      <c r="A275" s="12" t="n"/>
      <c r="B275">
        <f>IF($Y275="","",INDEX('Per Line'!$D$2:$D$1001,$Y275)&amp;"")</f>
        <v/>
      </c>
      <c r="C275">
        <f>IF($Y275="","",INDEX('Per Line'!$C$2:$C$1001,$Y275)&amp;"")</f>
        <v/>
      </c>
      <c r="D275" s="11">
        <f>IF($Y275="","",INDEX('Per Line'!$F$2:$F$1001,$Y275))</f>
        <v/>
      </c>
      <c r="E275">
        <f>IF($Y275="","",INDEX('Per Line'!$G$2:$G$1001,$Y275)&amp;"")</f>
        <v/>
      </c>
      <c r="F275">
        <f>IF($Y275="","",INDEX('Per Line'!$I$2:$I$1001,$Y275)&amp;"")</f>
        <v/>
      </c>
      <c r="G275">
        <f>IF($Y275="","",INDEX('Per Line'!$J$2:$J$1001,$Y275)&amp;"")</f>
        <v/>
      </c>
      <c r="H275">
        <f>IF($Y275="","",INDEX('Per Line'!$K$2:$K$1001,$Y275)&amp;"")</f>
        <v/>
      </c>
      <c r="I275">
        <f>IF($Y275="","",INDEX('Per Line'!$O$2:$O$1001,$Y275))</f>
        <v/>
      </c>
      <c r="J275" s="7">
        <f>IF($Y275="","",IF(AND(ISNUMBER(L275),L275&gt;0,W275&gt;L275),I275*L275/100+(W275-L275),I275*W275/100))</f>
        <v/>
      </c>
      <c r="K275">
        <f>IF($Y275="","",INDEX('Per Line'!$Y$2:$Y$1001,$Y275)&amp;"")</f>
        <v/>
      </c>
      <c r="L275">
        <f>IF($Y275="","",INDEX('Per Line'!$AF$2:$AF$1001,$Y275))</f>
        <v/>
      </c>
      <c r="M275">
        <f>IF($Y275="","",IF(AND(ISNUMBER(L275),L275&gt;0),W275&gt;L275,FALSE))</f>
        <v/>
      </c>
      <c r="N275" s="7">
        <f>IF($Y275="","",SUMIFS('Per Line'!$X$2:$X$1001,'Per Line'!$D$2:$D$1001,$B275,'Per Line'!$AP$2:$AP$1001,1))</f>
        <v/>
      </c>
      <c r="O275">
        <f>IF($Y275="","",Settings!$C$7)</f>
        <v/>
      </c>
      <c r="P275" s="7">
        <f>IF($Y275="","",SUMIFS('Per Line'!$X$2:$X$1001,'Per Line'!$D$2:$D$1001,$B275,'Per Line'!$AO$2:$AO$1001,0,'Per Line'!$AP$2:$AP$1001,0))</f>
        <v/>
      </c>
      <c r="Q275" s="7">
        <f>IF($Y275="","",P275*O275)</f>
        <v/>
      </c>
      <c r="R275">
        <f>IF($Y275="","",Settings!$C$6)</f>
        <v/>
      </c>
      <c r="S275" s="7">
        <f>IF($Y275="","",SUMIFS('Per Line'!$X$2:$X$1001,'Per Line'!$D$2:$D$1001,$B275,'Per Line'!$AO$2:$AO$1001,1,'Per Line'!$AP$2:$AP$1001,0))</f>
        <v/>
      </c>
      <c r="T275" s="7">
        <f>IF($Y275="","",S275*R275)</f>
        <v/>
      </c>
      <c r="U275" s="7">
        <f>IF($Y275="","",T275+Q275)</f>
        <v/>
      </c>
      <c r="V275" s="7">
        <f>IF($Y275="","",W275-U275)</f>
        <v/>
      </c>
      <c r="W275" s="7">
        <f>IF($Y275="","",P275+S275+N275)</f>
        <v/>
      </c>
      <c r="X275" s="7">
        <f>IF($Y275="","",W275-U275-J275)</f>
        <v/>
      </c>
      <c r="Y275" s="13">
        <f>IF(ROWS($Y$2:$Y275)&lt;=MAX('Per Line'!$AN$2:$AN$1001),MATCH(ROWS($Y$2:$Y275),'Per Line'!$AN$2:$AN$1001,0),"")</f>
        <v/>
      </c>
      <c r="Z275" s="14">
        <f>IF($Y275="","",J275-I275*W275/100)</f>
        <v/>
      </c>
    </row>
    <row r="276">
      <c r="A276" s="12" t="n"/>
      <c r="B276">
        <f>IF($Y276="","",INDEX('Per Line'!$D$2:$D$1001,$Y276)&amp;"")</f>
        <v/>
      </c>
      <c r="C276">
        <f>IF($Y276="","",INDEX('Per Line'!$C$2:$C$1001,$Y276)&amp;"")</f>
        <v/>
      </c>
      <c r="D276" s="11">
        <f>IF($Y276="","",INDEX('Per Line'!$F$2:$F$1001,$Y276))</f>
        <v/>
      </c>
      <c r="E276">
        <f>IF($Y276="","",INDEX('Per Line'!$G$2:$G$1001,$Y276)&amp;"")</f>
        <v/>
      </c>
      <c r="F276">
        <f>IF($Y276="","",INDEX('Per Line'!$I$2:$I$1001,$Y276)&amp;"")</f>
        <v/>
      </c>
      <c r="G276">
        <f>IF($Y276="","",INDEX('Per Line'!$J$2:$J$1001,$Y276)&amp;"")</f>
        <v/>
      </c>
      <c r="H276">
        <f>IF($Y276="","",INDEX('Per Line'!$K$2:$K$1001,$Y276)&amp;"")</f>
        <v/>
      </c>
      <c r="I276">
        <f>IF($Y276="","",INDEX('Per Line'!$O$2:$O$1001,$Y276))</f>
        <v/>
      </c>
      <c r="J276" s="7">
        <f>IF($Y276="","",IF(AND(ISNUMBER(L276),L276&gt;0,W276&gt;L276),I276*L276/100+(W276-L276),I276*W276/100))</f>
        <v/>
      </c>
      <c r="K276">
        <f>IF($Y276="","",INDEX('Per Line'!$Y$2:$Y$1001,$Y276)&amp;"")</f>
        <v/>
      </c>
      <c r="L276">
        <f>IF($Y276="","",INDEX('Per Line'!$AF$2:$AF$1001,$Y276))</f>
        <v/>
      </c>
      <c r="M276">
        <f>IF($Y276="","",IF(AND(ISNUMBER(L276),L276&gt;0),W276&gt;L276,FALSE))</f>
        <v/>
      </c>
      <c r="N276" s="7">
        <f>IF($Y276="","",SUMIFS('Per Line'!$X$2:$X$1001,'Per Line'!$D$2:$D$1001,$B276,'Per Line'!$AP$2:$AP$1001,1))</f>
        <v/>
      </c>
      <c r="O276">
        <f>IF($Y276="","",Settings!$C$7)</f>
        <v/>
      </c>
      <c r="P276" s="7">
        <f>IF($Y276="","",SUMIFS('Per Line'!$X$2:$X$1001,'Per Line'!$D$2:$D$1001,$B276,'Per Line'!$AO$2:$AO$1001,0,'Per Line'!$AP$2:$AP$1001,0))</f>
        <v/>
      </c>
      <c r="Q276" s="7">
        <f>IF($Y276="","",P276*O276)</f>
        <v/>
      </c>
      <c r="R276">
        <f>IF($Y276="","",Settings!$C$6)</f>
        <v/>
      </c>
      <c r="S276" s="7">
        <f>IF($Y276="","",SUMIFS('Per Line'!$X$2:$X$1001,'Per Line'!$D$2:$D$1001,$B276,'Per Line'!$AO$2:$AO$1001,1,'Per Line'!$AP$2:$AP$1001,0))</f>
        <v/>
      </c>
      <c r="T276" s="7">
        <f>IF($Y276="","",S276*R276)</f>
        <v/>
      </c>
      <c r="U276" s="7">
        <f>IF($Y276="","",T276+Q276)</f>
        <v/>
      </c>
      <c r="V276" s="7">
        <f>IF($Y276="","",W276-U276)</f>
        <v/>
      </c>
      <c r="W276" s="7">
        <f>IF($Y276="","",P276+S276+N276)</f>
        <v/>
      </c>
      <c r="X276" s="7">
        <f>IF($Y276="","",W276-U276-J276)</f>
        <v/>
      </c>
      <c r="Y276" s="13">
        <f>IF(ROWS($Y$2:$Y276)&lt;=MAX('Per Line'!$AN$2:$AN$1001),MATCH(ROWS($Y$2:$Y276),'Per Line'!$AN$2:$AN$1001,0),"")</f>
        <v/>
      </c>
      <c r="Z276" s="14">
        <f>IF($Y276="","",J276-I276*W276/100)</f>
        <v/>
      </c>
    </row>
    <row r="277">
      <c r="A277" s="12" t="n"/>
      <c r="B277">
        <f>IF($Y277="","",INDEX('Per Line'!$D$2:$D$1001,$Y277)&amp;"")</f>
        <v/>
      </c>
      <c r="C277">
        <f>IF($Y277="","",INDEX('Per Line'!$C$2:$C$1001,$Y277)&amp;"")</f>
        <v/>
      </c>
      <c r="D277" s="11">
        <f>IF($Y277="","",INDEX('Per Line'!$F$2:$F$1001,$Y277))</f>
        <v/>
      </c>
      <c r="E277">
        <f>IF($Y277="","",INDEX('Per Line'!$G$2:$G$1001,$Y277)&amp;"")</f>
        <v/>
      </c>
      <c r="F277">
        <f>IF($Y277="","",INDEX('Per Line'!$I$2:$I$1001,$Y277)&amp;"")</f>
        <v/>
      </c>
      <c r="G277">
        <f>IF($Y277="","",INDEX('Per Line'!$J$2:$J$1001,$Y277)&amp;"")</f>
        <v/>
      </c>
      <c r="H277">
        <f>IF($Y277="","",INDEX('Per Line'!$K$2:$K$1001,$Y277)&amp;"")</f>
        <v/>
      </c>
      <c r="I277">
        <f>IF($Y277="","",INDEX('Per Line'!$O$2:$O$1001,$Y277))</f>
        <v/>
      </c>
      <c r="J277" s="7">
        <f>IF($Y277="","",IF(AND(ISNUMBER(L277),L277&gt;0,W277&gt;L277),I277*L277/100+(W277-L277),I277*W277/100))</f>
        <v/>
      </c>
      <c r="K277">
        <f>IF($Y277="","",INDEX('Per Line'!$Y$2:$Y$1001,$Y277)&amp;"")</f>
        <v/>
      </c>
      <c r="L277">
        <f>IF($Y277="","",INDEX('Per Line'!$AF$2:$AF$1001,$Y277))</f>
        <v/>
      </c>
      <c r="M277">
        <f>IF($Y277="","",IF(AND(ISNUMBER(L277),L277&gt;0),W277&gt;L277,FALSE))</f>
        <v/>
      </c>
      <c r="N277" s="7">
        <f>IF($Y277="","",SUMIFS('Per Line'!$X$2:$X$1001,'Per Line'!$D$2:$D$1001,$B277,'Per Line'!$AP$2:$AP$1001,1))</f>
        <v/>
      </c>
      <c r="O277">
        <f>IF($Y277="","",Settings!$C$7)</f>
        <v/>
      </c>
      <c r="P277" s="7">
        <f>IF($Y277="","",SUMIFS('Per Line'!$X$2:$X$1001,'Per Line'!$D$2:$D$1001,$B277,'Per Line'!$AO$2:$AO$1001,0,'Per Line'!$AP$2:$AP$1001,0))</f>
        <v/>
      </c>
      <c r="Q277" s="7">
        <f>IF($Y277="","",P277*O277)</f>
        <v/>
      </c>
      <c r="R277">
        <f>IF($Y277="","",Settings!$C$6)</f>
        <v/>
      </c>
      <c r="S277" s="7">
        <f>IF($Y277="","",SUMIFS('Per Line'!$X$2:$X$1001,'Per Line'!$D$2:$D$1001,$B277,'Per Line'!$AO$2:$AO$1001,1,'Per Line'!$AP$2:$AP$1001,0))</f>
        <v/>
      </c>
      <c r="T277" s="7">
        <f>IF($Y277="","",S277*R277)</f>
        <v/>
      </c>
      <c r="U277" s="7">
        <f>IF($Y277="","",T277+Q277)</f>
        <v/>
      </c>
      <c r="V277" s="7">
        <f>IF($Y277="","",W277-U277)</f>
        <v/>
      </c>
      <c r="W277" s="7">
        <f>IF($Y277="","",P277+S277+N277)</f>
        <v/>
      </c>
      <c r="X277" s="7">
        <f>IF($Y277="","",W277-U277-J277)</f>
        <v/>
      </c>
      <c r="Y277" s="13">
        <f>IF(ROWS($Y$2:$Y277)&lt;=MAX('Per Line'!$AN$2:$AN$1001),MATCH(ROWS($Y$2:$Y277),'Per Line'!$AN$2:$AN$1001,0),"")</f>
        <v/>
      </c>
      <c r="Z277" s="14">
        <f>IF($Y277="","",J277-I277*W277/100)</f>
        <v/>
      </c>
    </row>
    <row r="278">
      <c r="A278" s="12" t="n"/>
      <c r="B278">
        <f>IF($Y278="","",INDEX('Per Line'!$D$2:$D$1001,$Y278)&amp;"")</f>
        <v/>
      </c>
      <c r="C278">
        <f>IF($Y278="","",INDEX('Per Line'!$C$2:$C$1001,$Y278)&amp;"")</f>
        <v/>
      </c>
      <c r="D278" s="11">
        <f>IF($Y278="","",INDEX('Per Line'!$F$2:$F$1001,$Y278))</f>
        <v/>
      </c>
      <c r="E278">
        <f>IF($Y278="","",INDEX('Per Line'!$G$2:$G$1001,$Y278)&amp;"")</f>
        <v/>
      </c>
      <c r="F278">
        <f>IF($Y278="","",INDEX('Per Line'!$I$2:$I$1001,$Y278)&amp;"")</f>
        <v/>
      </c>
      <c r="G278">
        <f>IF($Y278="","",INDEX('Per Line'!$J$2:$J$1001,$Y278)&amp;"")</f>
        <v/>
      </c>
      <c r="H278">
        <f>IF($Y278="","",INDEX('Per Line'!$K$2:$K$1001,$Y278)&amp;"")</f>
        <v/>
      </c>
      <c r="I278">
        <f>IF($Y278="","",INDEX('Per Line'!$O$2:$O$1001,$Y278))</f>
        <v/>
      </c>
      <c r="J278" s="7">
        <f>IF($Y278="","",IF(AND(ISNUMBER(L278),L278&gt;0,W278&gt;L278),I278*L278/100+(W278-L278),I278*W278/100))</f>
        <v/>
      </c>
      <c r="K278">
        <f>IF($Y278="","",INDEX('Per Line'!$Y$2:$Y$1001,$Y278)&amp;"")</f>
        <v/>
      </c>
      <c r="L278">
        <f>IF($Y278="","",INDEX('Per Line'!$AF$2:$AF$1001,$Y278))</f>
        <v/>
      </c>
      <c r="M278">
        <f>IF($Y278="","",IF(AND(ISNUMBER(L278),L278&gt;0),W278&gt;L278,FALSE))</f>
        <v/>
      </c>
      <c r="N278" s="7">
        <f>IF($Y278="","",SUMIFS('Per Line'!$X$2:$X$1001,'Per Line'!$D$2:$D$1001,$B278,'Per Line'!$AP$2:$AP$1001,1))</f>
        <v/>
      </c>
      <c r="O278">
        <f>IF($Y278="","",Settings!$C$7)</f>
        <v/>
      </c>
      <c r="P278" s="7">
        <f>IF($Y278="","",SUMIFS('Per Line'!$X$2:$X$1001,'Per Line'!$D$2:$D$1001,$B278,'Per Line'!$AO$2:$AO$1001,0,'Per Line'!$AP$2:$AP$1001,0))</f>
        <v/>
      </c>
      <c r="Q278" s="7">
        <f>IF($Y278="","",P278*O278)</f>
        <v/>
      </c>
      <c r="R278">
        <f>IF($Y278="","",Settings!$C$6)</f>
        <v/>
      </c>
      <c r="S278" s="7">
        <f>IF($Y278="","",SUMIFS('Per Line'!$X$2:$X$1001,'Per Line'!$D$2:$D$1001,$B278,'Per Line'!$AO$2:$AO$1001,1,'Per Line'!$AP$2:$AP$1001,0))</f>
        <v/>
      </c>
      <c r="T278" s="7">
        <f>IF($Y278="","",S278*R278)</f>
        <v/>
      </c>
      <c r="U278" s="7">
        <f>IF($Y278="","",T278+Q278)</f>
        <v/>
      </c>
      <c r="V278" s="7">
        <f>IF($Y278="","",W278-U278)</f>
        <v/>
      </c>
      <c r="W278" s="7">
        <f>IF($Y278="","",P278+S278+N278)</f>
        <v/>
      </c>
      <c r="X278" s="7">
        <f>IF($Y278="","",W278-U278-J278)</f>
        <v/>
      </c>
      <c r="Y278" s="13">
        <f>IF(ROWS($Y$2:$Y278)&lt;=MAX('Per Line'!$AN$2:$AN$1001),MATCH(ROWS($Y$2:$Y278),'Per Line'!$AN$2:$AN$1001,0),"")</f>
        <v/>
      </c>
      <c r="Z278" s="14">
        <f>IF($Y278="","",J278-I278*W278/100)</f>
        <v/>
      </c>
    </row>
    <row r="279">
      <c r="A279" s="12" t="n"/>
      <c r="B279">
        <f>IF($Y279="","",INDEX('Per Line'!$D$2:$D$1001,$Y279)&amp;"")</f>
        <v/>
      </c>
      <c r="C279">
        <f>IF($Y279="","",INDEX('Per Line'!$C$2:$C$1001,$Y279)&amp;"")</f>
        <v/>
      </c>
      <c r="D279" s="11">
        <f>IF($Y279="","",INDEX('Per Line'!$F$2:$F$1001,$Y279))</f>
        <v/>
      </c>
      <c r="E279">
        <f>IF($Y279="","",INDEX('Per Line'!$G$2:$G$1001,$Y279)&amp;"")</f>
        <v/>
      </c>
      <c r="F279">
        <f>IF($Y279="","",INDEX('Per Line'!$I$2:$I$1001,$Y279)&amp;"")</f>
        <v/>
      </c>
      <c r="G279">
        <f>IF($Y279="","",INDEX('Per Line'!$J$2:$J$1001,$Y279)&amp;"")</f>
        <v/>
      </c>
      <c r="H279">
        <f>IF($Y279="","",INDEX('Per Line'!$K$2:$K$1001,$Y279)&amp;"")</f>
        <v/>
      </c>
      <c r="I279">
        <f>IF($Y279="","",INDEX('Per Line'!$O$2:$O$1001,$Y279))</f>
        <v/>
      </c>
      <c r="J279" s="7">
        <f>IF($Y279="","",IF(AND(ISNUMBER(L279),L279&gt;0,W279&gt;L279),I279*L279/100+(W279-L279),I279*W279/100))</f>
        <v/>
      </c>
      <c r="K279">
        <f>IF($Y279="","",INDEX('Per Line'!$Y$2:$Y$1001,$Y279)&amp;"")</f>
        <v/>
      </c>
      <c r="L279">
        <f>IF($Y279="","",INDEX('Per Line'!$AF$2:$AF$1001,$Y279))</f>
        <v/>
      </c>
      <c r="M279">
        <f>IF($Y279="","",IF(AND(ISNUMBER(L279),L279&gt;0),W279&gt;L279,FALSE))</f>
        <v/>
      </c>
      <c r="N279" s="7">
        <f>IF($Y279="","",SUMIFS('Per Line'!$X$2:$X$1001,'Per Line'!$D$2:$D$1001,$B279,'Per Line'!$AP$2:$AP$1001,1))</f>
        <v/>
      </c>
      <c r="O279">
        <f>IF($Y279="","",Settings!$C$7)</f>
        <v/>
      </c>
      <c r="P279" s="7">
        <f>IF($Y279="","",SUMIFS('Per Line'!$X$2:$X$1001,'Per Line'!$D$2:$D$1001,$B279,'Per Line'!$AO$2:$AO$1001,0,'Per Line'!$AP$2:$AP$1001,0))</f>
        <v/>
      </c>
      <c r="Q279" s="7">
        <f>IF($Y279="","",P279*O279)</f>
        <v/>
      </c>
      <c r="R279">
        <f>IF($Y279="","",Settings!$C$6)</f>
        <v/>
      </c>
      <c r="S279" s="7">
        <f>IF($Y279="","",SUMIFS('Per Line'!$X$2:$X$1001,'Per Line'!$D$2:$D$1001,$B279,'Per Line'!$AO$2:$AO$1001,1,'Per Line'!$AP$2:$AP$1001,0))</f>
        <v/>
      </c>
      <c r="T279" s="7">
        <f>IF($Y279="","",S279*R279)</f>
        <v/>
      </c>
      <c r="U279" s="7">
        <f>IF($Y279="","",T279+Q279)</f>
        <v/>
      </c>
      <c r="V279" s="7">
        <f>IF($Y279="","",W279-U279)</f>
        <v/>
      </c>
      <c r="W279" s="7">
        <f>IF($Y279="","",P279+S279+N279)</f>
        <v/>
      </c>
      <c r="X279" s="7">
        <f>IF($Y279="","",W279-U279-J279)</f>
        <v/>
      </c>
      <c r="Y279" s="13">
        <f>IF(ROWS($Y$2:$Y279)&lt;=MAX('Per Line'!$AN$2:$AN$1001),MATCH(ROWS($Y$2:$Y279),'Per Line'!$AN$2:$AN$1001,0),"")</f>
        <v/>
      </c>
      <c r="Z279" s="14">
        <f>IF($Y279="","",J279-I279*W279/100)</f>
        <v/>
      </c>
    </row>
    <row r="280">
      <c r="A280" s="12" t="n"/>
      <c r="B280">
        <f>IF($Y280="","",INDEX('Per Line'!$D$2:$D$1001,$Y280)&amp;"")</f>
        <v/>
      </c>
      <c r="C280">
        <f>IF($Y280="","",INDEX('Per Line'!$C$2:$C$1001,$Y280)&amp;"")</f>
        <v/>
      </c>
      <c r="D280" s="11">
        <f>IF($Y280="","",INDEX('Per Line'!$F$2:$F$1001,$Y280))</f>
        <v/>
      </c>
      <c r="E280">
        <f>IF($Y280="","",INDEX('Per Line'!$G$2:$G$1001,$Y280)&amp;"")</f>
        <v/>
      </c>
      <c r="F280">
        <f>IF($Y280="","",INDEX('Per Line'!$I$2:$I$1001,$Y280)&amp;"")</f>
        <v/>
      </c>
      <c r="G280">
        <f>IF($Y280="","",INDEX('Per Line'!$J$2:$J$1001,$Y280)&amp;"")</f>
        <v/>
      </c>
      <c r="H280">
        <f>IF($Y280="","",INDEX('Per Line'!$K$2:$K$1001,$Y280)&amp;"")</f>
        <v/>
      </c>
      <c r="I280">
        <f>IF($Y280="","",INDEX('Per Line'!$O$2:$O$1001,$Y280))</f>
        <v/>
      </c>
      <c r="J280" s="7">
        <f>IF($Y280="","",IF(AND(ISNUMBER(L280),L280&gt;0,W280&gt;L280),I280*L280/100+(W280-L280),I280*W280/100))</f>
        <v/>
      </c>
      <c r="K280">
        <f>IF($Y280="","",INDEX('Per Line'!$Y$2:$Y$1001,$Y280)&amp;"")</f>
        <v/>
      </c>
      <c r="L280">
        <f>IF($Y280="","",INDEX('Per Line'!$AF$2:$AF$1001,$Y280))</f>
        <v/>
      </c>
      <c r="M280">
        <f>IF($Y280="","",IF(AND(ISNUMBER(L280),L280&gt;0),W280&gt;L280,FALSE))</f>
        <v/>
      </c>
      <c r="N280" s="7">
        <f>IF($Y280="","",SUMIFS('Per Line'!$X$2:$X$1001,'Per Line'!$D$2:$D$1001,$B280,'Per Line'!$AP$2:$AP$1001,1))</f>
        <v/>
      </c>
      <c r="O280">
        <f>IF($Y280="","",Settings!$C$7)</f>
        <v/>
      </c>
      <c r="P280" s="7">
        <f>IF($Y280="","",SUMIFS('Per Line'!$X$2:$X$1001,'Per Line'!$D$2:$D$1001,$B280,'Per Line'!$AO$2:$AO$1001,0,'Per Line'!$AP$2:$AP$1001,0))</f>
        <v/>
      </c>
      <c r="Q280" s="7">
        <f>IF($Y280="","",P280*O280)</f>
        <v/>
      </c>
      <c r="R280">
        <f>IF($Y280="","",Settings!$C$6)</f>
        <v/>
      </c>
      <c r="S280" s="7">
        <f>IF($Y280="","",SUMIFS('Per Line'!$X$2:$X$1001,'Per Line'!$D$2:$D$1001,$B280,'Per Line'!$AO$2:$AO$1001,1,'Per Line'!$AP$2:$AP$1001,0))</f>
        <v/>
      </c>
      <c r="T280" s="7">
        <f>IF($Y280="","",S280*R280)</f>
        <v/>
      </c>
      <c r="U280" s="7">
        <f>IF($Y280="","",T280+Q280)</f>
        <v/>
      </c>
      <c r="V280" s="7">
        <f>IF($Y280="","",W280-U280)</f>
        <v/>
      </c>
      <c r="W280" s="7">
        <f>IF($Y280="","",P280+S280+N280)</f>
        <v/>
      </c>
      <c r="X280" s="7">
        <f>IF($Y280="","",W280-U280-J280)</f>
        <v/>
      </c>
      <c r="Y280" s="13">
        <f>IF(ROWS($Y$2:$Y280)&lt;=MAX('Per Line'!$AN$2:$AN$1001),MATCH(ROWS($Y$2:$Y280),'Per Line'!$AN$2:$AN$1001,0),"")</f>
        <v/>
      </c>
      <c r="Z280" s="14">
        <f>IF($Y280="","",J280-I280*W280/100)</f>
        <v/>
      </c>
    </row>
    <row r="281">
      <c r="A281" s="12" t="n"/>
      <c r="B281">
        <f>IF($Y281="","",INDEX('Per Line'!$D$2:$D$1001,$Y281)&amp;"")</f>
        <v/>
      </c>
      <c r="C281">
        <f>IF($Y281="","",INDEX('Per Line'!$C$2:$C$1001,$Y281)&amp;"")</f>
        <v/>
      </c>
      <c r="D281" s="11">
        <f>IF($Y281="","",INDEX('Per Line'!$F$2:$F$1001,$Y281))</f>
        <v/>
      </c>
      <c r="E281">
        <f>IF($Y281="","",INDEX('Per Line'!$G$2:$G$1001,$Y281)&amp;"")</f>
        <v/>
      </c>
      <c r="F281">
        <f>IF($Y281="","",INDEX('Per Line'!$I$2:$I$1001,$Y281)&amp;"")</f>
        <v/>
      </c>
      <c r="G281">
        <f>IF($Y281="","",INDEX('Per Line'!$J$2:$J$1001,$Y281)&amp;"")</f>
        <v/>
      </c>
      <c r="H281">
        <f>IF($Y281="","",INDEX('Per Line'!$K$2:$K$1001,$Y281)&amp;"")</f>
        <v/>
      </c>
      <c r="I281">
        <f>IF($Y281="","",INDEX('Per Line'!$O$2:$O$1001,$Y281))</f>
        <v/>
      </c>
      <c r="J281" s="7">
        <f>IF($Y281="","",IF(AND(ISNUMBER(L281),L281&gt;0,W281&gt;L281),I281*L281/100+(W281-L281),I281*W281/100))</f>
        <v/>
      </c>
      <c r="K281">
        <f>IF($Y281="","",INDEX('Per Line'!$Y$2:$Y$1001,$Y281)&amp;"")</f>
        <v/>
      </c>
      <c r="L281">
        <f>IF($Y281="","",INDEX('Per Line'!$AF$2:$AF$1001,$Y281))</f>
        <v/>
      </c>
      <c r="M281">
        <f>IF($Y281="","",IF(AND(ISNUMBER(L281),L281&gt;0),W281&gt;L281,FALSE))</f>
        <v/>
      </c>
      <c r="N281" s="7">
        <f>IF($Y281="","",SUMIFS('Per Line'!$X$2:$X$1001,'Per Line'!$D$2:$D$1001,$B281,'Per Line'!$AP$2:$AP$1001,1))</f>
        <v/>
      </c>
      <c r="O281">
        <f>IF($Y281="","",Settings!$C$7)</f>
        <v/>
      </c>
      <c r="P281" s="7">
        <f>IF($Y281="","",SUMIFS('Per Line'!$X$2:$X$1001,'Per Line'!$D$2:$D$1001,$B281,'Per Line'!$AO$2:$AO$1001,0,'Per Line'!$AP$2:$AP$1001,0))</f>
        <v/>
      </c>
      <c r="Q281" s="7">
        <f>IF($Y281="","",P281*O281)</f>
        <v/>
      </c>
      <c r="R281">
        <f>IF($Y281="","",Settings!$C$6)</f>
        <v/>
      </c>
      <c r="S281" s="7">
        <f>IF($Y281="","",SUMIFS('Per Line'!$X$2:$X$1001,'Per Line'!$D$2:$D$1001,$B281,'Per Line'!$AO$2:$AO$1001,1,'Per Line'!$AP$2:$AP$1001,0))</f>
        <v/>
      </c>
      <c r="T281" s="7">
        <f>IF($Y281="","",S281*R281)</f>
        <v/>
      </c>
      <c r="U281" s="7">
        <f>IF($Y281="","",T281+Q281)</f>
        <v/>
      </c>
      <c r="V281" s="7">
        <f>IF($Y281="","",W281-U281)</f>
        <v/>
      </c>
      <c r="W281" s="7">
        <f>IF($Y281="","",P281+S281+N281)</f>
        <v/>
      </c>
      <c r="X281" s="7">
        <f>IF($Y281="","",W281-U281-J281)</f>
        <v/>
      </c>
      <c r="Y281" s="13">
        <f>IF(ROWS($Y$2:$Y281)&lt;=MAX('Per Line'!$AN$2:$AN$1001),MATCH(ROWS($Y$2:$Y281),'Per Line'!$AN$2:$AN$1001,0),"")</f>
        <v/>
      </c>
      <c r="Z281" s="14">
        <f>IF($Y281="","",J281-I281*W281/100)</f>
        <v/>
      </c>
    </row>
    <row r="282">
      <c r="A282" s="12" t="n"/>
      <c r="B282">
        <f>IF($Y282="","",INDEX('Per Line'!$D$2:$D$1001,$Y282)&amp;"")</f>
        <v/>
      </c>
      <c r="C282">
        <f>IF($Y282="","",INDEX('Per Line'!$C$2:$C$1001,$Y282)&amp;"")</f>
        <v/>
      </c>
      <c r="D282" s="11">
        <f>IF($Y282="","",INDEX('Per Line'!$F$2:$F$1001,$Y282))</f>
        <v/>
      </c>
      <c r="E282">
        <f>IF($Y282="","",INDEX('Per Line'!$G$2:$G$1001,$Y282)&amp;"")</f>
        <v/>
      </c>
      <c r="F282">
        <f>IF($Y282="","",INDEX('Per Line'!$I$2:$I$1001,$Y282)&amp;"")</f>
        <v/>
      </c>
      <c r="G282">
        <f>IF($Y282="","",INDEX('Per Line'!$J$2:$J$1001,$Y282)&amp;"")</f>
        <v/>
      </c>
      <c r="H282">
        <f>IF($Y282="","",INDEX('Per Line'!$K$2:$K$1001,$Y282)&amp;"")</f>
        <v/>
      </c>
      <c r="I282">
        <f>IF($Y282="","",INDEX('Per Line'!$O$2:$O$1001,$Y282))</f>
        <v/>
      </c>
      <c r="J282" s="7">
        <f>IF($Y282="","",IF(AND(ISNUMBER(L282),L282&gt;0,W282&gt;L282),I282*L282/100+(W282-L282),I282*W282/100))</f>
        <v/>
      </c>
      <c r="K282">
        <f>IF($Y282="","",INDEX('Per Line'!$Y$2:$Y$1001,$Y282)&amp;"")</f>
        <v/>
      </c>
      <c r="L282">
        <f>IF($Y282="","",INDEX('Per Line'!$AF$2:$AF$1001,$Y282))</f>
        <v/>
      </c>
      <c r="M282">
        <f>IF($Y282="","",IF(AND(ISNUMBER(L282),L282&gt;0),W282&gt;L282,FALSE))</f>
        <v/>
      </c>
      <c r="N282" s="7">
        <f>IF($Y282="","",SUMIFS('Per Line'!$X$2:$X$1001,'Per Line'!$D$2:$D$1001,$B282,'Per Line'!$AP$2:$AP$1001,1))</f>
        <v/>
      </c>
      <c r="O282">
        <f>IF($Y282="","",Settings!$C$7)</f>
        <v/>
      </c>
      <c r="P282" s="7">
        <f>IF($Y282="","",SUMIFS('Per Line'!$X$2:$X$1001,'Per Line'!$D$2:$D$1001,$B282,'Per Line'!$AO$2:$AO$1001,0,'Per Line'!$AP$2:$AP$1001,0))</f>
        <v/>
      </c>
      <c r="Q282" s="7">
        <f>IF($Y282="","",P282*O282)</f>
        <v/>
      </c>
      <c r="R282">
        <f>IF($Y282="","",Settings!$C$6)</f>
        <v/>
      </c>
      <c r="S282" s="7">
        <f>IF($Y282="","",SUMIFS('Per Line'!$X$2:$X$1001,'Per Line'!$D$2:$D$1001,$B282,'Per Line'!$AO$2:$AO$1001,1,'Per Line'!$AP$2:$AP$1001,0))</f>
        <v/>
      </c>
      <c r="T282" s="7">
        <f>IF($Y282="","",S282*R282)</f>
        <v/>
      </c>
      <c r="U282" s="7">
        <f>IF($Y282="","",T282+Q282)</f>
        <v/>
      </c>
      <c r="V282" s="7">
        <f>IF($Y282="","",W282-U282)</f>
        <v/>
      </c>
      <c r="W282" s="7">
        <f>IF($Y282="","",P282+S282+N282)</f>
        <v/>
      </c>
      <c r="X282" s="7">
        <f>IF($Y282="","",W282-U282-J282)</f>
        <v/>
      </c>
      <c r="Y282" s="13">
        <f>IF(ROWS($Y$2:$Y282)&lt;=MAX('Per Line'!$AN$2:$AN$1001),MATCH(ROWS($Y$2:$Y282),'Per Line'!$AN$2:$AN$1001,0),"")</f>
        <v/>
      </c>
      <c r="Z282" s="14">
        <f>IF($Y282="","",J282-I282*W282/100)</f>
        <v/>
      </c>
    </row>
    <row r="283">
      <c r="A283" s="12" t="n"/>
      <c r="B283">
        <f>IF($Y283="","",INDEX('Per Line'!$D$2:$D$1001,$Y283)&amp;"")</f>
        <v/>
      </c>
      <c r="C283">
        <f>IF($Y283="","",INDEX('Per Line'!$C$2:$C$1001,$Y283)&amp;"")</f>
        <v/>
      </c>
      <c r="D283" s="11">
        <f>IF($Y283="","",INDEX('Per Line'!$F$2:$F$1001,$Y283))</f>
        <v/>
      </c>
      <c r="E283">
        <f>IF($Y283="","",INDEX('Per Line'!$G$2:$G$1001,$Y283)&amp;"")</f>
        <v/>
      </c>
      <c r="F283">
        <f>IF($Y283="","",INDEX('Per Line'!$I$2:$I$1001,$Y283)&amp;"")</f>
        <v/>
      </c>
      <c r="G283">
        <f>IF($Y283="","",INDEX('Per Line'!$J$2:$J$1001,$Y283)&amp;"")</f>
        <v/>
      </c>
      <c r="H283">
        <f>IF($Y283="","",INDEX('Per Line'!$K$2:$K$1001,$Y283)&amp;"")</f>
        <v/>
      </c>
      <c r="I283">
        <f>IF($Y283="","",INDEX('Per Line'!$O$2:$O$1001,$Y283))</f>
        <v/>
      </c>
      <c r="J283" s="7">
        <f>IF($Y283="","",IF(AND(ISNUMBER(L283),L283&gt;0,W283&gt;L283),I283*L283/100+(W283-L283),I283*W283/100))</f>
        <v/>
      </c>
      <c r="K283">
        <f>IF($Y283="","",INDEX('Per Line'!$Y$2:$Y$1001,$Y283)&amp;"")</f>
        <v/>
      </c>
      <c r="L283">
        <f>IF($Y283="","",INDEX('Per Line'!$AF$2:$AF$1001,$Y283))</f>
        <v/>
      </c>
      <c r="M283">
        <f>IF($Y283="","",IF(AND(ISNUMBER(L283),L283&gt;0),W283&gt;L283,FALSE))</f>
        <v/>
      </c>
      <c r="N283" s="7">
        <f>IF($Y283="","",SUMIFS('Per Line'!$X$2:$X$1001,'Per Line'!$D$2:$D$1001,$B283,'Per Line'!$AP$2:$AP$1001,1))</f>
        <v/>
      </c>
      <c r="O283">
        <f>IF($Y283="","",Settings!$C$7)</f>
        <v/>
      </c>
      <c r="P283" s="7">
        <f>IF($Y283="","",SUMIFS('Per Line'!$X$2:$X$1001,'Per Line'!$D$2:$D$1001,$B283,'Per Line'!$AO$2:$AO$1001,0,'Per Line'!$AP$2:$AP$1001,0))</f>
        <v/>
      </c>
      <c r="Q283" s="7">
        <f>IF($Y283="","",P283*O283)</f>
        <v/>
      </c>
      <c r="R283">
        <f>IF($Y283="","",Settings!$C$6)</f>
        <v/>
      </c>
      <c r="S283" s="7">
        <f>IF($Y283="","",SUMIFS('Per Line'!$X$2:$X$1001,'Per Line'!$D$2:$D$1001,$B283,'Per Line'!$AO$2:$AO$1001,1,'Per Line'!$AP$2:$AP$1001,0))</f>
        <v/>
      </c>
      <c r="T283" s="7">
        <f>IF($Y283="","",S283*R283)</f>
        <v/>
      </c>
      <c r="U283" s="7">
        <f>IF($Y283="","",T283+Q283)</f>
        <v/>
      </c>
      <c r="V283" s="7">
        <f>IF($Y283="","",W283-U283)</f>
        <v/>
      </c>
      <c r="W283" s="7">
        <f>IF($Y283="","",P283+S283+N283)</f>
        <v/>
      </c>
      <c r="X283" s="7">
        <f>IF($Y283="","",W283-U283-J283)</f>
        <v/>
      </c>
      <c r="Y283" s="13">
        <f>IF(ROWS($Y$2:$Y283)&lt;=MAX('Per Line'!$AN$2:$AN$1001),MATCH(ROWS($Y$2:$Y283),'Per Line'!$AN$2:$AN$1001,0),"")</f>
        <v/>
      </c>
      <c r="Z283" s="14">
        <f>IF($Y283="","",J283-I283*W283/100)</f>
        <v/>
      </c>
    </row>
    <row r="284">
      <c r="A284" s="12" t="n"/>
      <c r="B284">
        <f>IF($Y284="","",INDEX('Per Line'!$D$2:$D$1001,$Y284)&amp;"")</f>
        <v/>
      </c>
      <c r="C284">
        <f>IF($Y284="","",INDEX('Per Line'!$C$2:$C$1001,$Y284)&amp;"")</f>
        <v/>
      </c>
      <c r="D284" s="11">
        <f>IF($Y284="","",INDEX('Per Line'!$F$2:$F$1001,$Y284))</f>
        <v/>
      </c>
      <c r="E284">
        <f>IF($Y284="","",INDEX('Per Line'!$G$2:$G$1001,$Y284)&amp;"")</f>
        <v/>
      </c>
      <c r="F284">
        <f>IF($Y284="","",INDEX('Per Line'!$I$2:$I$1001,$Y284)&amp;"")</f>
        <v/>
      </c>
      <c r="G284">
        <f>IF($Y284="","",INDEX('Per Line'!$J$2:$J$1001,$Y284)&amp;"")</f>
        <v/>
      </c>
      <c r="H284">
        <f>IF($Y284="","",INDEX('Per Line'!$K$2:$K$1001,$Y284)&amp;"")</f>
        <v/>
      </c>
      <c r="I284">
        <f>IF($Y284="","",INDEX('Per Line'!$O$2:$O$1001,$Y284))</f>
        <v/>
      </c>
      <c r="J284" s="7">
        <f>IF($Y284="","",IF(AND(ISNUMBER(L284),L284&gt;0,W284&gt;L284),I284*L284/100+(W284-L284),I284*W284/100))</f>
        <v/>
      </c>
      <c r="K284">
        <f>IF($Y284="","",INDEX('Per Line'!$Y$2:$Y$1001,$Y284)&amp;"")</f>
        <v/>
      </c>
      <c r="L284">
        <f>IF($Y284="","",INDEX('Per Line'!$AF$2:$AF$1001,$Y284))</f>
        <v/>
      </c>
      <c r="M284">
        <f>IF($Y284="","",IF(AND(ISNUMBER(L284),L284&gt;0),W284&gt;L284,FALSE))</f>
        <v/>
      </c>
      <c r="N284" s="7">
        <f>IF($Y284="","",SUMIFS('Per Line'!$X$2:$X$1001,'Per Line'!$D$2:$D$1001,$B284,'Per Line'!$AP$2:$AP$1001,1))</f>
        <v/>
      </c>
      <c r="O284">
        <f>IF($Y284="","",Settings!$C$7)</f>
        <v/>
      </c>
      <c r="P284" s="7">
        <f>IF($Y284="","",SUMIFS('Per Line'!$X$2:$X$1001,'Per Line'!$D$2:$D$1001,$B284,'Per Line'!$AO$2:$AO$1001,0,'Per Line'!$AP$2:$AP$1001,0))</f>
        <v/>
      </c>
      <c r="Q284" s="7">
        <f>IF($Y284="","",P284*O284)</f>
        <v/>
      </c>
      <c r="R284">
        <f>IF($Y284="","",Settings!$C$6)</f>
        <v/>
      </c>
      <c r="S284" s="7">
        <f>IF($Y284="","",SUMIFS('Per Line'!$X$2:$X$1001,'Per Line'!$D$2:$D$1001,$B284,'Per Line'!$AO$2:$AO$1001,1,'Per Line'!$AP$2:$AP$1001,0))</f>
        <v/>
      </c>
      <c r="T284" s="7">
        <f>IF($Y284="","",S284*R284)</f>
        <v/>
      </c>
      <c r="U284" s="7">
        <f>IF($Y284="","",T284+Q284)</f>
        <v/>
      </c>
      <c r="V284" s="7">
        <f>IF($Y284="","",W284-U284)</f>
        <v/>
      </c>
      <c r="W284" s="7">
        <f>IF($Y284="","",P284+S284+N284)</f>
        <v/>
      </c>
      <c r="X284" s="7">
        <f>IF($Y284="","",W284-U284-J284)</f>
        <v/>
      </c>
      <c r="Y284" s="13">
        <f>IF(ROWS($Y$2:$Y284)&lt;=MAX('Per Line'!$AN$2:$AN$1001),MATCH(ROWS($Y$2:$Y284),'Per Line'!$AN$2:$AN$1001,0),"")</f>
        <v/>
      </c>
      <c r="Z284" s="14">
        <f>IF($Y284="","",J284-I284*W284/100)</f>
        <v/>
      </c>
    </row>
    <row r="285">
      <c r="A285" s="12" t="n"/>
      <c r="B285">
        <f>IF($Y285="","",INDEX('Per Line'!$D$2:$D$1001,$Y285)&amp;"")</f>
        <v/>
      </c>
      <c r="C285">
        <f>IF($Y285="","",INDEX('Per Line'!$C$2:$C$1001,$Y285)&amp;"")</f>
        <v/>
      </c>
      <c r="D285" s="11">
        <f>IF($Y285="","",INDEX('Per Line'!$F$2:$F$1001,$Y285))</f>
        <v/>
      </c>
      <c r="E285">
        <f>IF($Y285="","",INDEX('Per Line'!$G$2:$G$1001,$Y285)&amp;"")</f>
        <v/>
      </c>
      <c r="F285">
        <f>IF($Y285="","",INDEX('Per Line'!$I$2:$I$1001,$Y285)&amp;"")</f>
        <v/>
      </c>
      <c r="G285">
        <f>IF($Y285="","",INDEX('Per Line'!$J$2:$J$1001,$Y285)&amp;"")</f>
        <v/>
      </c>
      <c r="H285">
        <f>IF($Y285="","",INDEX('Per Line'!$K$2:$K$1001,$Y285)&amp;"")</f>
        <v/>
      </c>
      <c r="I285">
        <f>IF($Y285="","",INDEX('Per Line'!$O$2:$O$1001,$Y285))</f>
        <v/>
      </c>
      <c r="J285" s="7">
        <f>IF($Y285="","",IF(AND(ISNUMBER(L285),L285&gt;0,W285&gt;L285),I285*L285/100+(W285-L285),I285*W285/100))</f>
        <v/>
      </c>
      <c r="K285">
        <f>IF($Y285="","",INDEX('Per Line'!$Y$2:$Y$1001,$Y285)&amp;"")</f>
        <v/>
      </c>
      <c r="L285">
        <f>IF($Y285="","",INDEX('Per Line'!$AF$2:$AF$1001,$Y285))</f>
        <v/>
      </c>
      <c r="M285">
        <f>IF($Y285="","",IF(AND(ISNUMBER(L285),L285&gt;0),W285&gt;L285,FALSE))</f>
        <v/>
      </c>
      <c r="N285" s="7">
        <f>IF($Y285="","",SUMIFS('Per Line'!$X$2:$X$1001,'Per Line'!$D$2:$D$1001,$B285,'Per Line'!$AP$2:$AP$1001,1))</f>
        <v/>
      </c>
      <c r="O285">
        <f>IF($Y285="","",Settings!$C$7)</f>
        <v/>
      </c>
      <c r="P285" s="7">
        <f>IF($Y285="","",SUMIFS('Per Line'!$X$2:$X$1001,'Per Line'!$D$2:$D$1001,$B285,'Per Line'!$AO$2:$AO$1001,0,'Per Line'!$AP$2:$AP$1001,0))</f>
        <v/>
      </c>
      <c r="Q285" s="7">
        <f>IF($Y285="","",P285*O285)</f>
        <v/>
      </c>
      <c r="R285">
        <f>IF($Y285="","",Settings!$C$6)</f>
        <v/>
      </c>
      <c r="S285" s="7">
        <f>IF($Y285="","",SUMIFS('Per Line'!$X$2:$X$1001,'Per Line'!$D$2:$D$1001,$B285,'Per Line'!$AO$2:$AO$1001,1,'Per Line'!$AP$2:$AP$1001,0))</f>
        <v/>
      </c>
      <c r="T285" s="7">
        <f>IF($Y285="","",S285*R285)</f>
        <v/>
      </c>
      <c r="U285" s="7">
        <f>IF($Y285="","",T285+Q285)</f>
        <v/>
      </c>
      <c r="V285" s="7">
        <f>IF($Y285="","",W285-U285)</f>
        <v/>
      </c>
      <c r="W285" s="7">
        <f>IF($Y285="","",P285+S285+N285)</f>
        <v/>
      </c>
      <c r="X285" s="7">
        <f>IF($Y285="","",W285-U285-J285)</f>
        <v/>
      </c>
      <c r="Y285" s="13">
        <f>IF(ROWS($Y$2:$Y285)&lt;=MAX('Per Line'!$AN$2:$AN$1001),MATCH(ROWS($Y$2:$Y285),'Per Line'!$AN$2:$AN$1001,0),"")</f>
        <v/>
      </c>
      <c r="Z285" s="14">
        <f>IF($Y285="","",J285-I285*W285/100)</f>
        <v/>
      </c>
    </row>
    <row r="286">
      <c r="A286" s="12" t="n"/>
      <c r="B286">
        <f>IF($Y286="","",INDEX('Per Line'!$D$2:$D$1001,$Y286)&amp;"")</f>
        <v/>
      </c>
      <c r="C286">
        <f>IF($Y286="","",INDEX('Per Line'!$C$2:$C$1001,$Y286)&amp;"")</f>
        <v/>
      </c>
      <c r="D286" s="11">
        <f>IF($Y286="","",INDEX('Per Line'!$F$2:$F$1001,$Y286))</f>
        <v/>
      </c>
      <c r="E286">
        <f>IF($Y286="","",INDEX('Per Line'!$G$2:$G$1001,$Y286)&amp;"")</f>
        <v/>
      </c>
      <c r="F286">
        <f>IF($Y286="","",INDEX('Per Line'!$I$2:$I$1001,$Y286)&amp;"")</f>
        <v/>
      </c>
      <c r="G286">
        <f>IF($Y286="","",INDEX('Per Line'!$J$2:$J$1001,$Y286)&amp;"")</f>
        <v/>
      </c>
      <c r="H286">
        <f>IF($Y286="","",INDEX('Per Line'!$K$2:$K$1001,$Y286)&amp;"")</f>
        <v/>
      </c>
      <c r="I286">
        <f>IF($Y286="","",INDEX('Per Line'!$O$2:$O$1001,$Y286))</f>
        <v/>
      </c>
      <c r="J286" s="7">
        <f>IF($Y286="","",IF(AND(ISNUMBER(L286),L286&gt;0,W286&gt;L286),I286*L286/100+(W286-L286),I286*W286/100))</f>
        <v/>
      </c>
      <c r="K286">
        <f>IF($Y286="","",INDEX('Per Line'!$Y$2:$Y$1001,$Y286)&amp;"")</f>
        <v/>
      </c>
      <c r="L286">
        <f>IF($Y286="","",INDEX('Per Line'!$AF$2:$AF$1001,$Y286))</f>
        <v/>
      </c>
      <c r="M286">
        <f>IF($Y286="","",IF(AND(ISNUMBER(L286),L286&gt;0),W286&gt;L286,FALSE))</f>
        <v/>
      </c>
      <c r="N286" s="7">
        <f>IF($Y286="","",SUMIFS('Per Line'!$X$2:$X$1001,'Per Line'!$D$2:$D$1001,$B286,'Per Line'!$AP$2:$AP$1001,1))</f>
        <v/>
      </c>
      <c r="O286">
        <f>IF($Y286="","",Settings!$C$7)</f>
        <v/>
      </c>
      <c r="P286" s="7">
        <f>IF($Y286="","",SUMIFS('Per Line'!$X$2:$X$1001,'Per Line'!$D$2:$D$1001,$B286,'Per Line'!$AO$2:$AO$1001,0,'Per Line'!$AP$2:$AP$1001,0))</f>
        <v/>
      </c>
      <c r="Q286" s="7">
        <f>IF($Y286="","",P286*O286)</f>
        <v/>
      </c>
      <c r="R286">
        <f>IF($Y286="","",Settings!$C$6)</f>
        <v/>
      </c>
      <c r="S286" s="7">
        <f>IF($Y286="","",SUMIFS('Per Line'!$X$2:$X$1001,'Per Line'!$D$2:$D$1001,$B286,'Per Line'!$AO$2:$AO$1001,1,'Per Line'!$AP$2:$AP$1001,0))</f>
        <v/>
      </c>
      <c r="T286" s="7">
        <f>IF($Y286="","",S286*R286)</f>
        <v/>
      </c>
      <c r="U286" s="7">
        <f>IF($Y286="","",T286+Q286)</f>
        <v/>
      </c>
      <c r="V286" s="7">
        <f>IF($Y286="","",W286-U286)</f>
        <v/>
      </c>
      <c r="W286" s="7">
        <f>IF($Y286="","",P286+S286+N286)</f>
        <v/>
      </c>
      <c r="X286" s="7">
        <f>IF($Y286="","",W286-U286-J286)</f>
        <v/>
      </c>
      <c r="Y286" s="13">
        <f>IF(ROWS($Y$2:$Y286)&lt;=MAX('Per Line'!$AN$2:$AN$1001),MATCH(ROWS($Y$2:$Y286),'Per Line'!$AN$2:$AN$1001,0),"")</f>
        <v/>
      </c>
      <c r="Z286" s="14">
        <f>IF($Y286="","",J286-I286*W286/100)</f>
        <v/>
      </c>
    </row>
    <row r="287">
      <c r="A287" s="12" t="n"/>
      <c r="B287">
        <f>IF($Y287="","",INDEX('Per Line'!$D$2:$D$1001,$Y287)&amp;"")</f>
        <v/>
      </c>
      <c r="C287">
        <f>IF($Y287="","",INDEX('Per Line'!$C$2:$C$1001,$Y287)&amp;"")</f>
        <v/>
      </c>
      <c r="D287" s="11">
        <f>IF($Y287="","",INDEX('Per Line'!$F$2:$F$1001,$Y287))</f>
        <v/>
      </c>
      <c r="E287">
        <f>IF($Y287="","",INDEX('Per Line'!$G$2:$G$1001,$Y287)&amp;"")</f>
        <v/>
      </c>
      <c r="F287">
        <f>IF($Y287="","",INDEX('Per Line'!$I$2:$I$1001,$Y287)&amp;"")</f>
        <v/>
      </c>
      <c r="G287">
        <f>IF($Y287="","",INDEX('Per Line'!$J$2:$J$1001,$Y287)&amp;"")</f>
        <v/>
      </c>
      <c r="H287">
        <f>IF($Y287="","",INDEX('Per Line'!$K$2:$K$1001,$Y287)&amp;"")</f>
        <v/>
      </c>
      <c r="I287">
        <f>IF($Y287="","",INDEX('Per Line'!$O$2:$O$1001,$Y287))</f>
        <v/>
      </c>
      <c r="J287" s="7">
        <f>IF($Y287="","",IF(AND(ISNUMBER(L287),L287&gt;0,W287&gt;L287),I287*L287/100+(W287-L287),I287*W287/100))</f>
        <v/>
      </c>
      <c r="K287">
        <f>IF($Y287="","",INDEX('Per Line'!$Y$2:$Y$1001,$Y287)&amp;"")</f>
        <v/>
      </c>
      <c r="L287">
        <f>IF($Y287="","",INDEX('Per Line'!$AF$2:$AF$1001,$Y287))</f>
        <v/>
      </c>
      <c r="M287">
        <f>IF($Y287="","",IF(AND(ISNUMBER(L287),L287&gt;0),W287&gt;L287,FALSE))</f>
        <v/>
      </c>
      <c r="N287" s="7">
        <f>IF($Y287="","",SUMIFS('Per Line'!$X$2:$X$1001,'Per Line'!$D$2:$D$1001,$B287,'Per Line'!$AP$2:$AP$1001,1))</f>
        <v/>
      </c>
      <c r="O287">
        <f>IF($Y287="","",Settings!$C$7)</f>
        <v/>
      </c>
      <c r="P287" s="7">
        <f>IF($Y287="","",SUMIFS('Per Line'!$X$2:$X$1001,'Per Line'!$D$2:$D$1001,$B287,'Per Line'!$AO$2:$AO$1001,0,'Per Line'!$AP$2:$AP$1001,0))</f>
        <v/>
      </c>
      <c r="Q287" s="7">
        <f>IF($Y287="","",P287*O287)</f>
        <v/>
      </c>
      <c r="R287">
        <f>IF($Y287="","",Settings!$C$6)</f>
        <v/>
      </c>
      <c r="S287" s="7">
        <f>IF($Y287="","",SUMIFS('Per Line'!$X$2:$X$1001,'Per Line'!$D$2:$D$1001,$B287,'Per Line'!$AO$2:$AO$1001,1,'Per Line'!$AP$2:$AP$1001,0))</f>
        <v/>
      </c>
      <c r="T287" s="7">
        <f>IF($Y287="","",S287*R287)</f>
        <v/>
      </c>
      <c r="U287" s="7">
        <f>IF($Y287="","",T287+Q287)</f>
        <v/>
      </c>
      <c r="V287" s="7">
        <f>IF($Y287="","",W287-U287)</f>
        <v/>
      </c>
      <c r="W287" s="7">
        <f>IF($Y287="","",P287+S287+N287)</f>
        <v/>
      </c>
      <c r="X287" s="7">
        <f>IF($Y287="","",W287-U287-J287)</f>
        <v/>
      </c>
      <c r="Y287" s="13">
        <f>IF(ROWS($Y$2:$Y287)&lt;=MAX('Per Line'!$AN$2:$AN$1001),MATCH(ROWS($Y$2:$Y287),'Per Line'!$AN$2:$AN$1001,0),"")</f>
        <v/>
      </c>
      <c r="Z287" s="14">
        <f>IF($Y287="","",J287-I287*W287/100)</f>
        <v/>
      </c>
    </row>
    <row r="288">
      <c r="A288" s="12" t="n"/>
      <c r="B288">
        <f>IF($Y288="","",INDEX('Per Line'!$D$2:$D$1001,$Y288)&amp;"")</f>
        <v/>
      </c>
      <c r="C288">
        <f>IF($Y288="","",INDEX('Per Line'!$C$2:$C$1001,$Y288)&amp;"")</f>
        <v/>
      </c>
      <c r="D288" s="11">
        <f>IF($Y288="","",INDEX('Per Line'!$F$2:$F$1001,$Y288))</f>
        <v/>
      </c>
      <c r="E288">
        <f>IF($Y288="","",INDEX('Per Line'!$G$2:$G$1001,$Y288)&amp;"")</f>
        <v/>
      </c>
      <c r="F288">
        <f>IF($Y288="","",INDEX('Per Line'!$I$2:$I$1001,$Y288)&amp;"")</f>
        <v/>
      </c>
      <c r="G288">
        <f>IF($Y288="","",INDEX('Per Line'!$J$2:$J$1001,$Y288)&amp;"")</f>
        <v/>
      </c>
      <c r="H288">
        <f>IF($Y288="","",INDEX('Per Line'!$K$2:$K$1001,$Y288)&amp;"")</f>
        <v/>
      </c>
      <c r="I288">
        <f>IF($Y288="","",INDEX('Per Line'!$O$2:$O$1001,$Y288))</f>
        <v/>
      </c>
      <c r="J288" s="7">
        <f>IF($Y288="","",IF(AND(ISNUMBER(L288),L288&gt;0,W288&gt;L288),I288*L288/100+(W288-L288),I288*W288/100))</f>
        <v/>
      </c>
      <c r="K288">
        <f>IF($Y288="","",INDEX('Per Line'!$Y$2:$Y$1001,$Y288)&amp;"")</f>
        <v/>
      </c>
      <c r="L288">
        <f>IF($Y288="","",INDEX('Per Line'!$AF$2:$AF$1001,$Y288))</f>
        <v/>
      </c>
      <c r="M288">
        <f>IF($Y288="","",IF(AND(ISNUMBER(L288),L288&gt;0),W288&gt;L288,FALSE))</f>
        <v/>
      </c>
      <c r="N288" s="7">
        <f>IF($Y288="","",SUMIFS('Per Line'!$X$2:$X$1001,'Per Line'!$D$2:$D$1001,$B288,'Per Line'!$AP$2:$AP$1001,1))</f>
        <v/>
      </c>
      <c r="O288">
        <f>IF($Y288="","",Settings!$C$7)</f>
        <v/>
      </c>
      <c r="P288" s="7">
        <f>IF($Y288="","",SUMIFS('Per Line'!$X$2:$X$1001,'Per Line'!$D$2:$D$1001,$B288,'Per Line'!$AO$2:$AO$1001,0,'Per Line'!$AP$2:$AP$1001,0))</f>
        <v/>
      </c>
      <c r="Q288" s="7">
        <f>IF($Y288="","",P288*O288)</f>
        <v/>
      </c>
      <c r="R288">
        <f>IF($Y288="","",Settings!$C$6)</f>
        <v/>
      </c>
      <c r="S288" s="7">
        <f>IF($Y288="","",SUMIFS('Per Line'!$X$2:$X$1001,'Per Line'!$D$2:$D$1001,$B288,'Per Line'!$AO$2:$AO$1001,1,'Per Line'!$AP$2:$AP$1001,0))</f>
        <v/>
      </c>
      <c r="T288" s="7">
        <f>IF($Y288="","",S288*R288)</f>
        <v/>
      </c>
      <c r="U288" s="7">
        <f>IF($Y288="","",T288+Q288)</f>
        <v/>
      </c>
      <c r="V288" s="7">
        <f>IF($Y288="","",W288-U288)</f>
        <v/>
      </c>
      <c r="W288" s="7">
        <f>IF($Y288="","",P288+S288+N288)</f>
        <v/>
      </c>
      <c r="X288" s="7">
        <f>IF($Y288="","",W288-U288-J288)</f>
        <v/>
      </c>
      <c r="Y288" s="13">
        <f>IF(ROWS($Y$2:$Y288)&lt;=MAX('Per Line'!$AN$2:$AN$1001),MATCH(ROWS($Y$2:$Y288),'Per Line'!$AN$2:$AN$1001,0),"")</f>
        <v/>
      </c>
      <c r="Z288" s="14">
        <f>IF($Y288="","",J288-I288*W288/100)</f>
        <v/>
      </c>
    </row>
    <row r="289">
      <c r="A289" s="12" t="n"/>
      <c r="B289">
        <f>IF($Y289="","",INDEX('Per Line'!$D$2:$D$1001,$Y289)&amp;"")</f>
        <v/>
      </c>
      <c r="C289">
        <f>IF($Y289="","",INDEX('Per Line'!$C$2:$C$1001,$Y289)&amp;"")</f>
        <v/>
      </c>
      <c r="D289" s="11">
        <f>IF($Y289="","",INDEX('Per Line'!$F$2:$F$1001,$Y289))</f>
        <v/>
      </c>
      <c r="E289">
        <f>IF($Y289="","",INDEX('Per Line'!$G$2:$G$1001,$Y289)&amp;"")</f>
        <v/>
      </c>
      <c r="F289">
        <f>IF($Y289="","",INDEX('Per Line'!$I$2:$I$1001,$Y289)&amp;"")</f>
        <v/>
      </c>
      <c r="G289">
        <f>IF($Y289="","",INDEX('Per Line'!$J$2:$J$1001,$Y289)&amp;"")</f>
        <v/>
      </c>
      <c r="H289">
        <f>IF($Y289="","",INDEX('Per Line'!$K$2:$K$1001,$Y289)&amp;"")</f>
        <v/>
      </c>
      <c r="I289">
        <f>IF($Y289="","",INDEX('Per Line'!$O$2:$O$1001,$Y289))</f>
        <v/>
      </c>
      <c r="J289" s="7">
        <f>IF($Y289="","",IF(AND(ISNUMBER(L289),L289&gt;0,W289&gt;L289),I289*L289/100+(W289-L289),I289*W289/100))</f>
        <v/>
      </c>
      <c r="K289">
        <f>IF($Y289="","",INDEX('Per Line'!$Y$2:$Y$1001,$Y289)&amp;"")</f>
        <v/>
      </c>
      <c r="L289">
        <f>IF($Y289="","",INDEX('Per Line'!$AF$2:$AF$1001,$Y289))</f>
        <v/>
      </c>
      <c r="M289">
        <f>IF($Y289="","",IF(AND(ISNUMBER(L289),L289&gt;0),W289&gt;L289,FALSE))</f>
        <v/>
      </c>
      <c r="N289" s="7">
        <f>IF($Y289="","",SUMIFS('Per Line'!$X$2:$X$1001,'Per Line'!$D$2:$D$1001,$B289,'Per Line'!$AP$2:$AP$1001,1))</f>
        <v/>
      </c>
      <c r="O289">
        <f>IF($Y289="","",Settings!$C$7)</f>
        <v/>
      </c>
      <c r="P289" s="7">
        <f>IF($Y289="","",SUMIFS('Per Line'!$X$2:$X$1001,'Per Line'!$D$2:$D$1001,$B289,'Per Line'!$AO$2:$AO$1001,0,'Per Line'!$AP$2:$AP$1001,0))</f>
        <v/>
      </c>
      <c r="Q289" s="7">
        <f>IF($Y289="","",P289*O289)</f>
        <v/>
      </c>
      <c r="R289">
        <f>IF($Y289="","",Settings!$C$6)</f>
        <v/>
      </c>
      <c r="S289" s="7">
        <f>IF($Y289="","",SUMIFS('Per Line'!$X$2:$X$1001,'Per Line'!$D$2:$D$1001,$B289,'Per Line'!$AO$2:$AO$1001,1,'Per Line'!$AP$2:$AP$1001,0))</f>
        <v/>
      </c>
      <c r="T289" s="7">
        <f>IF($Y289="","",S289*R289)</f>
        <v/>
      </c>
      <c r="U289" s="7">
        <f>IF($Y289="","",T289+Q289)</f>
        <v/>
      </c>
      <c r="V289" s="7">
        <f>IF($Y289="","",W289-U289)</f>
        <v/>
      </c>
      <c r="W289" s="7">
        <f>IF($Y289="","",P289+S289+N289)</f>
        <v/>
      </c>
      <c r="X289" s="7">
        <f>IF($Y289="","",W289-U289-J289)</f>
        <v/>
      </c>
      <c r="Y289" s="13">
        <f>IF(ROWS($Y$2:$Y289)&lt;=MAX('Per Line'!$AN$2:$AN$1001),MATCH(ROWS($Y$2:$Y289),'Per Line'!$AN$2:$AN$1001,0),"")</f>
        <v/>
      </c>
      <c r="Z289" s="14">
        <f>IF($Y289="","",J289-I289*W289/100)</f>
        <v/>
      </c>
    </row>
    <row r="290">
      <c r="A290" s="12" t="n"/>
      <c r="B290">
        <f>IF($Y290="","",INDEX('Per Line'!$D$2:$D$1001,$Y290)&amp;"")</f>
        <v/>
      </c>
      <c r="C290">
        <f>IF($Y290="","",INDEX('Per Line'!$C$2:$C$1001,$Y290)&amp;"")</f>
        <v/>
      </c>
      <c r="D290" s="11">
        <f>IF($Y290="","",INDEX('Per Line'!$F$2:$F$1001,$Y290))</f>
        <v/>
      </c>
      <c r="E290">
        <f>IF($Y290="","",INDEX('Per Line'!$G$2:$G$1001,$Y290)&amp;"")</f>
        <v/>
      </c>
      <c r="F290">
        <f>IF($Y290="","",INDEX('Per Line'!$I$2:$I$1001,$Y290)&amp;"")</f>
        <v/>
      </c>
      <c r="G290">
        <f>IF($Y290="","",INDEX('Per Line'!$J$2:$J$1001,$Y290)&amp;"")</f>
        <v/>
      </c>
      <c r="H290">
        <f>IF($Y290="","",INDEX('Per Line'!$K$2:$K$1001,$Y290)&amp;"")</f>
        <v/>
      </c>
      <c r="I290">
        <f>IF($Y290="","",INDEX('Per Line'!$O$2:$O$1001,$Y290))</f>
        <v/>
      </c>
      <c r="J290" s="7">
        <f>IF($Y290="","",IF(AND(ISNUMBER(L290),L290&gt;0,W290&gt;L290),I290*L290/100+(W290-L290),I290*W290/100))</f>
        <v/>
      </c>
      <c r="K290">
        <f>IF($Y290="","",INDEX('Per Line'!$Y$2:$Y$1001,$Y290)&amp;"")</f>
        <v/>
      </c>
      <c r="L290">
        <f>IF($Y290="","",INDEX('Per Line'!$AF$2:$AF$1001,$Y290))</f>
        <v/>
      </c>
      <c r="M290">
        <f>IF($Y290="","",IF(AND(ISNUMBER(L290),L290&gt;0),W290&gt;L290,FALSE))</f>
        <v/>
      </c>
      <c r="N290" s="7">
        <f>IF($Y290="","",SUMIFS('Per Line'!$X$2:$X$1001,'Per Line'!$D$2:$D$1001,$B290,'Per Line'!$AP$2:$AP$1001,1))</f>
        <v/>
      </c>
      <c r="O290">
        <f>IF($Y290="","",Settings!$C$7)</f>
        <v/>
      </c>
      <c r="P290" s="7">
        <f>IF($Y290="","",SUMIFS('Per Line'!$X$2:$X$1001,'Per Line'!$D$2:$D$1001,$B290,'Per Line'!$AO$2:$AO$1001,0,'Per Line'!$AP$2:$AP$1001,0))</f>
        <v/>
      </c>
      <c r="Q290" s="7">
        <f>IF($Y290="","",P290*O290)</f>
        <v/>
      </c>
      <c r="R290">
        <f>IF($Y290="","",Settings!$C$6)</f>
        <v/>
      </c>
      <c r="S290" s="7">
        <f>IF($Y290="","",SUMIFS('Per Line'!$X$2:$X$1001,'Per Line'!$D$2:$D$1001,$B290,'Per Line'!$AO$2:$AO$1001,1,'Per Line'!$AP$2:$AP$1001,0))</f>
        <v/>
      </c>
      <c r="T290" s="7">
        <f>IF($Y290="","",S290*R290)</f>
        <v/>
      </c>
      <c r="U290" s="7">
        <f>IF($Y290="","",T290+Q290)</f>
        <v/>
      </c>
      <c r="V290" s="7">
        <f>IF($Y290="","",W290-U290)</f>
        <v/>
      </c>
      <c r="W290" s="7">
        <f>IF($Y290="","",P290+S290+N290)</f>
        <v/>
      </c>
      <c r="X290" s="7">
        <f>IF($Y290="","",W290-U290-J290)</f>
        <v/>
      </c>
      <c r="Y290" s="13">
        <f>IF(ROWS($Y$2:$Y290)&lt;=MAX('Per Line'!$AN$2:$AN$1001),MATCH(ROWS($Y$2:$Y290),'Per Line'!$AN$2:$AN$1001,0),"")</f>
        <v/>
      </c>
      <c r="Z290" s="14">
        <f>IF($Y290="","",J290-I290*W290/100)</f>
        <v/>
      </c>
    </row>
    <row r="291">
      <c r="A291" s="12" t="n"/>
      <c r="B291">
        <f>IF($Y291="","",INDEX('Per Line'!$D$2:$D$1001,$Y291)&amp;"")</f>
        <v/>
      </c>
      <c r="C291">
        <f>IF($Y291="","",INDEX('Per Line'!$C$2:$C$1001,$Y291)&amp;"")</f>
        <v/>
      </c>
      <c r="D291" s="11">
        <f>IF($Y291="","",INDEX('Per Line'!$F$2:$F$1001,$Y291))</f>
        <v/>
      </c>
      <c r="E291">
        <f>IF($Y291="","",INDEX('Per Line'!$G$2:$G$1001,$Y291)&amp;"")</f>
        <v/>
      </c>
      <c r="F291">
        <f>IF($Y291="","",INDEX('Per Line'!$I$2:$I$1001,$Y291)&amp;"")</f>
        <v/>
      </c>
      <c r="G291">
        <f>IF($Y291="","",INDEX('Per Line'!$J$2:$J$1001,$Y291)&amp;"")</f>
        <v/>
      </c>
      <c r="H291">
        <f>IF($Y291="","",INDEX('Per Line'!$K$2:$K$1001,$Y291)&amp;"")</f>
        <v/>
      </c>
      <c r="I291">
        <f>IF($Y291="","",INDEX('Per Line'!$O$2:$O$1001,$Y291))</f>
        <v/>
      </c>
      <c r="J291" s="7">
        <f>IF($Y291="","",IF(AND(ISNUMBER(L291),L291&gt;0,W291&gt;L291),I291*L291/100+(W291-L291),I291*W291/100))</f>
        <v/>
      </c>
      <c r="K291">
        <f>IF($Y291="","",INDEX('Per Line'!$Y$2:$Y$1001,$Y291)&amp;"")</f>
        <v/>
      </c>
      <c r="L291">
        <f>IF($Y291="","",INDEX('Per Line'!$AF$2:$AF$1001,$Y291))</f>
        <v/>
      </c>
      <c r="M291">
        <f>IF($Y291="","",IF(AND(ISNUMBER(L291),L291&gt;0),W291&gt;L291,FALSE))</f>
        <v/>
      </c>
      <c r="N291" s="7">
        <f>IF($Y291="","",SUMIFS('Per Line'!$X$2:$X$1001,'Per Line'!$D$2:$D$1001,$B291,'Per Line'!$AP$2:$AP$1001,1))</f>
        <v/>
      </c>
      <c r="O291">
        <f>IF($Y291="","",Settings!$C$7)</f>
        <v/>
      </c>
      <c r="P291" s="7">
        <f>IF($Y291="","",SUMIFS('Per Line'!$X$2:$X$1001,'Per Line'!$D$2:$D$1001,$B291,'Per Line'!$AO$2:$AO$1001,0,'Per Line'!$AP$2:$AP$1001,0))</f>
        <v/>
      </c>
      <c r="Q291" s="7">
        <f>IF($Y291="","",P291*O291)</f>
        <v/>
      </c>
      <c r="R291">
        <f>IF($Y291="","",Settings!$C$6)</f>
        <v/>
      </c>
      <c r="S291" s="7">
        <f>IF($Y291="","",SUMIFS('Per Line'!$X$2:$X$1001,'Per Line'!$D$2:$D$1001,$B291,'Per Line'!$AO$2:$AO$1001,1,'Per Line'!$AP$2:$AP$1001,0))</f>
        <v/>
      </c>
      <c r="T291" s="7">
        <f>IF($Y291="","",S291*R291)</f>
        <v/>
      </c>
      <c r="U291" s="7">
        <f>IF($Y291="","",T291+Q291)</f>
        <v/>
      </c>
      <c r="V291" s="7">
        <f>IF($Y291="","",W291-U291)</f>
        <v/>
      </c>
      <c r="W291" s="7">
        <f>IF($Y291="","",P291+S291+N291)</f>
        <v/>
      </c>
      <c r="X291" s="7">
        <f>IF($Y291="","",W291-U291-J291)</f>
        <v/>
      </c>
      <c r="Y291" s="13">
        <f>IF(ROWS($Y$2:$Y291)&lt;=MAX('Per Line'!$AN$2:$AN$1001),MATCH(ROWS($Y$2:$Y291),'Per Line'!$AN$2:$AN$1001,0),"")</f>
        <v/>
      </c>
      <c r="Z291" s="14">
        <f>IF($Y291="","",J291-I291*W291/100)</f>
        <v/>
      </c>
    </row>
    <row r="292">
      <c r="A292" s="12" t="n"/>
      <c r="B292">
        <f>IF($Y292="","",INDEX('Per Line'!$D$2:$D$1001,$Y292)&amp;"")</f>
        <v/>
      </c>
      <c r="C292">
        <f>IF($Y292="","",INDEX('Per Line'!$C$2:$C$1001,$Y292)&amp;"")</f>
        <v/>
      </c>
      <c r="D292" s="11">
        <f>IF($Y292="","",INDEX('Per Line'!$F$2:$F$1001,$Y292))</f>
        <v/>
      </c>
      <c r="E292">
        <f>IF($Y292="","",INDEX('Per Line'!$G$2:$G$1001,$Y292)&amp;"")</f>
        <v/>
      </c>
      <c r="F292">
        <f>IF($Y292="","",INDEX('Per Line'!$I$2:$I$1001,$Y292)&amp;"")</f>
        <v/>
      </c>
      <c r="G292">
        <f>IF($Y292="","",INDEX('Per Line'!$J$2:$J$1001,$Y292)&amp;"")</f>
        <v/>
      </c>
      <c r="H292">
        <f>IF($Y292="","",INDEX('Per Line'!$K$2:$K$1001,$Y292)&amp;"")</f>
        <v/>
      </c>
      <c r="I292">
        <f>IF($Y292="","",INDEX('Per Line'!$O$2:$O$1001,$Y292))</f>
        <v/>
      </c>
      <c r="J292" s="7">
        <f>IF($Y292="","",IF(AND(ISNUMBER(L292),L292&gt;0,W292&gt;L292),I292*L292/100+(W292-L292),I292*W292/100))</f>
        <v/>
      </c>
      <c r="K292">
        <f>IF($Y292="","",INDEX('Per Line'!$Y$2:$Y$1001,$Y292)&amp;"")</f>
        <v/>
      </c>
      <c r="L292">
        <f>IF($Y292="","",INDEX('Per Line'!$AF$2:$AF$1001,$Y292))</f>
        <v/>
      </c>
      <c r="M292">
        <f>IF($Y292="","",IF(AND(ISNUMBER(L292),L292&gt;0),W292&gt;L292,FALSE))</f>
        <v/>
      </c>
      <c r="N292" s="7">
        <f>IF($Y292="","",SUMIFS('Per Line'!$X$2:$X$1001,'Per Line'!$D$2:$D$1001,$B292,'Per Line'!$AP$2:$AP$1001,1))</f>
        <v/>
      </c>
      <c r="O292">
        <f>IF($Y292="","",Settings!$C$7)</f>
        <v/>
      </c>
      <c r="P292" s="7">
        <f>IF($Y292="","",SUMIFS('Per Line'!$X$2:$X$1001,'Per Line'!$D$2:$D$1001,$B292,'Per Line'!$AO$2:$AO$1001,0,'Per Line'!$AP$2:$AP$1001,0))</f>
        <v/>
      </c>
      <c r="Q292" s="7">
        <f>IF($Y292="","",P292*O292)</f>
        <v/>
      </c>
      <c r="R292">
        <f>IF($Y292="","",Settings!$C$6)</f>
        <v/>
      </c>
      <c r="S292" s="7">
        <f>IF($Y292="","",SUMIFS('Per Line'!$X$2:$X$1001,'Per Line'!$D$2:$D$1001,$B292,'Per Line'!$AO$2:$AO$1001,1,'Per Line'!$AP$2:$AP$1001,0))</f>
        <v/>
      </c>
      <c r="T292" s="7">
        <f>IF($Y292="","",S292*R292)</f>
        <v/>
      </c>
      <c r="U292" s="7">
        <f>IF($Y292="","",T292+Q292)</f>
        <v/>
      </c>
      <c r="V292" s="7">
        <f>IF($Y292="","",W292-U292)</f>
        <v/>
      </c>
      <c r="W292" s="7">
        <f>IF($Y292="","",P292+S292+N292)</f>
        <v/>
      </c>
      <c r="X292" s="7">
        <f>IF($Y292="","",W292-U292-J292)</f>
        <v/>
      </c>
      <c r="Y292" s="13">
        <f>IF(ROWS($Y$2:$Y292)&lt;=MAX('Per Line'!$AN$2:$AN$1001),MATCH(ROWS($Y$2:$Y292),'Per Line'!$AN$2:$AN$1001,0),"")</f>
        <v/>
      </c>
      <c r="Z292" s="14">
        <f>IF($Y292="","",J292-I292*W292/100)</f>
        <v/>
      </c>
    </row>
    <row r="293">
      <c r="A293" s="12" t="n"/>
      <c r="B293">
        <f>IF($Y293="","",INDEX('Per Line'!$D$2:$D$1001,$Y293)&amp;"")</f>
        <v/>
      </c>
      <c r="C293">
        <f>IF($Y293="","",INDEX('Per Line'!$C$2:$C$1001,$Y293)&amp;"")</f>
        <v/>
      </c>
      <c r="D293" s="11">
        <f>IF($Y293="","",INDEX('Per Line'!$F$2:$F$1001,$Y293))</f>
        <v/>
      </c>
      <c r="E293">
        <f>IF($Y293="","",INDEX('Per Line'!$G$2:$G$1001,$Y293)&amp;"")</f>
        <v/>
      </c>
      <c r="F293">
        <f>IF($Y293="","",INDEX('Per Line'!$I$2:$I$1001,$Y293)&amp;"")</f>
        <v/>
      </c>
      <c r="G293">
        <f>IF($Y293="","",INDEX('Per Line'!$J$2:$J$1001,$Y293)&amp;"")</f>
        <v/>
      </c>
      <c r="H293">
        <f>IF($Y293="","",INDEX('Per Line'!$K$2:$K$1001,$Y293)&amp;"")</f>
        <v/>
      </c>
      <c r="I293">
        <f>IF($Y293="","",INDEX('Per Line'!$O$2:$O$1001,$Y293))</f>
        <v/>
      </c>
      <c r="J293" s="7">
        <f>IF($Y293="","",IF(AND(ISNUMBER(L293),L293&gt;0,W293&gt;L293),I293*L293/100+(W293-L293),I293*W293/100))</f>
        <v/>
      </c>
      <c r="K293">
        <f>IF($Y293="","",INDEX('Per Line'!$Y$2:$Y$1001,$Y293)&amp;"")</f>
        <v/>
      </c>
      <c r="L293">
        <f>IF($Y293="","",INDEX('Per Line'!$AF$2:$AF$1001,$Y293))</f>
        <v/>
      </c>
      <c r="M293">
        <f>IF($Y293="","",IF(AND(ISNUMBER(L293),L293&gt;0),W293&gt;L293,FALSE))</f>
        <v/>
      </c>
      <c r="N293" s="7">
        <f>IF($Y293="","",SUMIFS('Per Line'!$X$2:$X$1001,'Per Line'!$D$2:$D$1001,$B293,'Per Line'!$AP$2:$AP$1001,1))</f>
        <v/>
      </c>
      <c r="O293">
        <f>IF($Y293="","",Settings!$C$7)</f>
        <v/>
      </c>
      <c r="P293" s="7">
        <f>IF($Y293="","",SUMIFS('Per Line'!$X$2:$X$1001,'Per Line'!$D$2:$D$1001,$B293,'Per Line'!$AO$2:$AO$1001,0,'Per Line'!$AP$2:$AP$1001,0))</f>
        <v/>
      </c>
      <c r="Q293" s="7">
        <f>IF($Y293="","",P293*O293)</f>
        <v/>
      </c>
      <c r="R293">
        <f>IF($Y293="","",Settings!$C$6)</f>
        <v/>
      </c>
      <c r="S293" s="7">
        <f>IF($Y293="","",SUMIFS('Per Line'!$X$2:$X$1001,'Per Line'!$D$2:$D$1001,$B293,'Per Line'!$AO$2:$AO$1001,1,'Per Line'!$AP$2:$AP$1001,0))</f>
        <v/>
      </c>
      <c r="T293" s="7">
        <f>IF($Y293="","",S293*R293)</f>
        <v/>
      </c>
      <c r="U293" s="7">
        <f>IF($Y293="","",T293+Q293)</f>
        <v/>
      </c>
      <c r="V293" s="7">
        <f>IF($Y293="","",W293-U293)</f>
        <v/>
      </c>
      <c r="W293" s="7">
        <f>IF($Y293="","",P293+S293+N293)</f>
        <v/>
      </c>
      <c r="X293" s="7">
        <f>IF($Y293="","",W293-U293-J293)</f>
        <v/>
      </c>
      <c r="Y293" s="13">
        <f>IF(ROWS($Y$2:$Y293)&lt;=MAX('Per Line'!$AN$2:$AN$1001),MATCH(ROWS($Y$2:$Y293),'Per Line'!$AN$2:$AN$1001,0),"")</f>
        <v/>
      </c>
      <c r="Z293" s="14">
        <f>IF($Y293="","",J293-I293*W293/100)</f>
        <v/>
      </c>
    </row>
    <row r="294">
      <c r="A294" s="12" t="n"/>
      <c r="B294">
        <f>IF($Y294="","",INDEX('Per Line'!$D$2:$D$1001,$Y294)&amp;"")</f>
        <v/>
      </c>
      <c r="C294">
        <f>IF($Y294="","",INDEX('Per Line'!$C$2:$C$1001,$Y294)&amp;"")</f>
        <v/>
      </c>
      <c r="D294" s="11">
        <f>IF($Y294="","",INDEX('Per Line'!$F$2:$F$1001,$Y294))</f>
        <v/>
      </c>
      <c r="E294">
        <f>IF($Y294="","",INDEX('Per Line'!$G$2:$G$1001,$Y294)&amp;"")</f>
        <v/>
      </c>
      <c r="F294">
        <f>IF($Y294="","",INDEX('Per Line'!$I$2:$I$1001,$Y294)&amp;"")</f>
        <v/>
      </c>
      <c r="G294">
        <f>IF($Y294="","",INDEX('Per Line'!$J$2:$J$1001,$Y294)&amp;"")</f>
        <v/>
      </c>
      <c r="H294">
        <f>IF($Y294="","",INDEX('Per Line'!$K$2:$K$1001,$Y294)&amp;"")</f>
        <v/>
      </c>
      <c r="I294">
        <f>IF($Y294="","",INDEX('Per Line'!$O$2:$O$1001,$Y294))</f>
        <v/>
      </c>
      <c r="J294" s="7">
        <f>IF($Y294="","",IF(AND(ISNUMBER(L294),L294&gt;0,W294&gt;L294),I294*L294/100+(W294-L294),I294*W294/100))</f>
        <v/>
      </c>
      <c r="K294">
        <f>IF($Y294="","",INDEX('Per Line'!$Y$2:$Y$1001,$Y294)&amp;"")</f>
        <v/>
      </c>
      <c r="L294">
        <f>IF($Y294="","",INDEX('Per Line'!$AF$2:$AF$1001,$Y294))</f>
        <v/>
      </c>
      <c r="M294">
        <f>IF($Y294="","",IF(AND(ISNUMBER(L294),L294&gt;0),W294&gt;L294,FALSE))</f>
        <v/>
      </c>
      <c r="N294" s="7">
        <f>IF($Y294="","",SUMIFS('Per Line'!$X$2:$X$1001,'Per Line'!$D$2:$D$1001,$B294,'Per Line'!$AP$2:$AP$1001,1))</f>
        <v/>
      </c>
      <c r="O294">
        <f>IF($Y294="","",Settings!$C$7)</f>
        <v/>
      </c>
      <c r="P294" s="7">
        <f>IF($Y294="","",SUMIFS('Per Line'!$X$2:$X$1001,'Per Line'!$D$2:$D$1001,$B294,'Per Line'!$AO$2:$AO$1001,0,'Per Line'!$AP$2:$AP$1001,0))</f>
        <v/>
      </c>
      <c r="Q294" s="7">
        <f>IF($Y294="","",P294*O294)</f>
        <v/>
      </c>
      <c r="R294">
        <f>IF($Y294="","",Settings!$C$6)</f>
        <v/>
      </c>
      <c r="S294" s="7">
        <f>IF($Y294="","",SUMIFS('Per Line'!$X$2:$X$1001,'Per Line'!$D$2:$D$1001,$B294,'Per Line'!$AO$2:$AO$1001,1,'Per Line'!$AP$2:$AP$1001,0))</f>
        <v/>
      </c>
      <c r="T294" s="7">
        <f>IF($Y294="","",S294*R294)</f>
        <v/>
      </c>
      <c r="U294" s="7">
        <f>IF($Y294="","",T294+Q294)</f>
        <v/>
      </c>
      <c r="V294" s="7">
        <f>IF($Y294="","",W294-U294)</f>
        <v/>
      </c>
      <c r="W294" s="7">
        <f>IF($Y294="","",P294+S294+N294)</f>
        <v/>
      </c>
      <c r="X294" s="7">
        <f>IF($Y294="","",W294-U294-J294)</f>
        <v/>
      </c>
      <c r="Y294" s="13">
        <f>IF(ROWS($Y$2:$Y294)&lt;=MAX('Per Line'!$AN$2:$AN$1001),MATCH(ROWS($Y$2:$Y294),'Per Line'!$AN$2:$AN$1001,0),"")</f>
        <v/>
      </c>
      <c r="Z294" s="14">
        <f>IF($Y294="","",J294-I294*W294/100)</f>
        <v/>
      </c>
    </row>
    <row r="295">
      <c r="A295" s="12" t="n"/>
      <c r="B295">
        <f>IF($Y295="","",INDEX('Per Line'!$D$2:$D$1001,$Y295)&amp;"")</f>
        <v/>
      </c>
      <c r="C295">
        <f>IF($Y295="","",INDEX('Per Line'!$C$2:$C$1001,$Y295)&amp;"")</f>
        <v/>
      </c>
      <c r="D295" s="11">
        <f>IF($Y295="","",INDEX('Per Line'!$F$2:$F$1001,$Y295))</f>
        <v/>
      </c>
      <c r="E295">
        <f>IF($Y295="","",INDEX('Per Line'!$G$2:$G$1001,$Y295)&amp;"")</f>
        <v/>
      </c>
      <c r="F295">
        <f>IF($Y295="","",INDEX('Per Line'!$I$2:$I$1001,$Y295)&amp;"")</f>
        <v/>
      </c>
      <c r="G295">
        <f>IF($Y295="","",INDEX('Per Line'!$J$2:$J$1001,$Y295)&amp;"")</f>
        <v/>
      </c>
      <c r="H295">
        <f>IF($Y295="","",INDEX('Per Line'!$K$2:$K$1001,$Y295)&amp;"")</f>
        <v/>
      </c>
      <c r="I295">
        <f>IF($Y295="","",INDEX('Per Line'!$O$2:$O$1001,$Y295))</f>
        <v/>
      </c>
      <c r="J295" s="7">
        <f>IF($Y295="","",IF(AND(ISNUMBER(L295),L295&gt;0,W295&gt;L295),I295*L295/100+(W295-L295),I295*W295/100))</f>
        <v/>
      </c>
      <c r="K295">
        <f>IF($Y295="","",INDEX('Per Line'!$Y$2:$Y$1001,$Y295)&amp;"")</f>
        <v/>
      </c>
      <c r="L295">
        <f>IF($Y295="","",INDEX('Per Line'!$AF$2:$AF$1001,$Y295))</f>
        <v/>
      </c>
      <c r="M295">
        <f>IF($Y295="","",IF(AND(ISNUMBER(L295),L295&gt;0),W295&gt;L295,FALSE))</f>
        <v/>
      </c>
      <c r="N295" s="7">
        <f>IF($Y295="","",SUMIFS('Per Line'!$X$2:$X$1001,'Per Line'!$D$2:$D$1001,$B295,'Per Line'!$AP$2:$AP$1001,1))</f>
        <v/>
      </c>
      <c r="O295">
        <f>IF($Y295="","",Settings!$C$7)</f>
        <v/>
      </c>
      <c r="P295" s="7">
        <f>IF($Y295="","",SUMIFS('Per Line'!$X$2:$X$1001,'Per Line'!$D$2:$D$1001,$B295,'Per Line'!$AO$2:$AO$1001,0,'Per Line'!$AP$2:$AP$1001,0))</f>
        <v/>
      </c>
      <c r="Q295" s="7">
        <f>IF($Y295="","",P295*O295)</f>
        <v/>
      </c>
      <c r="R295">
        <f>IF($Y295="","",Settings!$C$6)</f>
        <v/>
      </c>
      <c r="S295" s="7">
        <f>IF($Y295="","",SUMIFS('Per Line'!$X$2:$X$1001,'Per Line'!$D$2:$D$1001,$B295,'Per Line'!$AO$2:$AO$1001,1,'Per Line'!$AP$2:$AP$1001,0))</f>
        <v/>
      </c>
      <c r="T295" s="7">
        <f>IF($Y295="","",S295*R295)</f>
        <v/>
      </c>
      <c r="U295" s="7">
        <f>IF($Y295="","",T295+Q295)</f>
        <v/>
      </c>
      <c r="V295" s="7">
        <f>IF($Y295="","",W295-U295)</f>
        <v/>
      </c>
      <c r="W295" s="7">
        <f>IF($Y295="","",P295+S295+N295)</f>
        <v/>
      </c>
      <c r="X295" s="7">
        <f>IF($Y295="","",W295-U295-J295)</f>
        <v/>
      </c>
      <c r="Y295" s="13">
        <f>IF(ROWS($Y$2:$Y295)&lt;=MAX('Per Line'!$AN$2:$AN$1001),MATCH(ROWS($Y$2:$Y295),'Per Line'!$AN$2:$AN$1001,0),"")</f>
        <v/>
      </c>
      <c r="Z295" s="14">
        <f>IF($Y295="","",J295-I295*W295/100)</f>
        <v/>
      </c>
    </row>
    <row r="296">
      <c r="A296" s="12" t="n"/>
      <c r="B296">
        <f>IF($Y296="","",INDEX('Per Line'!$D$2:$D$1001,$Y296)&amp;"")</f>
        <v/>
      </c>
      <c r="C296">
        <f>IF($Y296="","",INDEX('Per Line'!$C$2:$C$1001,$Y296)&amp;"")</f>
        <v/>
      </c>
      <c r="D296" s="11">
        <f>IF($Y296="","",INDEX('Per Line'!$F$2:$F$1001,$Y296))</f>
        <v/>
      </c>
      <c r="E296">
        <f>IF($Y296="","",INDEX('Per Line'!$G$2:$G$1001,$Y296)&amp;"")</f>
        <v/>
      </c>
      <c r="F296">
        <f>IF($Y296="","",INDEX('Per Line'!$I$2:$I$1001,$Y296)&amp;"")</f>
        <v/>
      </c>
      <c r="G296">
        <f>IF($Y296="","",INDEX('Per Line'!$J$2:$J$1001,$Y296)&amp;"")</f>
        <v/>
      </c>
      <c r="H296">
        <f>IF($Y296="","",INDEX('Per Line'!$K$2:$K$1001,$Y296)&amp;"")</f>
        <v/>
      </c>
      <c r="I296">
        <f>IF($Y296="","",INDEX('Per Line'!$O$2:$O$1001,$Y296))</f>
        <v/>
      </c>
      <c r="J296" s="7">
        <f>IF($Y296="","",IF(AND(ISNUMBER(L296),L296&gt;0,W296&gt;L296),I296*L296/100+(W296-L296),I296*W296/100))</f>
        <v/>
      </c>
      <c r="K296">
        <f>IF($Y296="","",INDEX('Per Line'!$Y$2:$Y$1001,$Y296)&amp;"")</f>
        <v/>
      </c>
      <c r="L296">
        <f>IF($Y296="","",INDEX('Per Line'!$AF$2:$AF$1001,$Y296))</f>
        <v/>
      </c>
      <c r="M296">
        <f>IF($Y296="","",IF(AND(ISNUMBER(L296),L296&gt;0),W296&gt;L296,FALSE))</f>
        <v/>
      </c>
      <c r="N296" s="7">
        <f>IF($Y296="","",SUMIFS('Per Line'!$X$2:$X$1001,'Per Line'!$D$2:$D$1001,$B296,'Per Line'!$AP$2:$AP$1001,1))</f>
        <v/>
      </c>
      <c r="O296">
        <f>IF($Y296="","",Settings!$C$7)</f>
        <v/>
      </c>
      <c r="P296" s="7">
        <f>IF($Y296="","",SUMIFS('Per Line'!$X$2:$X$1001,'Per Line'!$D$2:$D$1001,$B296,'Per Line'!$AO$2:$AO$1001,0,'Per Line'!$AP$2:$AP$1001,0))</f>
        <v/>
      </c>
      <c r="Q296" s="7">
        <f>IF($Y296="","",P296*O296)</f>
        <v/>
      </c>
      <c r="R296">
        <f>IF($Y296="","",Settings!$C$6)</f>
        <v/>
      </c>
      <c r="S296" s="7">
        <f>IF($Y296="","",SUMIFS('Per Line'!$X$2:$X$1001,'Per Line'!$D$2:$D$1001,$B296,'Per Line'!$AO$2:$AO$1001,1,'Per Line'!$AP$2:$AP$1001,0))</f>
        <v/>
      </c>
      <c r="T296" s="7">
        <f>IF($Y296="","",S296*R296)</f>
        <v/>
      </c>
      <c r="U296" s="7">
        <f>IF($Y296="","",T296+Q296)</f>
        <v/>
      </c>
      <c r="V296" s="7">
        <f>IF($Y296="","",W296-U296)</f>
        <v/>
      </c>
      <c r="W296" s="7">
        <f>IF($Y296="","",P296+S296+N296)</f>
        <v/>
      </c>
      <c r="X296" s="7">
        <f>IF($Y296="","",W296-U296-J296)</f>
        <v/>
      </c>
      <c r="Y296" s="13">
        <f>IF(ROWS($Y$2:$Y296)&lt;=MAX('Per Line'!$AN$2:$AN$1001),MATCH(ROWS($Y$2:$Y296),'Per Line'!$AN$2:$AN$1001,0),"")</f>
        <v/>
      </c>
      <c r="Z296" s="14">
        <f>IF($Y296="","",J296-I296*W296/100)</f>
        <v/>
      </c>
    </row>
    <row r="297">
      <c r="A297" s="12" t="n"/>
      <c r="B297">
        <f>IF($Y297="","",INDEX('Per Line'!$D$2:$D$1001,$Y297)&amp;"")</f>
        <v/>
      </c>
      <c r="C297">
        <f>IF($Y297="","",INDEX('Per Line'!$C$2:$C$1001,$Y297)&amp;"")</f>
        <v/>
      </c>
      <c r="D297" s="11">
        <f>IF($Y297="","",INDEX('Per Line'!$F$2:$F$1001,$Y297))</f>
        <v/>
      </c>
      <c r="E297">
        <f>IF($Y297="","",INDEX('Per Line'!$G$2:$G$1001,$Y297)&amp;"")</f>
        <v/>
      </c>
      <c r="F297">
        <f>IF($Y297="","",INDEX('Per Line'!$I$2:$I$1001,$Y297)&amp;"")</f>
        <v/>
      </c>
      <c r="G297">
        <f>IF($Y297="","",INDEX('Per Line'!$J$2:$J$1001,$Y297)&amp;"")</f>
        <v/>
      </c>
      <c r="H297">
        <f>IF($Y297="","",INDEX('Per Line'!$K$2:$K$1001,$Y297)&amp;"")</f>
        <v/>
      </c>
      <c r="I297">
        <f>IF($Y297="","",INDEX('Per Line'!$O$2:$O$1001,$Y297))</f>
        <v/>
      </c>
      <c r="J297" s="7">
        <f>IF($Y297="","",IF(AND(ISNUMBER(L297),L297&gt;0,W297&gt;L297),I297*L297/100+(W297-L297),I297*W297/100))</f>
        <v/>
      </c>
      <c r="K297">
        <f>IF($Y297="","",INDEX('Per Line'!$Y$2:$Y$1001,$Y297)&amp;"")</f>
        <v/>
      </c>
      <c r="L297">
        <f>IF($Y297="","",INDEX('Per Line'!$AF$2:$AF$1001,$Y297))</f>
        <v/>
      </c>
      <c r="M297">
        <f>IF($Y297="","",IF(AND(ISNUMBER(L297),L297&gt;0),W297&gt;L297,FALSE))</f>
        <v/>
      </c>
      <c r="N297" s="7">
        <f>IF($Y297="","",SUMIFS('Per Line'!$X$2:$X$1001,'Per Line'!$D$2:$D$1001,$B297,'Per Line'!$AP$2:$AP$1001,1))</f>
        <v/>
      </c>
      <c r="O297">
        <f>IF($Y297="","",Settings!$C$7)</f>
        <v/>
      </c>
      <c r="P297" s="7">
        <f>IF($Y297="","",SUMIFS('Per Line'!$X$2:$X$1001,'Per Line'!$D$2:$D$1001,$B297,'Per Line'!$AO$2:$AO$1001,0,'Per Line'!$AP$2:$AP$1001,0))</f>
        <v/>
      </c>
      <c r="Q297" s="7">
        <f>IF($Y297="","",P297*O297)</f>
        <v/>
      </c>
      <c r="R297">
        <f>IF($Y297="","",Settings!$C$6)</f>
        <v/>
      </c>
      <c r="S297" s="7">
        <f>IF($Y297="","",SUMIFS('Per Line'!$X$2:$X$1001,'Per Line'!$D$2:$D$1001,$B297,'Per Line'!$AO$2:$AO$1001,1,'Per Line'!$AP$2:$AP$1001,0))</f>
        <v/>
      </c>
      <c r="T297" s="7">
        <f>IF($Y297="","",S297*R297)</f>
        <v/>
      </c>
      <c r="U297" s="7">
        <f>IF($Y297="","",T297+Q297)</f>
        <v/>
      </c>
      <c r="V297" s="7">
        <f>IF($Y297="","",W297-U297)</f>
        <v/>
      </c>
      <c r="W297" s="7">
        <f>IF($Y297="","",P297+S297+N297)</f>
        <v/>
      </c>
      <c r="X297" s="7">
        <f>IF($Y297="","",W297-U297-J297)</f>
        <v/>
      </c>
      <c r="Y297" s="13">
        <f>IF(ROWS($Y$2:$Y297)&lt;=MAX('Per Line'!$AN$2:$AN$1001),MATCH(ROWS($Y$2:$Y297),'Per Line'!$AN$2:$AN$1001,0),"")</f>
        <v/>
      </c>
      <c r="Z297" s="14">
        <f>IF($Y297="","",J297-I297*W297/100)</f>
        <v/>
      </c>
    </row>
    <row r="298">
      <c r="A298" s="12" t="n"/>
      <c r="B298">
        <f>IF($Y298="","",INDEX('Per Line'!$D$2:$D$1001,$Y298)&amp;"")</f>
        <v/>
      </c>
      <c r="C298">
        <f>IF($Y298="","",INDEX('Per Line'!$C$2:$C$1001,$Y298)&amp;"")</f>
        <v/>
      </c>
      <c r="D298" s="11">
        <f>IF($Y298="","",INDEX('Per Line'!$F$2:$F$1001,$Y298))</f>
        <v/>
      </c>
      <c r="E298">
        <f>IF($Y298="","",INDEX('Per Line'!$G$2:$G$1001,$Y298)&amp;"")</f>
        <v/>
      </c>
      <c r="F298">
        <f>IF($Y298="","",INDEX('Per Line'!$I$2:$I$1001,$Y298)&amp;"")</f>
        <v/>
      </c>
      <c r="G298">
        <f>IF($Y298="","",INDEX('Per Line'!$J$2:$J$1001,$Y298)&amp;"")</f>
        <v/>
      </c>
      <c r="H298">
        <f>IF($Y298="","",INDEX('Per Line'!$K$2:$K$1001,$Y298)&amp;"")</f>
        <v/>
      </c>
      <c r="I298">
        <f>IF($Y298="","",INDEX('Per Line'!$O$2:$O$1001,$Y298))</f>
        <v/>
      </c>
      <c r="J298" s="7">
        <f>IF($Y298="","",IF(AND(ISNUMBER(L298),L298&gt;0,W298&gt;L298),I298*L298/100+(W298-L298),I298*W298/100))</f>
        <v/>
      </c>
      <c r="K298">
        <f>IF($Y298="","",INDEX('Per Line'!$Y$2:$Y$1001,$Y298)&amp;"")</f>
        <v/>
      </c>
      <c r="L298">
        <f>IF($Y298="","",INDEX('Per Line'!$AF$2:$AF$1001,$Y298))</f>
        <v/>
      </c>
      <c r="M298">
        <f>IF($Y298="","",IF(AND(ISNUMBER(L298),L298&gt;0),W298&gt;L298,FALSE))</f>
        <v/>
      </c>
      <c r="N298" s="7">
        <f>IF($Y298="","",SUMIFS('Per Line'!$X$2:$X$1001,'Per Line'!$D$2:$D$1001,$B298,'Per Line'!$AP$2:$AP$1001,1))</f>
        <v/>
      </c>
      <c r="O298">
        <f>IF($Y298="","",Settings!$C$7)</f>
        <v/>
      </c>
      <c r="P298" s="7">
        <f>IF($Y298="","",SUMIFS('Per Line'!$X$2:$X$1001,'Per Line'!$D$2:$D$1001,$B298,'Per Line'!$AO$2:$AO$1001,0,'Per Line'!$AP$2:$AP$1001,0))</f>
        <v/>
      </c>
      <c r="Q298" s="7">
        <f>IF($Y298="","",P298*O298)</f>
        <v/>
      </c>
      <c r="R298">
        <f>IF($Y298="","",Settings!$C$6)</f>
        <v/>
      </c>
      <c r="S298" s="7">
        <f>IF($Y298="","",SUMIFS('Per Line'!$X$2:$X$1001,'Per Line'!$D$2:$D$1001,$B298,'Per Line'!$AO$2:$AO$1001,1,'Per Line'!$AP$2:$AP$1001,0))</f>
        <v/>
      </c>
      <c r="T298" s="7">
        <f>IF($Y298="","",S298*R298)</f>
        <v/>
      </c>
      <c r="U298" s="7">
        <f>IF($Y298="","",T298+Q298)</f>
        <v/>
      </c>
      <c r="V298" s="7">
        <f>IF($Y298="","",W298-U298)</f>
        <v/>
      </c>
      <c r="W298" s="7">
        <f>IF($Y298="","",P298+S298+N298)</f>
        <v/>
      </c>
      <c r="X298" s="7">
        <f>IF($Y298="","",W298-U298-J298)</f>
        <v/>
      </c>
      <c r="Y298" s="13">
        <f>IF(ROWS($Y$2:$Y298)&lt;=MAX('Per Line'!$AN$2:$AN$1001),MATCH(ROWS($Y$2:$Y298),'Per Line'!$AN$2:$AN$1001,0),"")</f>
        <v/>
      </c>
      <c r="Z298" s="14">
        <f>IF($Y298="","",J298-I298*W298/100)</f>
        <v/>
      </c>
    </row>
    <row r="299">
      <c r="A299" s="12" t="n"/>
      <c r="B299">
        <f>IF($Y299="","",INDEX('Per Line'!$D$2:$D$1001,$Y299)&amp;"")</f>
        <v/>
      </c>
      <c r="C299">
        <f>IF($Y299="","",INDEX('Per Line'!$C$2:$C$1001,$Y299)&amp;"")</f>
        <v/>
      </c>
      <c r="D299" s="11">
        <f>IF($Y299="","",INDEX('Per Line'!$F$2:$F$1001,$Y299))</f>
        <v/>
      </c>
      <c r="E299">
        <f>IF($Y299="","",INDEX('Per Line'!$G$2:$G$1001,$Y299)&amp;"")</f>
        <v/>
      </c>
      <c r="F299">
        <f>IF($Y299="","",INDEX('Per Line'!$I$2:$I$1001,$Y299)&amp;"")</f>
        <v/>
      </c>
      <c r="G299">
        <f>IF($Y299="","",INDEX('Per Line'!$J$2:$J$1001,$Y299)&amp;"")</f>
        <v/>
      </c>
      <c r="H299">
        <f>IF($Y299="","",INDEX('Per Line'!$K$2:$K$1001,$Y299)&amp;"")</f>
        <v/>
      </c>
      <c r="I299">
        <f>IF($Y299="","",INDEX('Per Line'!$O$2:$O$1001,$Y299))</f>
        <v/>
      </c>
      <c r="J299" s="7">
        <f>IF($Y299="","",IF(AND(ISNUMBER(L299),L299&gt;0,W299&gt;L299),I299*L299/100+(W299-L299),I299*W299/100))</f>
        <v/>
      </c>
      <c r="K299">
        <f>IF($Y299="","",INDEX('Per Line'!$Y$2:$Y$1001,$Y299)&amp;"")</f>
        <v/>
      </c>
      <c r="L299">
        <f>IF($Y299="","",INDEX('Per Line'!$AF$2:$AF$1001,$Y299))</f>
        <v/>
      </c>
      <c r="M299">
        <f>IF($Y299="","",IF(AND(ISNUMBER(L299),L299&gt;0),W299&gt;L299,FALSE))</f>
        <v/>
      </c>
      <c r="N299" s="7">
        <f>IF($Y299="","",SUMIFS('Per Line'!$X$2:$X$1001,'Per Line'!$D$2:$D$1001,$B299,'Per Line'!$AP$2:$AP$1001,1))</f>
        <v/>
      </c>
      <c r="O299">
        <f>IF($Y299="","",Settings!$C$7)</f>
        <v/>
      </c>
      <c r="P299" s="7">
        <f>IF($Y299="","",SUMIFS('Per Line'!$X$2:$X$1001,'Per Line'!$D$2:$D$1001,$B299,'Per Line'!$AO$2:$AO$1001,0,'Per Line'!$AP$2:$AP$1001,0))</f>
        <v/>
      </c>
      <c r="Q299" s="7">
        <f>IF($Y299="","",P299*O299)</f>
        <v/>
      </c>
      <c r="R299">
        <f>IF($Y299="","",Settings!$C$6)</f>
        <v/>
      </c>
      <c r="S299" s="7">
        <f>IF($Y299="","",SUMIFS('Per Line'!$X$2:$X$1001,'Per Line'!$D$2:$D$1001,$B299,'Per Line'!$AO$2:$AO$1001,1,'Per Line'!$AP$2:$AP$1001,0))</f>
        <v/>
      </c>
      <c r="T299" s="7">
        <f>IF($Y299="","",S299*R299)</f>
        <v/>
      </c>
      <c r="U299" s="7">
        <f>IF($Y299="","",T299+Q299)</f>
        <v/>
      </c>
      <c r="V299" s="7">
        <f>IF($Y299="","",W299-U299)</f>
        <v/>
      </c>
      <c r="W299" s="7">
        <f>IF($Y299="","",P299+S299+N299)</f>
        <v/>
      </c>
      <c r="X299" s="7">
        <f>IF($Y299="","",W299-U299-J299)</f>
        <v/>
      </c>
      <c r="Y299" s="13">
        <f>IF(ROWS($Y$2:$Y299)&lt;=MAX('Per Line'!$AN$2:$AN$1001),MATCH(ROWS($Y$2:$Y299),'Per Line'!$AN$2:$AN$1001,0),"")</f>
        <v/>
      </c>
      <c r="Z299" s="14">
        <f>IF($Y299="","",J299-I299*W299/100)</f>
        <v/>
      </c>
    </row>
    <row r="300">
      <c r="A300" s="12" t="n"/>
      <c r="B300">
        <f>IF($Y300="","",INDEX('Per Line'!$D$2:$D$1001,$Y300)&amp;"")</f>
        <v/>
      </c>
      <c r="C300">
        <f>IF($Y300="","",INDEX('Per Line'!$C$2:$C$1001,$Y300)&amp;"")</f>
        <v/>
      </c>
      <c r="D300" s="11">
        <f>IF($Y300="","",INDEX('Per Line'!$F$2:$F$1001,$Y300))</f>
        <v/>
      </c>
      <c r="E300">
        <f>IF($Y300="","",INDEX('Per Line'!$G$2:$G$1001,$Y300)&amp;"")</f>
        <v/>
      </c>
      <c r="F300">
        <f>IF($Y300="","",INDEX('Per Line'!$I$2:$I$1001,$Y300)&amp;"")</f>
        <v/>
      </c>
      <c r="G300">
        <f>IF($Y300="","",INDEX('Per Line'!$J$2:$J$1001,$Y300)&amp;"")</f>
        <v/>
      </c>
      <c r="H300">
        <f>IF($Y300="","",INDEX('Per Line'!$K$2:$K$1001,$Y300)&amp;"")</f>
        <v/>
      </c>
      <c r="I300">
        <f>IF($Y300="","",INDEX('Per Line'!$O$2:$O$1001,$Y300))</f>
        <v/>
      </c>
      <c r="J300" s="7">
        <f>IF($Y300="","",IF(AND(ISNUMBER(L300),L300&gt;0,W300&gt;L300),I300*L300/100+(W300-L300),I300*W300/100))</f>
        <v/>
      </c>
      <c r="K300">
        <f>IF($Y300="","",INDEX('Per Line'!$Y$2:$Y$1001,$Y300)&amp;"")</f>
        <v/>
      </c>
      <c r="L300">
        <f>IF($Y300="","",INDEX('Per Line'!$AF$2:$AF$1001,$Y300))</f>
        <v/>
      </c>
      <c r="M300">
        <f>IF($Y300="","",IF(AND(ISNUMBER(L300),L300&gt;0),W300&gt;L300,FALSE))</f>
        <v/>
      </c>
      <c r="N300" s="7">
        <f>IF($Y300="","",SUMIFS('Per Line'!$X$2:$X$1001,'Per Line'!$D$2:$D$1001,$B300,'Per Line'!$AP$2:$AP$1001,1))</f>
        <v/>
      </c>
      <c r="O300">
        <f>IF($Y300="","",Settings!$C$7)</f>
        <v/>
      </c>
      <c r="P300" s="7">
        <f>IF($Y300="","",SUMIFS('Per Line'!$X$2:$X$1001,'Per Line'!$D$2:$D$1001,$B300,'Per Line'!$AO$2:$AO$1001,0,'Per Line'!$AP$2:$AP$1001,0))</f>
        <v/>
      </c>
      <c r="Q300" s="7">
        <f>IF($Y300="","",P300*O300)</f>
        <v/>
      </c>
      <c r="R300">
        <f>IF($Y300="","",Settings!$C$6)</f>
        <v/>
      </c>
      <c r="S300" s="7">
        <f>IF($Y300="","",SUMIFS('Per Line'!$X$2:$X$1001,'Per Line'!$D$2:$D$1001,$B300,'Per Line'!$AO$2:$AO$1001,1,'Per Line'!$AP$2:$AP$1001,0))</f>
        <v/>
      </c>
      <c r="T300" s="7">
        <f>IF($Y300="","",S300*R300)</f>
        <v/>
      </c>
      <c r="U300" s="7">
        <f>IF($Y300="","",T300+Q300)</f>
        <v/>
      </c>
      <c r="V300" s="7">
        <f>IF($Y300="","",W300-U300)</f>
        <v/>
      </c>
      <c r="W300" s="7">
        <f>IF($Y300="","",P300+S300+N300)</f>
        <v/>
      </c>
      <c r="X300" s="7">
        <f>IF($Y300="","",W300-U300-J300)</f>
        <v/>
      </c>
      <c r="Y300" s="13">
        <f>IF(ROWS($Y$2:$Y300)&lt;=MAX('Per Line'!$AN$2:$AN$1001),MATCH(ROWS($Y$2:$Y300),'Per Line'!$AN$2:$AN$1001,0),"")</f>
        <v/>
      </c>
      <c r="Z300" s="14">
        <f>IF($Y300="","",J300-I300*W300/100)</f>
        <v/>
      </c>
    </row>
    <row r="301">
      <c r="A301" s="12" t="n"/>
      <c r="B301">
        <f>IF($Y301="","",INDEX('Per Line'!$D$2:$D$1001,$Y301)&amp;"")</f>
        <v/>
      </c>
      <c r="C301">
        <f>IF($Y301="","",INDEX('Per Line'!$C$2:$C$1001,$Y301)&amp;"")</f>
        <v/>
      </c>
      <c r="D301" s="11">
        <f>IF($Y301="","",INDEX('Per Line'!$F$2:$F$1001,$Y301))</f>
        <v/>
      </c>
      <c r="E301">
        <f>IF($Y301="","",INDEX('Per Line'!$G$2:$G$1001,$Y301)&amp;"")</f>
        <v/>
      </c>
      <c r="F301">
        <f>IF($Y301="","",INDEX('Per Line'!$I$2:$I$1001,$Y301)&amp;"")</f>
        <v/>
      </c>
      <c r="G301">
        <f>IF($Y301="","",INDEX('Per Line'!$J$2:$J$1001,$Y301)&amp;"")</f>
        <v/>
      </c>
      <c r="H301">
        <f>IF($Y301="","",INDEX('Per Line'!$K$2:$K$1001,$Y301)&amp;"")</f>
        <v/>
      </c>
      <c r="I301">
        <f>IF($Y301="","",INDEX('Per Line'!$O$2:$O$1001,$Y301))</f>
        <v/>
      </c>
      <c r="J301" s="7">
        <f>IF($Y301="","",IF(AND(ISNUMBER(L301),L301&gt;0,W301&gt;L301),I301*L301/100+(W301-L301),I301*W301/100))</f>
        <v/>
      </c>
      <c r="K301">
        <f>IF($Y301="","",INDEX('Per Line'!$Y$2:$Y$1001,$Y301)&amp;"")</f>
        <v/>
      </c>
      <c r="L301">
        <f>IF($Y301="","",INDEX('Per Line'!$AF$2:$AF$1001,$Y301))</f>
        <v/>
      </c>
      <c r="M301">
        <f>IF($Y301="","",IF(AND(ISNUMBER(L301),L301&gt;0),W301&gt;L301,FALSE))</f>
        <v/>
      </c>
      <c r="N301" s="7">
        <f>IF($Y301="","",SUMIFS('Per Line'!$X$2:$X$1001,'Per Line'!$D$2:$D$1001,$B301,'Per Line'!$AP$2:$AP$1001,1))</f>
        <v/>
      </c>
      <c r="O301">
        <f>IF($Y301="","",Settings!$C$7)</f>
        <v/>
      </c>
      <c r="P301" s="7">
        <f>IF($Y301="","",SUMIFS('Per Line'!$X$2:$X$1001,'Per Line'!$D$2:$D$1001,$B301,'Per Line'!$AO$2:$AO$1001,0,'Per Line'!$AP$2:$AP$1001,0))</f>
        <v/>
      </c>
      <c r="Q301" s="7">
        <f>IF($Y301="","",P301*O301)</f>
        <v/>
      </c>
      <c r="R301">
        <f>IF($Y301="","",Settings!$C$6)</f>
        <v/>
      </c>
      <c r="S301" s="7">
        <f>IF($Y301="","",SUMIFS('Per Line'!$X$2:$X$1001,'Per Line'!$D$2:$D$1001,$B301,'Per Line'!$AO$2:$AO$1001,1,'Per Line'!$AP$2:$AP$1001,0))</f>
        <v/>
      </c>
      <c r="T301" s="7">
        <f>IF($Y301="","",S301*R301)</f>
        <v/>
      </c>
      <c r="U301" s="7">
        <f>IF($Y301="","",T301+Q301)</f>
        <v/>
      </c>
      <c r="V301" s="7">
        <f>IF($Y301="","",W301-U301)</f>
        <v/>
      </c>
      <c r="W301" s="7">
        <f>IF($Y301="","",P301+S301+N301)</f>
        <v/>
      </c>
      <c r="X301" s="7">
        <f>IF($Y301="","",W301-U301-J301)</f>
        <v/>
      </c>
      <c r="Y301" s="13">
        <f>IF(ROWS($Y$2:$Y301)&lt;=MAX('Per Line'!$AN$2:$AN$1001),MATCH(ROWS($Y$2:$Y301),'Per Line'!$AN$2:$AN$1001,0),"")</f>
        <v/>
      </c>
      <c r="Z301" s="14">
        <f>IF($Y301="","",J301-I301*W301/100)</f>
        <v/>
      </c>
    </row>
  </sheetData>
  <autoFilter ref="A1:Z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2026-10-12T10:41:45Z</dcterms:created>
  <dcterms:modified xmlns:dcterms="http://purl.org/dc/terms/" xmlns:xsi="http://www.w3.org/2001/XMLSchema-instance" xsi:type="dcterms:W3CDTF">2026-10-12T10:41:45Z</dcterms:modified>
</cp:coreProperties>
</file>